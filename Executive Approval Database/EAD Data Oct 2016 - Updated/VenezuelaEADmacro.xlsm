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ack\Desktop\EAD Data Oct 2016\"/>
    </mc:Choice>
  </mc:AlternateContent>
  <bookViews>
    <workbookView xWindow="6660" yWindow="0" windowWidth="20730" windowHeight="11760"/>
  </bookViews>
  <sheets>
    <sheet name="Final" sheetId="41" r:id="rId1"/>
    <sheet name="Combined" sheetId="15" r:id="rId2"/>
    <sheet name="Net" sheetId="22" r:id="rId3"/>
    <sheet name="AppApp+Dis" sheetId="23" r:id="rId4"/>
    <sheet name="Prn" sheetId="16" r:id="rId5"/>
    <sheet name="C21" sheetId="9" r:id="rId6"/>
    <sheet name="DATOS" sheetId="25" r:id="rId7"/>
    <sheet name="LAPOP" sheetId="34" r:id="rId8"/>
    <sheet name="LB" sheetId="2" r:id="rId9"/>
    <sheet name="IVAD" sheetId="14" r:id="rId10"/>
    <sheet name="Datanalisis" sheetId="3" r:id="rId11"/>
    <sheet name="ICS" sheetId="26" r:id="rId12"/>
    <sheet name="POLINOMICS" sheetId="24" r:id="rId13"/>
    <sheet name="ZOGBY" sheetId="13" r:id="rId14"/>
    <sheet name="Keller" sheetId="6" r:id="rId15"/>
    <sheet name="Hinterlaces" sheetId="7" r:id="rId16"/>
    <sheet name="GISXXI" sheetId="19" r:id="rId17"/>
    <sheet name="Varianzas" sheetId="20" r:id="rId18"/>
    <sheet name="CIMA" sheetId="1" r:id="rId19"/>
    <sheet name="Econanaltica" sheetId="21" r:id="rId20"/>
    <sheet name="AP" sheetId="4" r:id="rId21"/>
    <sheet name="GQRR" sheetId="11" r:id="rId22"/>
    <sheet name="EVANSMCD" sheetId="12" r:id="rId23"/>
    <sheet name="DOXA" sheetId="8" r:id="rId24"/>
    <sheet name="CECAS" sheetId="5" r:id="rId25"/>
    <sheet name="Mercanalisis" sheetId="10" r:id="rId26"/>
    <sheet name="DatinCorp" sheetId="29" r:id="rId27"/>
    <sheet name="Hercon" sheetId="32" r:id="rId28"/>
  </sheet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2" l="1"/>
  <c r="G12" i="2"/>
  <c r="G11" i="2"/>
  <c r="G10" i="2"/>
  <c r="G9" i="2"/>
  <c r="G8" i="2"/>
  <c r="G7" i="2"/>
  <c r="G6" i="2"/>
  <c r="G5" i="2"/>
  <c r="G4" i="2"/>
  <c r="G3" i="2"/>
  <c r="G2" i="2"/>
  <c r="CK351" i="16" l="1"/>
  <c r="CK350" i="16"/>
  <c r="CK349" i="16"/>
  <c r="CK348" i="16"/>
  <c r="CK347" i="16"/>
  <c r="CK346" i="16"/>
  <c r="CK345" i="16"/>
  <c r="CK344" i="16"/>
  <c r="CK343" i="16"/>
  <c r="CK342" i="16"/>
  <c r="CK341" i="16"/>
  <c r="CK340" i="16"/>
  <c r="CK339" i="16"/>
  <c r="CK338" i="16"/>
  <c r="CK337" i="16"/>
  <c r="CK336" i="16"/>
  <c r="CK335" i="16"/>
  <c r="CK334" i="16"/>
  <c r="CK333" i="16"/>
  <c r="CK332" i="16"/>
  <c r="CK331" i="16"/>
  <c r="CK330" i="16"/>
  <c r="CK329" i="16"/>
  <c r="CK328" i="16"/>
  <c r="CK327" i="16"/>
  <c r="CK326" i="16"/>
  <c r="CK325" i="16"/>
  <c r="CK324" i="16"/>
  <c r="CK323" i="16"/>
  <c r="CK322" i="16"/>
  <c r="CK321" i="16"/>
  <c r="CK320" i="16"/>
  <c r="CK319" i="16"/>
  <c r="CK318" i="16"/>
  <c r="CK317" i="16"/>
  <c r="CK316" i="16"/>
  <c r="CK315" i="16"/>
  <c r="CK314" i="16"/>
  <c r="CK313" i="16"/>
  <c r="CK312" i="16"/>
  <c r="CK311" i="16"/>
  <c r="CK310" i="16"/>
  <c r="CK309" i="16"/>
  <c r="CK308" i="16"/>
  <c r="CK307" i="16"/>
  <c r="CK306" i="16"/>
  <c r="CK305" i="16"/>
  <c r="CK304" i="16"/>
  <c r="CK303" i="16"/>
  <c r="CK302" i="16"/>
  <c r="CK301" i="16"/>
  <c r="CK300" i="16"/>
  <c r="CK299" i="16"/>
  <c r="CK298" i="16"/>
  <c r="CK297" i="16"/>
  <c r="CK296" i="16"/>
  <c r="CK295" i="16"/>
  <c r="CK294" i="16"/>
  <c r="CK293" i="16"/>
  <c r="CK292" i="16"/>
  <c r="CK291" i="16"/>
  <c r="CK290" i="16"/>
  <c r="CK289" i="16"/>
  <c r="CK288" i="16"/>
  <c r="CK287" i="16"/>
  <c r="CK286" i="16"/>
  <c r="CK285" i="16"/>
  <c r="CK284" i="16"/>
  <c r="CK283" i="16"/>
  <c r="CK282" i="16"/>
  <c r="CK281" i="16"/>
  <c r="CK280" i="16"/>
  <c r="CK279" i="16"/>
  <c r="CK278" i="16"/>
  <c r="CK277" i="16"/>
  <c r="CK276" i="16"/>
  <c r="CK275" i="16"/>
  <c r="CK274" i="16"/>
  <c r="CK273" i="16"/>
  <c r="CK272" i="16"/>
  <c r="CK271" i="16"/>
  <c r="CK270" i="16"/>
  <c r="CK269" i="16"/>
  <c r="CK268" i="16"/>
  <c r="CK267" i="16"/>
  <c r="CK266" i="16"/>
  <c r="CK265" i="16"/>
  <c r="CK264" i="16"/>
  <c r="CK263" i="16"/>
  <c r="CK262" i="16"/>
  <c r="CK261" i="16"/>
  <c r="CK260" i="16"/>
  <c r="CK259" i="16"/>
  <c r="CK258" i="16"/>
  <c r="CK257" i="16"/>
  <c r="CK256" i="16"/>
  <c r="CK255" i="16"/>
  <c r="CK254" i="16"/>
  <c r="CK253" i="16"/>
  <c r="CK252" i="16"/>
  <c r="CK251" i="16"/>
  <c r="CK250" i="16"/>
  <c r="CK249" i="16"/>
  <c r="CK248" i="16"/>
  <c r="CK247" i="16"/>
  <c r="CK246" i="16"/>
  <c r="CK245" i="16"/>
  <c r="CK244" i="16"/>
  <c r="CK243" i="16"/>
  <c r="CK242" i="16"/>
  <c r="CK241" i="16"/>
  <c r="CK240" i="16"/>
  <c r="CK239" i="16"/>
  <c r="CK238" i="16"/>
  <c r="CK237" i="16"/>
  <c r="CK236" i="16"/>
  <c r="CK235" i="16"/>
  <c r="CK234" i="16"/>
  <c r="CK233" i="16"/>
  <c r="CK232" i="16"/>
  <c r="CK231" i="16"/>
  <c r="CK230" i="16"/>
  <c r="CK229" i="16"/>
  <c r="CK228" i="16"/>
  <c r="CK227" i="16"/>
  <c r="CK226" i="16"/>
  <c r="CK225" i="16"/>
  <c r="CK224" i="16"/>
  <c r="CK223" i="16"/>
  <c r="CK222" i="16"/>
  <c r="CK221" i="16"/>
  <c r="CK220" i="16"/>
  <c r="CK219" i="16"/>
  <c r="CK218" i="16"/>
  <c r="CK217" i="16"/>
  <c r="CK216" i="16"/>
  <c r="CK215" i="16"/>
  <c r="CK214" i="16"/>
  <c r="CK213" i="16"/>
  <c r="CK212" i="16"/>
  <c r="CK211" i="16"/>
  <c r="CK210" i="16"/>
  <c r="CK209" i="16"/>
  <c r="CK208" i="16"/>
  <c r="CK207" i="16"/>
  <c r="CK206" i="16"/>
  <c r="CK205" i="16"/>
  <c r="CK204" i="16"/>
  <c r="CK203" i="16"/>
  <c r="CK202" i="16"/>
  <c r="CK201" i="16"/>
  <c r="CK200" i="16"/>
  <c r="CK199" i="16"/>
  <c r="CK198" i="16"/>
  <c r="CK197" i="16"/>
  <c r="CK196" i="16"/>
  <c r="CK195" i="16"/>
  <c r="CK194" i="16"/>
  <c r="CK193" i="16"/>
  <c r="CK192" i="16"/>
  <c r="CK191" i="16"/>
  <c r="CK190" i="16"/>
  <c r="CK189" i="16"/>
  <c r="CK188" i="16"/>
  <c r="CK187" i="16"/>
  <c r="CK186" i="16"/>
  <c r="CK185" i="16"/>
  <c r="CK184" i="16"/>
  <c r="CK183" i="16"/>
  <c r="CK182" i="16"/>
  <c r="CK181" i="16"/>
  <c r="CK180" i="16"/>
  <c r="CK179" i="16"/>
  <c r="CK178" i="16"/>
  <c r="CK177" i="16"/>
  <c r="CK176" i="16"/>
  <c r="CK175" i="16"/>
  <c r="CK174" i="16"/>
  <c r="CK173" i="16"/>
  <c r="CK172" i="16"/>
  <c r="CK171" i="16"/>
  <c r="CK170" i="16"/>
  <c r="CK169" i="16"/>
  <c r="CK168" i="16"/>
  <c r="CK167" i="16"/>
  <c r="CK166" i="16"/>
  <c r="CK165" i="16"/>
  <c r="CK164" i="16"/>
  <c r="CK163" i="16"/>
  <c r="CK162" i="16"/>
  <c r="CK161" i="16"/>
  <c r="CK160" i="16"/>
  <c r="CK159" i="16"/>
  <c r="CK158" i="16"/>
  <c r="CK157" i="16"/>
  <c r="CK156" i="16"/>
  <c r="CK155" i="16"/>
  <c r="CK154" i="16"/>
  <c r="CK153" i="16"/>
  <c r="CK152" i="16"/>
  <c r="CK151" i="16"/>
  <c r="CK150" i="16"/>
  <c r="CK149" i="16"/>
  <c r="CK148" i="16"/>
  <c r="CK147" i="16"/>
  <c r="CK146" i="16"/>
  <c r="CK145" i="16"/>
  <c r="CK144" i="16"/>
  <c r="CK143" i="16"/>
  <c r="CK142" i="16"/>
  <c r="CK141" i="16"/>
  <c r="CK140" i="16"/>
  <c r="CK139" i="16"/>
  <c r="CK138" i="16"/>
  <c r="CK137" i="16"/>
  <c r="CK136" i="16"/>
  <c r="CK135" i="16"/>
  <c r="CK134" i="16"/>
  <c r="CK133" i="16"/>
  <c r="CK132" i="16"/>
  <c r="CK131" i="16"/>
  <c r="CK130" i="16"/>
  <c r="CK129" i="16"/>
  <c r="CK128" i="16"/>
  <c r="CK127" i="16"/>
  <c r="CK126" i="16"/>
  <c r="CK125" i="16"/>
  <c r="CK124" i="16"/>
  <c r="CK123" i="16"/>
  <c r="CK122" i="16"/>
  <c r="CK121" i="16"/>
  <c r="CK120" i="16"/>
  <c r="CK119" i="16"/>
  <c r="CK118" i="16"/>
  <c r="CK117" i="16"/>
  <c r="CK116" i="16"/>
  <c r="CK115" i="16"/>
  <c r="CK114" i="16"/>
  <c r="CK113" i="16"/>
  <c r="CK112" i="16"/>
  <c r="CK111" i="16"/>
  <c r="CK110" i="16"/>
  <c r="CK109" i="16"/>
  <c r="CK108" i="16"/>
  <c r="CK107" i="16"/>
  <c r="CK106" i="16"/>
  <c r="CK105" i="16"/>
  <c r="CK104" i="16"/>
  <c r="CK103" i="16"/>
  <c r="CK102" i="16"/>
  <c r="CK101" i="16"/>
  <c r="CK100" i="16"/>
  <c r="CK99" i="16"/>
  <c r="CK98" i="16"/>
  <c r="CK97" i="16"/>
  <c r="CK96" i="16"/>
  <c r="CK95" i="16"/>
  <c r="CK94" i="16"/>
  <c r="CK93" i="16"/>
  <c r="CK92" i="16"/>
  <c r="CK91" i="16"/>
  <c r="CK90" i="16"/>
  <c r="CK89" i="16"/>
  <c r="CK88" i="16"/>
  <c r="CK87" i="16"/>
  <c r="CK86" i="16"/>
  <c r="CK85" i="16"/>
  <c r="CK84" i="16"/>
  <c r="CK83" i="16"/>
  <c r="CK82" i="16"/>
  <c r="CK81" i="16"/>
  <c r="CK80" i="16"/>
  <c r="CK79" i="16"/>
  <c r="CK78" i="16"/>
  <c r="CK77" i="16"/>
  <c r="CK76" i="16"/>
  <c r="CK75" i="16"/>
  <c r="CK74" i="16"/>
  <c r="CK73" i="16"/>
  <c r="CK72" i="16"/>
  <c r="CK71" i="16"/>
  <c r="CK70" i="16"/>
  <c r="CK69" i="16"/>
  <c r="CK68" i="16"/>
  <c r="CK67" i="16"/>
  <c r="CK66" i="16"/>
  <c r="CK65" i="16"/>
  <c r="CK64" i="16"/>
  <c r="CK63" i="16"/>
  <c r="CK62" i="16"/>
  <c r="CK61" i="16"/>
  <c r="CK60" i="16"/>
  <c r="CK59" i="16"/>
  <c r="CK58" i="16"/>
  <c r="CK57" i="16"/>
  <c r="CK56" i="16"/>
  <c r="CK55" i="16"/>
  <c r="CK54" i="16"/>
  <c r="CK53" i="16"/>
  <c r="CK52" i="16"/>
  <c r="CK51" i="16"/>
  <c r="CK50" i="16"/>
  <c r="CK49" i="16"/>
  <c r="CK48" i="16"/>
  <c r="CK47" i="16"/>
  <c r="CK46" i="16"/>
  <c r="CK45" i="16"/>
  <c r="CK44" i="16"/>
  <c r="CK43" i="16"/>
  <c r="CK42" i="16"/>
  <c r="CK41" i="16"/>
  <c r="CK40" i="16"/>
  <c r="CK39" i="16"/>
  <c r="CK38" i="16"/>
  <c r="CK37" i="16"/>
  <c r="CK36" i="16"/>
  <c r="CK35" i="16"/>
  <c r="CK34" i="16"/>
  <c r="CK33" i="16"/>
  <c r="CK32" i="16"/>
  <c r="CK31" i="16"/>
  <c r="CK30" i="16"/>
  <c r="CK29" i="16"/>
  <c r="CK28" i="16"/>
  <c r="CK27" i="16"/>
  <c r="CK26" i="16"/>
  <c r="CK25" i="16"/>
  <c r="CK24" i="16"/>
  <c r="CK23" i="16"/>
  <c r="CK22" i="16"/>
  <c r="CK21" i="16"/>
  <c r="CK20" i="16"/>
  <c r="CK19" i="16"/>
  <c r="CK18" i="16"/>
  <c r="CK17" i="16"/>
  <c r="CK16" i="16"/>
  <c r="CK15" i="16"/>
  <c r="CK14" i="16"/>
  <c r="CK13" i="16"/>
  <c r="CK12" i="16"/>
  <c r="CK11" i="16"/>
  <c r="CK10" i="16"/>
  <c r="CK9" i="16"/>
  <c r="CK8" i="16"/>
  <c r="CK7" i="16"/>
  <c r="CK6" i="16"/>
  <c r="CK5" i="16"/>
  <c r="CK4" i="16"/>
  <c r="CK3" i="16"/>
  <c r="CK2" i="16"/>
  <c r="CE118" i="16"/>
  <c r="CE117" i="16"/>
  <c r="CE116" i="16"/>
  <c r="CE115" i="16"/>
  <c r="CE114" i="16"/>
  <c r="CE113" i="16"/>
  <c r="CE112" i="16"/>
  <c r="CE111" i="16"/>
  <c r="CE110" i="16"/>
  <c r="CE109" i="16"/>
  <c r="CE108" i="16"/>
  <c r="CE107" i="16"/>
  <c r="CE106" i="16"/>
  <c r="CE105" i="16"/>
  <c r="CE104" i="16"/>
  <c r="CE103" i="16"/>
  <c r="CE102" i="16"/>
  <c r="CE101" i="16"/>
  <c r="CE100" i="16"/>
  <c r="CE99" i="16"/>
  <c r="CE98" i="16"/>
  <c r="CE97" i="16"/>
  <c r="CE96" i="16"/>
  <c r="CE95" i="16"/>
  <c r="CE94" i="16"/>
  <c r="CE93" i="16"/>
  <c r="CE92" i="16"/>
  <c r="CE91" i="16"/>
  <c r="CE90" i="16"/>
  <c r="CE89" i="16"/>
  <c r="CE88" i="16"/>
  <c r="CE87" i="16"/>
  <c r="CE86" i="16"/>
  <c r="CE85" i="16"/>
  <c r="CE84" i="16"/>
  <c r="CE83" i="16"/>
  <c r="CE82" i="16"/>
  <c r="CE81" i="16"/>
  <c r="CE80" i="16"/>
  <c r="CE79" i="16"/>
  <c r="CE78" i="16"/>
  <c r="CE77" i="16"/>
  <c r="CE76" i="16"/>
  <c r="CE75" i="16"/>
  <c r="CE74" i="16"/>
  <c r="CE73" i="16"/>
  <c r="CE72" i="16"/>
  <c r="CE71" i="16"/>
  <c r="CE70" i="16"/>
  <c r="CE69" i="16"/>
  <c r="CE68" i="16"/>
  <c r="CE67" i="16"/>
  <c r="CE66" i="16"/>
  <c r="CE65" i="16"/>
  <c r="CE64" i="16"/>
  <c r="CE63" i="16"/>
  <c r="CE62" i="16"/>
  <c r="CE61" i="16"/>
  <c r="CE60" i="16"/>
  <c r="CE59" i="16"/>
  <c r="CE58" i="16"/>
  <c r="CE57" i="16"/>
  <c r="CE56" i="16"/>
  <c r="CE55" i="16"/>
  <c r="CE54" i="16"/>
  <c r="CE53" i="16"/>
  <c r="CE52" i="16"/>
  <c r="CE51" i="16"/>
  <c r="CE50" i="16"/>
  <c r="CE49" i="16"/>
  <c r="CE48" i="16"/>
  <c r="CE47" i="16"/>
  <c r="CE46" i="16"/>
  <c r="CE45" i="16"/>
  <c r="CE44" i="16"/>
  <c r="CE43" i="16"/>
  <c r="CE42" i="16"/>
  <c r="CE41" i="16"/>
  <c r="CE40" i="16"/>
  <c r="CE39" i="16"/>
  <c r="CE38" i="16"/>
  <c r="CE37" i="16"/>
  <c r="CE36" i="16"/>
  <c r="CE35" i="16"/>
  <c r="CE34" i="16"/>
  <c r="CE33" i="16"/>
  <c r="CE32" i="16"/>
  <c r="CE31" i="16"/>
  <c r="CE30" i="16"/>
  <c r="CE29" i="16"/>
  <c r="CE28" i="16"/>
  <c r="CE27" i="16"/>
  <c r="CE26" i="16"/>
  <c r="CE25" i="16"/>
  <c r="CE24" i="16"/>
  <c r="CE23" i="16"/>
  <c r="CE22" i="16"/>
  <c r="CE21" i="16"/>
  <c r="CE20" i="16"/>
  <c r="CE19" i="16"/>
  <c r="CE18" i="16"/>
  <c r="CE17" i="16"/>
  <c r="CE16" i="16"/>
  <c r="CE15" i="16"/>
  <c r="CE14" i="16"/>
  <c r="CE13" i="16"/>
  <c r="CE12" i="16"/>
  <c r="CE11" i="16"/>
  <c r="CE10" i="16"/>
  <c r="CE9" i="16"/>
  <c r="CE8" i="16"/>
  <c r="CE7" i="16"/>
  <c r="CE6" i="16"/>
  <c r="CE5" i="16"/>
  <c r="CE4" i="16"/>
  <c r="CE3" i="16"/>
  <c r="CE2" i="16"/>
  <c r="X355" i="22"/>
  <c r="X354" i="22"/>
  <c r="X353" i="22"/>
  <c r="X352" i="22"/>
  <c r="X351" i="22"/>
  <c r="X350" i="22"/>
  <c r="X349" i="22"/>
  <c r="X348" i="22"/>
  <c r="X347" i="22"/>
  <c r="X346" i="22"/>
  <c r="X345" i="22"/>
  <c r="X344" i="22"/>
  <c r="X343" i="22"/>
  <c r="X342" i="22"/>
  <c r="X341" i="22"/>
  <c r="X340" i="22"/>
  <c r="X339" i="22"/>
  <c r="X338" i="22"/>
  <c r="X337" i="22"/>
  <c r="X336" i="22"/>
  <c r="X335" i="22"/>
  <c r="X334" i="22"/>
  <c r="X333" i="22"/>
  <c r="X332" i="22"/>
  <c r="X331" i="22"/>
  <c r="X330" i="22"/>
  <c r="X329" i="22"/>
  <c r="X328" i="22"/>
  <c r="X327" i="22"/>
  <c r="X326" i="22"/>
  <c r="X325" i="22"/>
  <c r="X324" i="22"/>
  <c r="X323" i="22"/>
  <c r="X322" i="22"/>
  <c r="X321" i="22"/>
  <c r="X320" i="22"/>
  <c r="X319" i="22"/>
  <c r="X318" i="22"/>
  <c r="X317" i="22"/>
  <c r="X316" i="22"/>
  <c r="X315" i="22"/>
  <c r="X314" i="22"/>
  <c r="X313" i="22"/>
  <c r="X312" i="22"/>
  <c r="X311" i="22"/>
  <c r="X310" i="22"/>
  <c r="X309" i="22"/>
  <c r="X308" i="22"/>
  <c r="X307" i="22"/>
  <c r="X306" i="22"/>
  <c r="X305" i="22"/>
  <c r="X304" i="22"/>
  <c r="X303" i="22"/>
  <c r="X302" i="22"/>
  <c r="X301" i="22"/>
  <c r="X300" i="22"/>
  <c r="X299" i="22"/>
  <c r="X298" i="22"/>
  <c r="X297" i="22"/>
  <c r="X296" i="22"/>
  <c r="X295" i="22"/>
  <c r="X294" i="22"/>
  <c r="X293" i="22"/>
  <c r="X292" i="22"/>
  <c r="X291" i="22"/>
  <c r="X290" i="22"/>
  <c r="X289" i="22"/>
  <c r="X288" i="22"/>
  <c r="X287" i="22"/>
  <c r="X286" i="22"/>
  <c r="X285" i="22"/>
  <c r="X284" i="22"/>
  <c r="X283" i="22"/>
  <c r="X282" i="22"/>
  <c r="X281" i="22"/>
  <c r="X280" i="22"/>
  <c r="X279" i="22"/>
  <c r="X278" i="22"/>
  <c r="X277" i="22"/>
  <c r="X276" i="22"/>
  <c r="X275" i="22"/>
  <c r="X274" i="22"/>
  <c r="X273" i="22"/>
  <c r="X272" i="22"/>
  <c r="X271" i="22"/>
  <c r="X270" i="22"/>
  <c r="X269" i="22"/>
  <c r="X268" i="22"/>
  <c r="X267" i="22"/>
  <c r="X266" i="22"/>
  <c r="X265" i="22"/>
  <c r="X264" i="22"/>
  <c r="X263" i="22"/>
  <c r="X262" i="22"/>
  <c r="X261" i="22"/>
  <c r="X260" i="22"/>
  <c r="X259" i="22"/>
  <c r="X258" i="22"/>
  <c r="X257" i="22"/>
  <c r="X256" i="22"/>
  <c r="X255" i="22"/>
  <c r="X254" i="22"/>
  <c r="X253" i="22"/>
  <c r="X252" i="22"/>
  <c r="X251" i="22"/>
  <c r="X250" i="22"/>
  <c r="X249" i="22"/>
  <c r="X248" i="22"/>
  <c r="X247" i="22"/>
  <c r="X246" i="22"/>
  <c r="X245" i="22"/>
  <c r="X244" i="22"/>
  <c r="X243" i="22"/>
  <c r="X242" i="22"/>
  <c r="X241" i="22"/>
  <c r="X240" i="22"/>
  <c r="X239" i="22"/>
  <c r="X238" i="22"/>
  <c r="X237" i="22"/>
  <c r="X236" i="22"/>
  <c r="X235" i="22"/>
  <c r="X234" i="22"/>
  <c r="X233" i="22"/>
  <c r="X232" i="22"/>
  <c r="X231" i="22"/>
  <c r="X230" i="22"/>
  <c r="X229" i="22"/>
  <c r="X228" i="22"/>
  <c r="X227" i="22"/>
  <c r="X226" i="22"/>
  <c r="X225" i="22"/>
  <c r="X224" i="22"/>
  <c r="X223" i="22"/>
  <c r="X222" i="22"/>
  <c r="X221" i="22"/>
  <c r="X220" i="22"/>
  <c r="X219" i="22"/>
  <c r="X218" i="22"/>
  <c r="X217" i="22"/>
  <c r="X216" i="22"/>
  <c r="X215" i="22"/>
  <c r="X214" i="22"/>
  <c r="X213" i="22"/>
  <c r="X212" i="22"/>
  <c r="X211" i="22"/>
  <c r="X210" i="22"/>
  <c r="X209" i="22"/>
  <c r="X208" i="22"/>
  <c r="X207" i="22"/>
  <c r="X206" i="22"/>
  <c r="X205" i="22"/>
  <c r="X204" i="22"/>
  <c r="X203" i="22"/>
  <c r="X202" i="22"/>
  <c r="X201" i="22"/>
  <c r="X200" i="22"/>
  <c r="X199" i="22"/>
  <c r="X198" i="22"/>
  <c r="X197" i="22"/>
  <c r="X196" i="22"/>
  <c r="X195" i="22"/>
  <c r="X194" i="22"/>
  <c r="X193" i="22"/>
  <c r="X192" i="22"/>
  <c r="X191" i="22"/>
  <c r="X190" i="22"/>
  <c r="X189" i="22"/>
  <c r="X188" i="22"/>
  <c r="X187" i="22"/>
  <c r="X186" i="22"/>
  <c r="X185" i="22"/>
  <c r="X184" i="22"/>
  <c r="X183" i="22"/>
  <c r="X182" i="22"/>
  <c r="X181" i="22"/>
  <c r="X180" i="22"/>
  <c r="X179" i="22"/>
  <c r="X178" i="22"/>
  <c r="X177" i="22"/>
  <c r="X176" i="22"/>
  <c r="X175" i="22"/>
  <c r="X174" i="22"/>
  <c r="X173" i="22"/>
  <c r="X172" i="22"/>
  <c r="X171" i="22"/>
  <c r="X170" i="22"/>
  <c r="X169" i="22"/>
  <c r="X168" i="22"/>
  <c r="X167" i="22"/>
  <c r="X166" i="22"/>
  <c r="X165" i="22"/>
  <c r="X164" i="22"/>
  <c r="X163" i="22"/>
  <c r="X162" i="22"/>
  <c r="X161" i="22"/>
  <c r="X160" i="22"/>
  <c r="X159" i="22"/>
  <c r="X158" i="22"/>
  <c r="X157" i="22"/>
  <c r="X156" i="22"/>
  <c r="X155" i="22"/>
  <c r="X154" i="22"/>
  <c r="X153" i="22"/>
  <c r="X152" i="22"/>
  <c r="X151" i="22"/>
  <c r="X150" i="22"/>
  <c r="X149" i="22"/>
  <c r="X148" i="22"/>
  <c r="X147" i="22"/>
  <c r="X146" i="22"/>
  <c r="X145" i="22"/>
  <c r="X144" i="22"/>
  <c r="X143" i="22"/>
  <c r="X142" i="22"/>
  <c r="X141" i="22"/>
  <c r="X140" i="22"/>
  <c r="X139" i="22"/>
  <c r="X138" i="22"/>
  <c r="X137" i="22"/>
  <c r="X136" i="22"/>
  <c r="X135" i="22"/>
  <c r="X134" i="22"/>
  <c r="X133" i="22"/>
  <c r="X132" i="22"/>
  <c r="X131" i="22"/>
  <c r="X130" i="22"/>
  <c r="X129" i="22"/>
  <c r="X128" i="22"/>
  <c r="X127" i="22"/>
  <c r="X126" i="22"/>
  <c r="X125" i="22"/>
  <c r="X124" i="22"/>
  <c r="X123" i="22"/>
  <c r="X122" i="22"/>
  <c r="X121" i="22"/>
  <c r="X120" i="22"/>
  <c r="X119" i="22"/>
  <c r="X118" i="22"/>
  <c r="X117" i="22"/>
  <c r="X116" i="22"/>
  <c r="X115" i="22"/>
  <c r="X114" i="22"/>
  <c r="X113" i="22"/>
  <c r="X112" i="22"/>
  <c r="X111" i="22"/>
  <c r="X110" i="22"/>
  <c r="X109" i="22"/>
  <c r="X108" i="22"/>
  <c r="X107" i="22"/>
  <c r="X106" i="22"/>
  <c r="X105" i="22"/>
  <c r="X104" i="22"/>
  <c r="X103" i="22"/>
  <c r="X102" i="22"/>
  <c r="X101" i="22"/>
  <c r="X100" i="22"/>
  <c r="X99" i="22"/>
  <c r="X98" i="22"/>
  <c r="X97" i="22"/>
  <c r="X96" i="22"/>
  <c r="X95" i="22"/>
  <c r="X94" i="22"/>
  <c r="X93" i="22"/>
  <c r="X92" i="22"/>
  <c r="X91" i="22"/>
  <c r="X90" i="22"/>
  <c r="X89" i="22"/>
  <c r="X88" i="22"/>
  <c r="X87" i="22"/>
  <c r="X86" i="22"/>
  <c r="X85" i="22"/>
  <c r="X84" i="22"/>
  <c r="X83" i="22"/>
  <c r="X82" i="22"/>
  <c r="X81" i="22"/>
  <c r="X80" i="22"/>
  <c r="X79" i="22"/>
  <c r="X78" i="22"/>
  <c r="X77" i="22"/>
  <c r="X76" i="22"/>
  <c r="X75" i="22"/>
  <c r="X74" i="22"/>
  <c r="X73" i="22"/>
  <c r="X72" i="22"/>
  <c r="X71" i="22"/>
  <c r="X70" i="22"/>
  <c r="X69" i="22"/>
  <c r="X68" i="22"/>
  <c r="X67" i="22"/>
  <c r="X66" i="22"/>
  <c r="X65" i="22"/>
  <c r="X64" i="22"/>
  <c r="X63" i="22"/>
  <c r="X62" i="22"/>
  <c r="X61" i="22"/>
  <c r="X60" i="22"/>
  <c r="X59" i="22"/>
  <c r="X58" i="22"/>
  <c r="X57" i="22"/>
  <c r="X56" i="22"/>
  <c r="X55" i="22"/>
  <c r="X54" i="22"/>
  <c r="X53" i="22"/>
  <c r="X52" i="22"/>
  <c r="X51" i="22"/>
  <c r="X50" i="22"/>
  <c r="X49" i="22"/>
  <c r="X48" i="22"/>
  <c r="X47" i="22"/>
  <c r="X46" i="22"/>
  <c r="X45" i="22"/>
  <c r="X44" i="22"/>
  <c r="X43" i="22"/>
  <c r="X42" i="22"/>
  <c r="X41" i="22"/>
  <c r="X40" i="22"/>
  <c r="X39" i="22"/>
  <c r="X38" i="22"/>
  <c r="X37" i="22"/>
  <c r="X36" i="22"/>
  <c r="X35" i="22"/>
  <c r="X34" i="22"/>
  <c r="X33" i="22"/>
  <c r="X32" i="22"/>
  <c r="X31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X9" i="22"/>
  <c r="X8" i="22"/>
  <c r="X7" i="22"/>
  <c r="X6" i="22"/>
  <c r="X5" i="22"/>
  <c r="X4" i="22"/>
  <c r="X3" i="22"/>
  <c r="X2" i="22"/>
  <c r="BY351" i="16" l="1"/>
  <c r="BY350" i="16"/>
  <c r="BY349" i="16"/>
  <c r="BY348" i="16"/>
  <c r="BY347" i="16"/>
  <c r="BY346" i="16"/>
  <c r="BY345" i="16"/>
  <c r="BY344" i="16"/>
  <c r="BY343" i="16"/>
  <c r="BY342" i="16"/>
  <c r="BY341" i="16"/>
  <c r="BY340" i="16"/>
  <c r="BY339" i="16"/>
  <c r="BY338" i="16"/>
  <c r="BY337" i="16"/>
  <c r="BY336" i="16"/>
  <c r="BY335" i="16"/>
  <c r="BY334" i="16"/>
  <c r="BY333" i="16"/>
  <c r="BY332" i="16"/>
  <c r="BY331" i="16"/>
  <c r="BY330" i="16"/>
  <c r="BY329" i="16"/>
  <c r="BY328" i="16"/>
  <c r="BY327" i="16"/>
  <c r="BY326" i="16"/>
  <c r="BY325" i="16"/>
  <c r="BY324" i="16"/>
  <c r="BY323" i="16"/>
  <c r="BY322" i="16"/>
  <c r="BY321" i="16"/>
  <c r="BY320" i="16"/>
  <c r="BY319" i="16"/>
  <c r="BY318" i="16"/>
  <c r="BY317" i="16"/>
  <c r="BY316" i="16"/>
  <c r="BY315" i="16"/>
  <c r="BY314" i="16"/>
  <c r="BY313" i="16"/>
  <c r="BY312" i="16"/>
  <c r="BY311" i="16"/>
  <c r="BY310" i="16"/>
  <c r="BY309" i="16"/>
  <c r="BY308" i="16"/>
  <c r="BY307" i="16"/>
  <c r="BY306" i="16"/>
  <c r="BY305" i="16"/>
  <c r="BY304" i="16"/>
  <c r="BY303" i="16"/>
  <c r="BY302" i="16"/>
  <c r="BY301" i="16"/>
  <c r="BY300" i="16"/>
  <c r="BY299" i="16"/>
  <c r="BY298" i="16"/>
  <c r="BY297" i="16"/>
  <c r="BY296" i="16"/>
  <c r="BY295" i="16"/>
  <c r="BY294" i="16"/>
  <c r="BY293" i="16"/>
  <c r="BY292" i="16"/>
  <c r="BY291" i="16"/>
  <c r="BY290" i="16"/>
  <c r="BY289" i="16"/>
  <c r="BY288" i="16"/>
  <c r="BY287" i="16"/>
  <c r="BY286" i="16"/>
  <c r="BY285" i="16"/>
  <c r="BY284" i="16"/>
  <c r="BY283" i="16"/>
  <c r="BY282" i="16"/>
  <c r="BY281" i="16"/>
  <c r="BY280" i="16"/>
  <c r="BY279" i="16"/>
  <c r="BY278" i="16"/>
  <c r="BY277" i="16"/>
  <c r="BY276" i="16"/>
  <c r="BY275" i="16"/>
  <c r="BY274" i="16"/>
  <c r="BY273" i="16"/>
  <c r="BY272" i="16"/>
  <c r="BY271" i="16"/>
  <c r="BY270" i="16"/>
  <c r="BY269" i="16"/>
  <c r="BY268" i="16"/>
  <c r="BY267" i="16"/>
  <c r="BY266" i="16"/>
  <c r="BY265" i="16"/>
  <c r="BY264" i="16"/>
  <c r="BY263" i="16"/>
  <c r="BY262" i="16"/>
  <c r="BY261" i="16"/>
  <c r="BY260" i="16"/>
  <c r="BY259" i="16"/>
  <c r="BY258" i="16"/>
  <c r="BY257" i="16"/>
  <c r="BY256" i="16"/>
  <c r="BY255" i="16"/>
  <c r="BY254" i="16"/>
  <c r="BY253" i="16"/>
  <c r="BY252" i="16"/>
  <c r="BY251" i="16"/>
  <c r="BY250" i="16"/>
  <c r="BY249" i="16"/>
  <c r="BY248" i="16"/>
  <c r="BY247" i="16"/>
  <c r="BY246" i="16"/>
  <c r="BY245" i="16"/>
  <c r="BY244" i="16"/>
  <c r="BY243" i="16"/>
  <c r="BY242" i="16"/>
  <c r="BY241" i="16"/>
  <c r="BY240" i="16"/>
  <c r="BY239" i="16"/>
  <c r="BY238" i="16"/>
  <c r="BY237" i="16"/>
  <c r="BY236" i="16"/>
  <c r="BY235" i="16"/>
  <c r="BY234" i="16"/>
  <c r="BY233" i="16"/>
  <c r="BY232" i="16"/>
  <c r="BY231" i="16"/>
  <c r="BY230" i="16"/>
  <c r="BY229" i="16"/>
  <c r="BY228" i="16"/>
  <c r="BY227" i="16"/>
  <c r="BY226" i="16"/>
  <c r="BY225" i="16"/>
  <c r="BY224" i="16"/>
  <c r="BY223" i="16"/>
  <c r="BY222" i="16"/>
  <c r="BY221" i="16"/>
  <c r="BY220" i="16"/>
  <c r="BY219" i="16"/>
  <c r="BY218" i="16"/>
  <c r="BY217" i="16"/>
  <c r="BY216" i="16"/>
  <c r="BY215" i="16"/>
  <c r="BY214" i="16"/>
  <c r="BY213" i="16"/>
  <c r="BY212" i="16"/>
  <c r="BY211" i="16"/>
  <c r="BY210" i="16"/>
  <c r="BY209" i="16"/>
  <c r="BY208" i="16"/>
  <c r="BY207" i="16"/>
  <c r="BY206" i="16"/>
  <c r="BY205" i="16"/>
  <c r="BY204" i="16"/>
  <c r="BY203" i="16"/>
  <c r="BY202" i="16"/>
  <c r="BY201" i="16"/>
  <c r="BY200" i="16"/>
  <c r="BY199" i="16"/>
  <c r="BY198" i="16"/>
  <c r="BY197" i="16"/>
  <c r="BY196" i="16"/>
  <c r="BY195" i="16"/>
  <c r="BY194" i="16"/>
  <c r="BY193" i="16"/>
  <c r="BY192" i="16"/>
  <c r="BY191" i="16"/>
  <c r="BY190" i="16"/>
  <c r="BY189" i="16"/>
  <c r="BY188" i="16"/>
  <c r="BY187" i="16"/>
  <c r="BY186" i="16"/>
  <c r="BY185" i="16"/>
  <c r="BY184" i="16"/>
  <c r="BY183" i="16"/>
  <c r="BY182" i="16"/>
  <c r="BY181" i="16"/>
  <c r="BY180" i="16"/>
  <c r="BY179" i="16"/>
  <c r="BY178" i="16"/>
  <c r="BY177" i="16"/>
  <c r="BY176" i="16"/>
  <c r="BY175" i="16"/>
  <c r="BY174" i="16"/>
  <c r="BY173" i="16"/>
  <c r="BY172" i="16"/>
  <c r="BY171" i="16"/>
  <c r="BY170" i="16"/>
  <c r="BY169" i="16"/>
  <c r="BY168" i="16"/>
  <c r="BY167" i="16"/>
  <c r="BY166" i="16"/>
  <c r="BY165" i="16"/>
  <c r="BY164" i="16"/>
  <c r="BY163" i="16"/>
  <c r="BY162" i="16"/>
  <c r="BY161" i="16"/>
  <c r="BY160" i="16"/>
  <c r="BY159" i="16"/>
  <c r="BY158" i="16"/>
  <c r="BY157" i="16"/>
  <c r="BY156" i="16"/>
  <c r="BY155" i="16"/>
  <c r="BY154" i="16"/>
  <c r="BY153" i="16"/>
  <c r="BY152" i="16"/>
  <c r="BY151" i="16"/>
  <c r="BY150" i="16"/>
  <c r="BY149" i="16"/>
  <c r="BY148" i="16"/>
  <c r="BY147" i="16"/>
  <c r="BY146" i="16"/>
  <c r="BY145" i="16"/>
  <c r="BY144" i="16"/>
  <c r="BY143" i="16"/>
  <c r="BY142" i="16"/>
  <c r="BY141" i="16"/>
  <c r="BY140" i="16"/>
  <c r="BY139" i="16"/>
  <c r="BY138" i="16"/>
  <c r="BY137" i="16"/>
  <c r="BY136" i="16"/>
  <c r="BY135" i="16"/>
  <c r="BY134" i="16"/>
  <c r="BY133" i="16"/>
  <c r="BY132" i="16"/>
  <c r="BY131" i="16"/>
  <c r="BY130" i="16"/>
  <c r="BY129" i="16"/>
  <c r="BY128" i="16"/>
  <c r="BY127" i="16"/>
  <c r="BY126" i="16"/>
  <c r="BY125" i="16"/>
  <c r="BY124" i="16"/>
  <c r="BY123" i="16"/>
  <c r="BY122" i="16"/>
  <c r="BY121" i="16"/>
  <c r="BY120" i="16"/>
  <c r="BY119" i="16"/>
  <c r="BY118" i="16"/>
  <c r="BY117" i="16"/>
  <c r="BY116" i="16"/>
  <c r="BY115" i="16"/>
  <c r="BY114" i="16"/>
  <c r="BY113" i="16"/>
  <c r="BY112" i="16"/>
  <c r="BY111" i="16"/>
  <c r="BY110" i="16"/>
  <c r="BY109" i="16"/>
  <c r="BY108" i="16"/>
  <c r="BY107" i="16"/>
  <c r="BY106" i="16"/>
  <c r="BY105" i="16"/>
  <c r="BY104" i="16"/>
  <c r="BY103" i="16"/>
  <c r="BY102" i="16"/>
  <c r="BY101" i="16"/>
  <c r="BY100" i="16"/>
  <c r="BY99" i="16"/>
  <c r="BY98" i="16"/>
  <c r="BY97" i="16"/>
  <c r="BY96" i="16"/>
  <c r="BY95" i="16"/>
  <c r="BY94" i="16"/>
  <c r="BY93" i="16"/>
  <c r="BY92" i="16"/>
  <c r="BY91" i="16"/>
  <c r="BY90" i="16"/>
  <c r="BY89" i="16"/>
  <c r="BY88" i="16"/>
  <c r="BY87" i="16"/>
  <c r="BY86" i="16"/>
  <c r="BY85" i="16"/>
  <c r="BY84" i="16"/>
  <c r="BY83" i="16"/>
  <c r="BY82" i="16"/>
  <c r="BY81" i="16"/>
  <c r="BY80" i="16"/>
  <c r="BY79" i="16"/>
  <c r="BY78" i="16"/>
  <c r="BY77" i="16"/>
  <c r="BY76" i="16"/>
  <c r="BY75" i="16"/>
  <c r="BY74" i="16"/>
  <c r="BY73" i="16"/>
  <c r="BY72" i="16"/>
  <c r="BY71" i="16"/>
  <c r="BY70" i="16"/>
  <c r="BY69" i="16"/>
  <c r="BY68" i="16"/>
  <c r="BY67" i="16"/>
  <c r="BY66" i="16"/>
  <c r="BY65" i="16"/>
  <c r="BY64" i="16"/>
  <c r="BY63" i="16"/>
  <c r="BY62" i="16"/>
  <c r="BY61" i="16"/>
  <c r="BY60" i="16"/>
  <c r="BY59" i="16"/>
  <c r="BY58" i="16"/>
  <c r="BY57" i="16"/>
  <c r="BY56" i="16"/>
  <c r="BY55" i="16"/>
  <c r="BY54" i="16"/>
  <c r="BY53" i="16"/>
  <c r="BY52" i="16"/>
  <c r="BY51" i="16"/>
  <c r="BY50" i="16"/>
  <c r="BY49" i="16"/>
  <c r="BY48" i="16"/>
  <c r="BY47" i="16"/>
  <c r="BY46" i="16"/>
  <c r="BY45" i="16"/>
  <c r="BY44" i="16"/>
  <c r="BY43" i="16"/>
  <c r="BY42" i="16"/>
  <c r="BY41" i="16"/>
  <c r="BY40" i="16"/>
  <c r="BY39" i="16"/>
  <c r="BY38" i="16"/>
  <c r="BY37" i="16"/>
  <c r="BY36" i="16"/>
  <c r="BY35" i="16"/>
  <c r="BY34" i="16"/>
  <c r="BY33" i="16"/>
  <c r="BY32" i="16"/>
  <c r="BY31" i="16"/>
  <c r="BY30" i="16"/>
  <c r="BY29" i="16"/>
  <c r="BY28" i="16"/>
  <c r="BY27" i="16"/>
  <c r="BY26" i="16"/>
  <c r="BY25" i="16"/>
  <c r="BY24" i="16"/>
  <c r="BY23" i="16"/>
  <c r="BY22" i="16"/>
  <c r="BY21" i="16"/>
  <c r="BY20" i="16"/>
  <c r="BY19" i="16"/>
  <c r="BY18" i="16"/>
  <c r="BY17" i="16"/>
  <c r="BY16" i="16"/>
  <c r="BY15" i="16"/>
  <c r="BY14" i="16"/>
  <c r="BY13" i="16"/>
  <c r="BY12" i="16"/>
  <c r="BY11" i="16"/>
  <c r="BY10" i="16"/>
  <c r="BY9" i="16"/>
  <c r="BY8" i="16"/>
  <c r="BY7" i="16"/>
  <c r="BY6" i="16"/>
  <c r="BY5" i="16"/>
  <c r="BY4" i="16"/>
  <c r="BY3" i="16"/>
  <c r="BY2" i="16"/>
  <c r="BQ118" i="16"/>
  <c r="BQ117" i="16"/>
  <c r="BQ116" i="16"/>
  <c r="BQ115" i="16"/>
  <c r="BQ114" i="16"/>
  <c r="BQ113" i="16"/>
  <c r="BQ112" i="16"/>
  <c r="BQ111" i="16"/>
  <c r="BQ110" i="16"/>
  <c r="BQ109" i="16"/>
  <c r="BQ108" i="16"/>
  <c r="BQ107" i="16"/>
  <c r="BQ106" i="16"/>
  <c r="BQ105" i="16"/>
  <c r="BQ104" i="16"/>
  <c r="BQ103" i="16"/>
  <c r="BQ102" i="16"/>
  <c r="BQ101" i="16"/>
  <c r="BQ100" i="16"/>
  <c r="BQ99" i="16"/>
  <c r="BQ98" i="16"/>
  <c r="BQ97" i="16"/>
  <c r="BQ96" i="16"/>
  <c r="BQ95" i="16"/>
  <c r="BQ94" i="16"/>
  <c r="BQ93" i="16"/>
  <c r="BQ92" i="16"/>
  <c r="BQ91" i="16"/>
  <c r="BQ90" i="16"/>
  <c r="BQ89" i="16"/>
  <c r="BQ88" i="16"/>
  <c r="BQ87" i="16"/>
  <c r="BQ86" i="16"/>
  <c r="BQ85" i="16"/>
  <c r="BQ84" i="16"/>
  <c r="BQ83" i="16"/>
  <c r="BQ82" i="16"/>
  <c r="BQ81" i="16"/>
  <c r="BQ80" i="16"/>
  <c r="BQ79" i="16"/>
  <c r="BQ78" i="16"/>
  <c r="BQ77" i="16"/>
  <c r="BQ76" i="16"/>
  <c r="BQ75" i="16"/>
  <c r="BQ74" i="16"/>
  <c r="BQ73" i="16"/>
  <c r="BQ72" i="16"/>
  <c r="BQ71" i="16"/>
  <c r="BQ70" i="16"/>
  <c r="BQ69" i="16"/>
  <c r="BQ68" i="16"/>
  <c r="BQ67" i="16"/>
  <c r="BQ66" i="16"/>
  <c r="BQ65" i="16"/>
  <c r="BQ64" i="16"/>
  <c r="BQ63" i="16"/>
  <c r="BQ62" i="16"/>
  <c r="BQ61" i="16"/>
  <c r="BQ60" i="16"/>
  <c r="BQ59" i="16"/>
  <c r="BQ58" i="16"/>
  <c r="BQ57" i="16"/>
  <c r="BQ56" i="16"/>
  <c r="BQ55" i="16"/>
  <c r="BQ54" i="16"/>
  <c r="BQ53" i="16"/>
  <c r="BQ52" i="16"/>
  <c r="BQ51" i="16"/>
  <c r="BQ50" i="16"/>
  <c r="BQ49" i="16"/>
  <c r="BQ48" i="16"/>
  <c r="BQ47" i="16"/>
  <c r="BQ46" i="16"/>
  <c r="BQ45" i="16"/>
  <c r="BQ44" i="16"/>
  <c r="BQ43" i="16"/>
  <c r="BQ42" i="16"/>
  <c r="BQ41" i="16"/>
  <c r="BQ40" i="16"/>
  <c r="BQ39" i="16"/>
  <c r="BQ38" i="16"/>
  <c r="BQ37" i="16"/>
  <c r="BQ36" i="16"/>
  <c r="BQ35" i="16"/>
  <c r="BQ34" i="16"/>
  <c r="BQ33" i="16"/>
  <c r="BQ32" i="16"/>
  <c r="BQ31" i="16"/>
  <c r="BQ30" i="16"/>
  <c r="BQ29" i="16"/>
  <c r="BQ28" i="16"/>
  <c r="BQ27" i="16"/>
  <c r="BQ26" i="16"/>
  <c r="BQ25" i="16"/>
  <c r="BQ24" i="16"/>
  <c r="BQ23" i="16"/>
  <c r="BQ22" i="16"/>
  <c r="BQ21" i="16"/>
  <c r="BQ20" i="16"/>
  <c r="BQ19" i="16"/>
  <c r="BQ18" i="16"/>
  <c r="BQ17" i="16"/>
  <c r="BQ16" i="16"/>
  <c r="BQ15" i="16"/>
  <c r="BQ14" i="16"/>
  <c r="BQ13" i="16"/>
  <c r="BQ12" i="16"/>
  <c r="BQ11" i="16"/>
  <c r="BQ10" i="16"/>
  <c r="BQ9" i="16"/>
  <c r="BQ8" i="16"/>
  <c r="BQ7" i="16"/>
  <c r="BQ6" i="16"/>
  <c r="BQ5" i="16"/>
  <c r="BQ4" i="16"/>
  <c r="BQ3" i="16"/>
  <c r="BQ2" i="16"/>
  <c r="Q355" i="22"/>
  <c r="Q354" i="22"/>
  <c r="Q353" i="22"/>
  <c r="Q352" i="22"/>
  <c r="Q351" i="22"/>
  <c r="Q350" i="22"/>
  <c r="Q349" i="22"/>
  <c r="Q348" i="22"/>
  <c r="Q347" i="22"/>
  <c r="Q346" i="22"/>
  <c r="Q345" i="22"/>
  <c r="Q344" i="22"/>
  <c r="Q343" i="22"/>
  <c r="Q342" i="22"/>
  <c r="Q341" i="22"/>
  <c r="Q340" i="22"/>
  <c r="Q339" i="22"/>
  <c r="Q338" i="22"/>
  <c r="Q337" i="22"/>
  <c r="Q336" i="22"/>
  <c r="Q335" i="22"/>
  <c r="Q334" i="22"/>
  <c r="Q333" i="22"/>
  <c r="Q332" i="22"/>
  <c r="Q331" i="22"/>
  <c r="Q330" i="22"/>
  <c r="Q329" i="22"/>
  <c r="Q328" i="22"/>
  <c r="Q327" i="22"/>
  <c r="Q326" i="22"/>
  <c r="Q325" i="22"/>
  <c r="Q324" i="22"/>
  <c r="Q323" i="22"/>
  <c r="Q322" i="22"/>
  <c r="Q321" i="22"/>
  <c r="Q320" i="22"/>
  <c r="Q319" i="22"/>
  <c r="Q318" i="22"/>
  <c r="Q317" i="22"/>
  <c r="Q316" i="22"/>
  <c r="Q315" i="22"/>
  <c r="Q314" i="22"/>
  <c r="Q313" i="22"/>
  <c r="Q312" i="22"/>
  <c r="Q311" i="22"/>
  <c r="Q310" i="22"/>
  <c r="Q309" i="22"/>
  <c r="Q308" i="22"/>
  <c r="Q307" i="22"/>
  <c r="Q306" i="22"/>
  <c r="Q305" i="22"/>
  <c r="Q304" i="22"/>
  <c r="Q303" i="22"/>
  <c r="Q302" i="22"/>
  <c r="Q301" i="22"/>
  <c r="Q300" i="22"/>
  <c r="Q299" i="22"/>
  <c r="Q298" i="22"/>
  <c r="Q297" i="22"/>
  <c r="Q296" i="22"/>
  <c r="Q295" i="22"/>
  <c r="Q294" i="22"/>
  <c r="Q293" i="22"/>
  <c r="Q292" i="22"/>
  <c r="Q291" i="22"/>
  <c r="Q290" i="22"/>
  <c r="Q289" i="22"/>
  <c r="Q288" i="22"/>
  <c r="Q287" i="22"/>
  <c r="Q286" i="22"/>
  <c r="Q285" i="22"/>
  <c r="Q284" i="22"/>
  <c r="Q283" i="22"/>
  <c r="Q282" i="22"/>
  <c r="Q281" i="22"/>
  <c r="Q280" i="22"/>
  <c r="Q279" i="22"/>
  <c r="Q278" i="22"/>
  <c r="Q277" i="22"/>
  <c r="Q276" i="22"/>
  <c r="Q275" i="22"/>
  <c r="Q274" i="22"/>
  <c r="Q273" i="22"/>
  <c r="Q272" i="22"/>
  <c r="Q271" i="22"/>
  <c r="Q270" i="22"/>
  <c r="Q269" i="22"/>
  <c r="Q268" i="22"/>
  <c r="Q267" i="22"/>
  <c r="Q266" i="22"/>
  <c r="Q265" i="22"/>
  <c r="Q264" i="22"/>
  <c r="Q263" i="22"/>
  <c r="Q262" i="22"/>
  <c r="Q261" i="22"/>
  <c r="Q260" i="22"/>
  <c r="Q259" i="22"/>
  <c r="Q258" i="22"/>
  <c r="Q257" i="22"/>
  <c r="Q256" i="22"/>
  <c r="Q255" i="22"/>
  <c r="Q254" i="22"/>
  <c r="Q253" i="22"/>
  <c r="Q252" i="22"/>
  <c r="Q251" i="22"/>
  <c r="Q250" i="22"/>
  <c r="Q249" i="22"/>
  <c r="Q248" i="22"/>
  <c r="Q247" i="22"/>
  <c r="Q246" i="22"/>
  <c r="Q245" i="22"/>
  <c r="Q244" i="22"/>
  <c r="Q243" i="22"/>
  <c r="Q242" i="22"/>
  <c r="Q241" i="22"/>
  <c r="Q240" i="22"/>
  <c r="Q239" i="22"/>
  <c r="Q238" i="22"/>
  <c r="Q237" i="22"/>
  <c r="Q236" i="22"/>
  <c r="Q235" i="22"/>
  <c r="Q234" i="22"/>
  <c r="Q233" i="22"/>
  <c r="Q232" i="22"/>
  <c r="Q231" i="22"/>
  <c r="Q230" i="22"/>
  <c r="Q229" i="22"/>
  <c r="Q228" i="22"/>
  <c r="Q227" i="22"/>
  <c r="Q226" i="22"/>
  <c r="Q225" i="22"/>
  <c r="Q224" i="22"/>
  <c r="Q223" i="22"/>
  <c r="Q222" i="22"/>
  <c r="Q221" i="22"/>
  <c r="Q220" i="22"/>
  <c r="Q219" i="22"/>
  <c r="Q218" i="22"/>
  <c r="Q217" i="22"/>
  <c r="Q216" i="22"/>
  <c r="Q215" i="22"/>
  <c r="Q214" i="22"/>
  <c r="Q213" i="22"/>
  <c r="Q212" i="22"/>
  <c r="Q211" i="22"/>
  <c r="Q210" i="22"/>
  <c r="Q209" i="22"/>
  <c r="Q208" i="22"/>
  <c r="Q207" i="22"/>
  <c r="Q206" i="22"/>
  <c r="Q205" i="22"/>
  <c r="Q204" i="22"/>
  <c r="Q203" i="22"/>
  <c r="Q202" i="22"/>
  <c r="Q201" i="22"/>
  <c r="Q200" i="22"/>
  <c r="Q199" i="22"/>
  <c r="Q198" i="22"/>
  <c r="Q197" i="22"/>
  <c r="Q196" i="22"/>
  <c r="Q195" i="22"/>
  <c r="Q194" i="22"/>
  <c r="Q193" i="22"/>
  <c r="Q192" i="22"/>
  <c r="Q191" i="22"/>
  <c r="Q190" i="22"/>
  <c r="Q189" i="22"/>
  <c r="Q188" i="22"/>
  <c r="Q187" i="22"/>
  <c r="Q186" i="22"/>
  <c r="Q185" i="22"/>
  <c r="Q184" i="22"/>
  <c r="Q183" i="22"/>
  <c r="Q182" i="22"/>
  <c r="Q181" i="22"/>
  <c r="Q180" i="22"/>
  <c r="Q179" i="22"/>
  <c r="Q178" i="22"/>
  <c r="Q177" i="22"/>
  <c r="Q176" i="22"/>
  <c r="Q175" i="22"/>
  <c r="Q174" i="22"/>
  <c r="Q173" i="22"/>
  <c r="Q172" i="22"/>
  <c r="Q171" i="22"/>
  <c r="Q170" i="22"/>
  <c r="Q169" i="22"/>
  <c r="Q168" i="22"/>
  <c r="Q167" i="22"/>
  <c r="Q166" i="22"/>
  <c r="Q165" i="22"/>
  <c r="Q164" i="22"/>
  <c r="Q163" i="22"/>
  <c r="Q162" i="22"/>
  <c r="Q161" i="22"/>
  <c r="Q160" i="22"/>
  <c r="Q159" i="22"/>
  <c r="Q158" i="22"/>
  <c r="Q157" i="22"/>
  <c r="Q156" i="22"/>
  <c r="Q155" i="22"/>
  <c r="Q154" i="22"/>
  <c r="Q153" i="22"/>
  <c r="Q152" i="22"/>
  <c r="Q151" i="22"/>
  <c r="Q150" i="22"/>
  <c r="Q149" i="22"/>
  <c r="Q148" i="22"/>
  <c r="Q147" i="22"/>
  <c r="Q146" i="22"/>
  <c r="Q145" i="22"/>
  <c r="Q144" i="22"/>
  <c r="Q143" i="22"/>
  <c r="Q142" i="22"/>
  <c r="Q141" i="22"/>
  <c r="Q140" i="22"/>
  <c r="Q139" i="22"/>
  <c r="Q138" i="22"/>
  <c r="Q137" i="22"/>
  <c r="Q136" i="22"/>
  <c r="Q135" i="22"/>
  <c r="Q134" i="22"/>
  <c r="Q133" i="22"/>
  <c r="Q132" i="22"/>
  <c r="Q131" i="22"/>
  <c r="Q130" i="22"/>
  <c r="Q129" i="22"/>
  <c r="Q128" i="22"/>
  <c r="Q127" i="22"/>
  <c r="Q126" i="22"/>
  <c r="Q125" i="22"/>
  <c r="Q124" i="22"/>
  <c r="Q123" i="22"/>
  <c r="Q122" i="22"/>
  <c r="Q121" i="22"/>
  <c r="Q120" i="22"/>
  <c r="Q119" i="22"/>
  <c r="Q118" i="22"/>
  <c r="Q117" i="22"/>
  <c r="Q116" i="22"/>
  <c r="Q115" i="22"/>
  <c r="Q114" i="22"/>
  <c r="Q113" i="22"/>
  <c r="Q112" i="22"/>
  <c r="Q111" i="22"/>
  <c r="Q110" i="22"/>
  <c r="Q109" i="22"/>
  <c r="Q108" i="22"/>
  <c r="Q107" i="22"/>
  <c r="Q106" i="22"/>
  <c r="Q105" i="22"/>
  <c r="Q104" i="22"/>
  <c r="Q103" i="22"/>
  <c r="Q102" i="22"/>
  <c r="Q101" i="22"/>
  <c r="Q100" i="22"/>
  <c r="Q99" i="22"/>
  <c r="Q98" i="22"/>
  <c r="Q97" i="22"/>
  <c r="Q96" i="22"/>
  <c r="Q95" i="22"/>
  <c r="Q94" i="22"/>
  <c r="Q93" i="22"/>
  <c r="Q92" i="22"/>
  <c r="Q91" i="22"/>
  <c r="Q90" i="22"/>
  <c r="Q89" i="22"/>
  <c r="Q88" i="22"/>
  <c r="Q87" i="22"/>
  <c r="Q86" i="22"/>
  <c r="Q85" i="22"/>
  <c r="Q84" i="22"/>
  <c r="Q83" i="22"/>
  <c r="Q82" i="22"/>
  <c r="Q81" i="22"/>
  <c r="Q80" i="22"/>
  <c r="Q79" i="22"/>
  <c r="Q78" i="22"/>
  <c r="Q77" i="22"/>
  <c r="Q76" i="22"/>
  <c r="Q75" i="22"/>
  <c r="Q74" i="22"/>
  <c r="Q73" i="22"/>
  <c r="Q72" i="22"/>
  <c r="Q71" i="22"/>
  <c r="Q70" i="22"/>
  <c r="Q69" i="22"/>
  <c r="Q68" i="22"/>
  <c r="Q67" i="22"/>
  <c r="Q66" i="22"/>
  <c r="Q65" i="22"/>
  <c r="Q64" i="22"/>
  <c r="Q63" i="22"/>
  <c r="Q62" i="22"/>
  <c r="Q61" i="22"/>
  <c r="Q60" i="22"/>
  <c r="Q59" i="22"/>
  <c r="Q58" i="22"/>
  <c r="Q57" i="22"/>
  <c r="Q56" i="22"/>
  <c r="Q55" i="22"/>
  <c r="Q54" i="22"/>
  <c r="Q53" i="22"/>
  <c r="Q52" i="22"/>
  <c r="Q51" i="22"/>
  <c r="Q50" i="22"/>
  <c r="Q49" i="22"/>
  <c r="Q48" i="22"/>
  <c r="Q47" i="22"/>
  <c r="Q46" i="22"/>
  <c r="Q45" i="22"/>
  <c r="Q44" i="22"/>
  <c r="Q43" i="22"/>
  <c r="Q42" i="22"/>
  <c r="Q41" i="22"/>
  <c r="Q40" i="22"/>
  <c r="Q39" i="22"/>
  <c r="Q38" i="22"/>
  <c r="Q37" i="22"/>
  <c r="Q36" i="22"/>
  <c r="Q35" i="22"/>
  <c r="Q34" i="22"/>
  <c r="Q33" i="22"/>
  <c r="Q32" i="22"/>
  <c r="Q31" i="22"/>
  <c r="Q30" i="22"/>
  <c r="Q29" i="22"/>
  <c r="Q28" i="22"/>
  <c r="Q27" i="22"/>
  <c r="Q26" i="22"/>
  <c r="Q25" i="22"/>
  <c r="Q24" i="22"/>
  <c r="Q23" i="22"/>
  <c r="Q22" i="22"/>
  <c r="Q21" i="22"/>
  <c r="Q20" i="22"/>
  <c r="Q19" i="22"/>
  <c r="Q18" i="22"/>
  <c r="Q17" i="22"/>
  <c r="Q16" i="22"/>
  <c r="Q15" i="22"/>
  <c r="Q14" i="22"/>
  <c r="Q13" i="22"/>
  <c r="Q12" i="22"/>
  <c r="Q11" i="22"/>
  <c r="Q10" i="22"/>
  <c r="Q9" i="22"/>
  <c r="Q8" i="22"/>
  <c r="Q7" i="22"/>
  <c r="Q6" i="22"/>
  <c r="Q5" i="22"/>
  <c r="Q4" i="22"/>
  <c r="Q3" i="22"/>
  <c r="Q2" i="22"/>
  <c r="H5" i="34" l="1"/>
  <c r="G5" i="34"/>
  <c r="H4" i="34"/>
  <c r="G4" i="34"/>
  <c r="H3" i="34"/>
  <c r="G3" i="34"/>
  <c r="H2" i="34"/>
  <c r="G2" i="34"/>
  <c r="J350" i="22"/>
  <c r="J349" i="22"/>
  <c r="J348" i="22"/>
  <c r="J347" i="22"/>
  <c r="J346" i="22"/>
  <c r="J345" i="22"/>
  <c r="J344" i="22"/>
  <c r="J343" i="22"/>
  <c r="J342" i="22"/>
  <c r="J341" i="22"/>
  <c r="J340" i="22"/>
  <c r="J339" i="22"/>
  <c r="J338" i="22"/>
  <c r="J337" i="22"/>
  <c r="J336" i="22"/>
  <c r="J335" i="22"/>
  <c r="J334" i="22"/>
  <c r="J333" i="22"/>
  <c r="J332" i="22"/>
  <c r="J331" i="22"/>
  <c r="J330" i="22"/>
  <c r="J329" i="22"/>
  <c r="J328" i="22"/>
  <c r="J327" i="22"/>
  <c r="J326" i="22"/>
  <c r="J325" i="22"/>
  <c r="J324" i="22"/>
  <c r="J323" i="22"/>
  <c r="J322" i="22"/>
  <c r="J321" i="22"/>
  <c r="J320" i="22"/>
  <c r="J319" i="22"/>
  <c r="J318" i="22"/>
  <c r="J317" i="22"/>
  <c r="J316" i="22"/>
  <c r="J315" i="22"/>
  <c r="J314" i="22"/>
  <c r="J313" i="22"/>
  <c r="J312" i="22"/>
  <c r="J311" i="22"/>
  <c r="J310" i="22"/>
  <c r="J309" i="22"/>
  <c r="J308" i="22"/>
  <c r="J307" i="22"/>
  <c r="J306" i="22"/>
  <c r="J305" i="22"/>
  <c r="J304" i="22"/>
  <c r="J303" i="22"/>
  <c r="J302" i="22"/>
  <c r="J301" i="22"/>
  <c r="J300" i="22"/>
  <c r="J299" i="22"/>
  <c r="J298" i="22"/>
  <c r="J297" i="22"/>
  <c r="J296" i="22"/>
  <c r="J295" i="22"/>
  <c r="J294" i="22"/>
  <c r="J293" i="22"/>
  <c r="J292" i="22"/>
  <c r="J291" i="22"/>
  <c r="J290" i="22"/>
  <c r="J289" i="22"/>
  <c r="J288" i="22"/>
  <c r="J287" i="22"/>
  <c r="J286" i="22"/>
  <c r="J285" i="22"/>
  <c r="J284" i="22"/>
  <c r="J283" i="22"/>
  <c r="J282" i="22"/>
  <c r="J281" i="22"/>
  <c r="J280" i="22"/>
  <c r="J279" i="22"/>
  <c r="J278" i="22"/>
  <c r="J277" i="22"/>
  <c r="J276" i="22"/>
  <c r="J275" i="22"/>
  <c r="J274" i="22"/>
  <c r="J273" i="22"/>
  <c r="J272" i="22"/>
  <c r="J271" i="22"/>
  <c r="J270" i="22"/>
  <c r="J269" i="22"/>
  <c r="J268" i="22"/>
  <c r="J267" i="22"/>
  <c r="J266" i="22"/>
  <c r="J265" i="22"/>
  <c r="J264" i="22"/>
  <c r="J263" i="22"/>
  <c r="J262" i="22"/>
  <c r="J261" i="22"/>
  <c r="J260" i="22"/>
  <c r="J259" i="22"/>
  <c r="J258" i="22"/>
  <c r="J257" i="22"/>
  <c r="J256" i="22"/>
  <c r="J255" i="22"/>
  <c r="J254" i="22"/>
  <c r="J253" i="22"/>
  <c r="J252" i="22"/>
  <c r="J251" i="22"/>
  <c r="J250" i="22"/>
  <c r="J249" i="22"/>
  <c r="J248" i="22"/>
  <c r="J247" i="22"/>
  <c r="J246" i="22"/>
  <c r="J245" i="22"/>
  <c r="J244" i="22"/>
  <c r="J243" i="22"/>
  <c r="J242" i="22"/>
  <c r="J241" i="22"/>
  <c r="J240" i="22"/>
  <c r="J239" i="22"/>
  <c r="J238" i="22"/>
  <c r="J237" i="22"/>
  <c r="J236" i="22"/>
  <c r="J235" i="22"/>
  <c r="J234" i="22"/>
  <c r="J233" i="22"/>
  <c r="J232" i="22"/>
  <c r="J231" i="22"/>
  <c r="J230" i="22"/>
  <c r="J229" i="22"/>
  <c r="J228" i="22"/>
  <c r="J227" i="22"/>
  <c r="J226" i="22"/>
  <c r="J225" i="22"/>
  <c r="J224" i="22"/>
  <c r="J223" i="22"/>
  <c r="J222" i="22"/>
  <c r="J221" i="22"/>
  <c r="J220" i="22"/>
  <c r="J219" i="22"/>
  <c r="J218" i="22"/>
  <c r="J217" i="22"/>
  <c r="J216" i="22"/>
  <c r="J215" i="22"/>
  <c r="J214" i="22"/>
  <c r="J213" i="22"/>
  <c r="J212" i="22"/>
  <c r="J211" i="22"/>
  <c r="J210" i="22"/>
  <c r="J209" i="22"/>
  <c r="J208" i="22"/>
  <c r="J207" i="22"/>
  <c r="J206" i="22"/>
  <c r="J205" i="22"/>
  <c r="J204" i="22"/>
  <c r="J203" i="22"/>
  <c r="J202" i="22"/>
  <c r="J201" i="22"/>
  <c r="J200" i="22"/>
  <c r="J199" i="22"/>
  <c r="J198" i="22"/>
  <c r="J197" i="22"/>
  <c r="J196" i="22"/>
  <c r="J195" i="22"/>
  <c r="J194" i="22"/>
  <c r="J193" i="22"/>
  <c r="J192" i="22"/>
  <c r="J191" i="22"/>
  <c r="J190" i="22"/>
  <c r="J189" i="22"/>
  <c r="J188" i="22"/>
  <c r="J187" i="22"/>
  <c r="J186" i="22"/>
  <c r="J185" i="22"/>
  <c r="J184" i="22"/>
  <c r="J183" i="22"/>
  <c r="J182" i="22"/>
  <c r="J181" i="22"/>
  <c r="J180" i="22"/>
  <c r="J179" i="22"/>
  <c r="J178" i="22"/>
  <c r="J177" i="22"/>
  <c r="J176" i="22"/>
  <c r="J175" i="22"/>
  <c r="J174" i="22"/>
  <c r="J173" i="22"/>
  <c r="J172" i="22"/>
  <c r="J171" i="22"/>
  <c r="J170" i="22"/>
  <c r="J169" i="22"/>
  <c r="J168" i="22"/>
  <c r="J167" i="22"/>
  <c r="J166" i="22"/>
  <c r="J165" i="22"/>
  <c r="J164" i="22"/>
  <c r="J163" i="22"/>
  <c r="J162" i="22"/>
  <c r="J161" i="22"/>
  <c r="J160" i="22"/>
  <c r="J159" i="22"/>
  <c r="J158" i="22"/>
  <c r="J157" i="22"/>
  <c r="J156" i="22"/>
  <c r="J155" i="22"/>
  <c r="J154" i="22"/>
  <c r="J153" i="22"/>
  <c r="J152" i="22"/>
  <c r="J151" i="22"/>
  <c r="J150" i="22"/>
  <c r="J149" i="22"/>
  <c r="J148" i="22"/>
  <c r="J147" i="22"/>
  <c r="J146" i="22"/>
  <c r="J145" i="22"/>
  <c r="J144" i="22"/>
  <c r="J143" i="22"/>
  <c r="J142" i="22"/>
  <c r="J141" i="22"/>
  <c r="J140" i="22"/>
  <c r="J139" i="22"/>
  <c r="J138" i="22"/>
  <c r="J137" i="22"/>
  <c r="J136" i="22"/>
  <c r="J135" i="22"/>
  <c r="J134" i="22"/>
  <c r="J133" i="22"/>
  <c r="J132" i="22"/>
  <c r="J131" i="22"/>
  <c r="J130" i="22"/>
  <c r="J129" i="22"/>
  <c r="J128" i="22"/>
  <c r="J127" i="22"/>
  <c r="J126" i="22"/>
  <c r="J125" i="22"/>
  <c r="J124" i="22"/>
  <c r="J123" i="22"/>
  <c r="J122" i="22"/>
  <c r="J121" i="22"/>
  <c r="J120" i="22"/>
  <c r="J119" i="22"/>
  <c r="J118" i="22"/>
  <c r="J117" i="22"/>
  <c r="J116" i="22"/>
  <c r="J115" i="22"/>
  <c r="J114" i="22"/>
  <c r="J113" i="22"/>
  <c r="J112" i="22"/>
  <c r="J111" i="22"/>
  <c r="J110" i="22"/>
  <c r="J109" i="22"/>
  <c r="J108" i="22"/>
  <c r="J107" i="22"/>
  <c r="J106" i="22"/>
  <c r="J105" i="22"/>
  <c r="J104" i="22"/>
  <c r="J103" i="22"/>
  <c r="J102" i="22"/>
  <c r="J101" i="22"/>
  <c r="J100" i="22"/>
  <c r="J99" i="22"/>
  <c r="J98" i="22"/>
  <c r="J97" i="22"/>
  <c r="J96" i="22"/>
  <c r="J95" i="22"/>
  <c r="J94" i="22"/>
  <c r="J93" i="22"/>
  <c r="J92" i="22"/>
  <c r="J91" i="22"/>
  <c r="J90" i="22"/>
  <c r="J89" i="22"/>
  <c r="J88" i="22"/>
  <c r="J87" i="22"/>
  <c r="J86" i="22"/>
  <c r="J85" i="22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J68" i="22"/>
  <c r="J67" i="22"/>
  <c r="J66" i="22"/>
  <c r="J65" i="22"/>
  <c r="J64" i="22"/>
  <c r="J63" i="22"/>
  <c r="J62" i="22"/>
  <c r="J61" i="22"/>
  <c r="J60" i="22"/>
  <c r="J59" i="22"/>
  <c r="J58" i="22"/>
  <c r="J57" i="22"/>
  <c r="J56" i="22"/>
  <c r="J55" i="22"/>
  <c r="J54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F5" i="26" l="1"/>
  <c r="E5" i="26"/>
  <c r="G19" i="32" l="1"/>
  <c r="H19" i="32"/>
  <c r="G7" i="20"/>
  <c r="H7" i="20"/>
  <c r="G14" i="20"/>
  <c r="H14" i="20"/>
  <c r="G16" i="20"/>
  <c r="H16" i="20"/>
  <c r="H4" i="32"/>
  <c r="G4" i="32"/>
  <c r="H6" i="32"/>
  <c r="G6" i="32"/>
  <c r="G70" i="9"/>
  <c r="F70" i="9"/>
  <c r="G69" i="9"/>
  <c r="F69" i="9"/>
  <c r="G68" i="9"/>
  <c r="F68" i="9"/>
  <c r="H3" i="32"/>
  <c r="G3" i="32"/>
  <c r="H25" i="14"/>
  <c r="I25" i="14"/>
  <c r="H24" i="14"/>
  <c r="I24" i="14"/>
  <c r="I13" i="14"/>
  <c r="H13" i="14"/>
  <c r="H19" i="14"/>
  <c r="I19" i="14"/>
  <c r="H21" i="14"/>
  <c r="I21" i="14"/>
  <c r="H22" i="14"/>
  <c r="I22" i="14"/>
  <c r="H26" i="14"/>
  <c r="I26" i="14"/>
  <c r="H50" i="6"/>
  <c r="G50" i="6"/>
  <c r="F6" i="26"/>
  <c r="E6" i="26"/>
  <c r="G18" i="32"/>
  <c r="H18" i="32"/>
  <c r="H17" i="32"/>
  <c r="G17" i="32"/>
  <c r="H16" i="32"/>
  <c r="G16" i="32"/>
  <c r="H15" i="32"/>
  <c r="G15" i="32"/>
  <c r="H14" i="32"/>
  <c r="G14" i="32"/>
  <c r="H13" i="32"/>
  <c r="G13" i="32"/>
  <c r="H12" i="32"/>
  <c r="G12" i="32"/>
  <c r="H11" i="32"/>
  <c r="G11" i="32"/>
  <c r="H10" i="32"/>
  <c r="G10" i="32"/>
  <c r="H9" i="32"/>
  <c r="G9" i="32"/>
  <c r="H8" i="32"/>
  <c r="G8" i="32"/>
  <c r="H7" i="32"/>
  <c r="G7" i="32"/>
  <c r="H5" i="32"/>
  <c r="G5" i="32"/>
  <c r="H2" i="32"/>
  <c r="G2" i="32"/>
  <c r="H23" i="14"/>
  <c r="I23" i="14"/>
  <c r="H27" i="14"/>
  <c r="I27" i="14"/>
  <c r="I18" i="14"/>
  <c r="H18" i="14"/>
  <c r="I17" i="14"/>
  <c r="H17" i="14"/>
  <c r="I16" i="14"/>
  <c r="H16" i="14"/>
  <c r="I15" i="14"/>
  <c r="H15" i="14"/>
  <c r="I14" i="14"/>
  <c r="H14" i="14"/>
  <c r="I12" i="14"/>
  <c r="H12" i="14"/>
  <c r="I20" i="14"/>
  <c r="H20" i="14"/>
  <c r="H54" i="6"/>
  <c r="G54" i="6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J5" i="2"/>
  <c r="I5" i="2"/>
  <c r="J4" i="2"/>
  <c r="I4" i="2"/>
  <c r="J3" i="2"/>
  <c r="I3" i="2"/>
  <c r="J2" i="2"/>
  <c r="I2" i="2"/>
  <c r="G48" i="6"/>
  <c r="H48" i="6"/>
  <c r="G106" i="3"/>
  <c r="F106" i="3"/>
  <c r="G105" i="3"/>
  <c r="F105" i="3"/>
  <c r="G104" i="3"/>
  <c r="F104" i="3"/>
  <c r="F103" i="3"/>
  <c r="G103" i="3"/>
  <c r="G7" i="29"/>
  <c r="F7" i="29"/>
  <c r="G6" i="29"/>
  <c r="F6" i="29"/>
  <c r="G5" i="29"/>
  <c r="F5" i="29"/>
  <c r="G4" i="29"/>
  <c r="F4" i="29"/>
  <c r="G3" i="29"/>
  <c r="F3" i="29"/>
  <c r="G2" i="29"/>
  <c r="F2" i="29"/>
  <c r="G128" i="3"/>
  <c r="F128" i="3"/>
  <c r="G123" i="3"/>
  <c r="F123" i="3"/>
  <c r="G121" i="3"/>
  <c r="F121" i="3"/>
  <c r="G120" i="3"/>
  <c r="F120" i="3"/>
  <c r="G119" i="3"/>
  <c r="F119" i="3"/>
  <c r="G118" i="3"/>
  <c r="F118" i="3"/>
  <c r="G116" i="3"/>
  <c r="F116" i="3"/>
  <c r="G115" i="3"/>
  <c r="F115" i="3"/>
  <c r="G114" i="3"/>
  <c r="F114" i="3"/>
  <c r="G113" i="3"/>
  <c r="F113" i="3"/>
  <c r="G112" i="3"/>
  <c r="F112" i="3"/>
  <c r="G111" i="3"/>
  <c r="F111" i="3"/>
  <c r="G110" i="3"/>
  <c r="F110" i="3"/>
  <c r="G109" i="3"/>
  <c r="F109" i="3"/>
  <c r="G108" i="3"/>
  <c r="F108" i="3"/>
  <c r="G107" i="3"/>
  <c r="F107" i="3"/>
  <c r="G5" i="24"/>
  <c r="F5" i="24"/>
  <c r="G4" i="24"/>
  <c r="F4" i="24"/>
  <c r="G3" i="24"/>
  <c r="F3" i="24"/>
  <c r="G2" i="24"/>
  <c r="F2" i="24"/>
  <c r="I139" i="3"/>
  <c r="H139" i="3"/>
  <c r="I138" i="3"/>
  <c r="H138" i="3"/>
  <c r="I137" i="3"/>
  <c r="H137" i="3"/>
  <c r="I136" i="3"/>
  <c r="H136" i="3"/>
  <c r="I7" i="14"/>
  <c r="I6" i="14"/>
  <c r="I4" i="14"/>
  <c r="I3" i="14"/>
  <c r="I2" i="14"/>
  <c r="H7" i="14"/>
  <c r="H6" i="14"/>
  <c r="H4" i="14"/>
  <c r="H3" i="14"/>
  <c r="H2" i="14"/>
  <c r="H40" i="25"/>
  <c r="G40" i="25"/>
  <c r="H39" i="25"/>
  <c r="G39" i="25"/>
  <c r="H38" i="25"/>
  <c r="G38" i="25"/>
  <c r="H37" i="25"/>
  <c r="G37" i="25"/>
  <c r="H36" i="25"/>
  <c r="G36" i="25"/>
  <c r="H35" i="25"/>
  <c r="G35" i="25"/>
  <c r="H34" i="25"/>
  <c r="G34" i="25"/>
  <c r="H33" i="25"/>
  <c r="G33" i="25"/>
  <c r="H32" i="25"/>
  <c r="G32" i="25"/>
  <c r="H31" i="25"/>
  <c r="G31" i="25"/>
  <c r="H30" i="25"/>
  <c r="G30" i="25"/>
  <c r="H29" i="25"/>
  <c r="G29" i="25"/>
  <c r="H28" i="25"/>
  <c r="G28" i="25"/>
  <c r="H27" i="25"/>
  <c r="G27" i="25"/>
  <c r="H26" i="25"/>
  <c r="G26" i="25"/>
  <c r="H25" i="25"/>
  <c r="G25" i="25"/>
  <c r="H24" i="25"/>
  <c r="G24" i="25"/>
  <c r="H23" i="25"/>
  <c r="G23" i="25"/>
  <c r="H22" i="25"/>
  <c r="G22" i="25"/>
  <c r="H21" i="25"/>
  <c r="G21" i="25"/>
  <c r="H20" i="25"/>
  <c r="G20" i="25"/>
  <c r="H19" i="25"/>
  <c r="G19" i="25"/>
  <c r="H18" i="25"/>
  <c r="G18" i="25"/>
  <c r="H17" i="25"/>
  <c r="G17" i="25"/>
  <c r="H16" i="25"/>
  <c r="G16" i="25"/>
  <c r="H15" i="25"/>
  <c r="G15" i="25"/>
  <c r="H14" i="25"/>
  <c r="G14" i="25"/>
  <c r="H13" i="25"/>
  <c r="G13" i="25"/>
  <c r="H12" i="25"/>
  <c r="G12" i="25"/>
  <c r="H11" i="25"/>
  <c r="G11" i="25"/>
  <c r="H10" i="25"/>
  <c r="G10" i="25"/>
  <c r="H9" i="25"/>
  <c r="G9" i="25"/>
  <c r="H8" i="25"/>
  <c r="G8" i="25"/>
  <c r="H7" i="25"/>
  <c r="G7" i="25"/>
  <c r="H6" i="25"/>
  <c r="G6" i="25"/>
  <c r="H5" i="25"/>
  <c r="G5" i="25"/>
  <c r="H4" i="25"/>
  <c r="G4" i="25"/>
  <c r="H3" i="25"/>
  <c r="G3" i="25"/>
  <c r="H2" i="25"/>
  <c r="G2" i="25"/>
  <c r="G67" i="9"/>
  <c r="F67" i="9"/>
  <c r="G66" i="9"/>
  <c r="F66" i="9"/>
  <c r="G65" i="9"/>
  <c r="F65" i="9"/>
  <c r="G64" i="9"/>
  <c r="F64" i="9"/>
  <c r="G62" i="9"/>
  <c r="F62" i="9"/>
  <c r="G19" i="9"/>
  <c r="F19" i="9"/>
  <c r="G18" i="9"/>
  <c r="F18" i="9"/>
  <c r="G2" i="9"/>
  <c r="F2" i="9"/>
  <c r="G4" i="3"/>
  <c r="F4" i="3"/>
  <c r="AW173" i="16"/>
  <c r="AW172" i="16"/>
  <c r="AW171" i="16"/>
  <c r="AW170" i="16"/>
  <c r="AW169" i="16"/>
  <c r="AW168" i="16"/>
  <c r="AW167" i="16"/>
  <c r="AW166" i="16"/>
  <c r="AW165" i="16"/>
  <c r="AW164" i="16"/>
  <c r="AW163" i="16"/>
  <c r="AW162" i="16"/>
  <c r="AW161" i="16"/>
  <c r="AW160" i="16"/>
  <c r="AW159" i="16"/>
  <c r="AW158" i="16"/>
  <c r="AW157" i="16"/>
  <c r="AW156" i="16"/>
  <c r="AW155" i="16"/>
  <c r="AW154" i="16"/>
  <c r="AW153" i="16"/>
  <c r="AW152" i="16"/>
  <c r="AW151" i="16"/>
  <c r="AW150" i="16"/>
  <c r="AW149" i="16"/>
  <c r="AW148" i="16"/>
  <c r="AW147" i="16"/>
  <c r="AW146" i="16"/>
  <c r="AW145" i="16"/>
  <c r="AW144" i="16"/>
  <c r="AW143" i="16"/>
  <c r="AW142" i="16"/>
  <c r="AW141" i="16"/>
  <c r="AW140" i="16"/>
  <c r="AW139" i="16"/>
  <c r="AW138" i="16"/>
  <c r="AW137" i="16"/>
  <c r="AW136" i="16"/>
  <c r="AW135" i="16"/>
  <c r="AW134" i="16"/>
  <c r="AW133" i="16"/>
  <c r="AW132" i="16"/>
  <c r="AW131" i="16"/>
  <c r="AW130" i="16"/>
  <c r="AW129" i="16"/>
  <c r="AW128" i="16"/>
  <c r="AW127" i="16"/>
  <c r="AW126" i="16"/>
  <c r="AW125" i="16"/>
  <c r="AW124" i="16"/>
  <c r="AW123" i="16"/>
  <c r="AW122" i="16"/>
  <c r="AW121" i="16"/>
  <c r="AW120" i="16"/>
  <c r="AW119" i="16"/>
  <c r="AW118" i="16"/>
  <c r="AW117" i="16"/>
  <c r="AW116" i="16"/>
  <c r="AW115" i="16"/>
  <c r="AW114" i="16"/>
  <c r="AW113" i="16"/>
  <c r="AW112" i="16"/>
  <c r="AW111" i="16"/>
  <c r="AW110" i="16"/>
  <c r="AW109" i="16"/>
  <c r="AW108" i="16"/>
  <c r="AW107" i="16"/>
  <c r="AW106" i="16"/>
  <c r="AW105" i="16"/>
  <c r="AW104" i="16"/>
  <c r="AW103" i="16"/>
  <c r="AW102" i="16"/>
  <c r="AW101" i="16"/>
  <c r="AW100" i="16"/>
  <c r="AW99" i="16"/>
  <c r="AW98" i="16"/>
  <c r="AW97" i="16"/>
  <c r="AW96" i="16"/>
  <c r="AW95" i="16"/>
  <c r="AW94" i="16"/>
  <c r="AW93" i="16"/>
  <c r="AW92" i="16"/>
  <c r="AW91" i="16"/>
  <c r="AW90" i="16"/>
  <c r="AW89" i="16"/>
  <c r="AW88" i="16"/>
  <c r="AW87" i="16"/>
  <c r="AW86" i="16"/>
  <c r="AW85" i="16"/>
  <c r="AW84" i="16"/>
  <c r="AW83" i="16"/>
  <c r="AW82" i="16"/>
  <c r="AW81" i="16"/>
  <c r="AW80" i="16"/>
  <c r="AW79" i="16"/>
  <c r="AW78" i="16"/>
  <c r="AW77" i="16"/>
  <c r="AW76" i="16"/>
  <c r="AW75" i="16"/>
  <c r="AW74" i="16"/>
  <c r="AW73" i="16"/>
  <c r="AW72" i="16"/>
  <c r="AW71" i="16"/>
  <c r="AW70" i="16"/>
  <c r="AW69" i="16"/>
  <c r="AW68" i="16"/>
  <c r="AW67" i="16"/>
  <c r="AW66" i="16"/>
  <c r="AW65" i="16"/>
  <c r="AW64" i="16"/>
  <c r="AW63" i="16"/>
  <c r="AW62" i="16"/>
  <c r="AW61" i="16"/>
  <c r="AW60" i="16"/>
  <c r="AW59" i="16"/>
  <c r="AW58" i="16"/>
  <c r="AW57" i="16"/>
  <c r="AW56" i="16"/>
  <c r="AW55" i="16"/>
  <c r="AW54" i="16"/>
  <c r="AW53" i="16"/>
  <c r="AW52" i="16"/>
  <c r="AW51" i="16"/>
  <c r="AW50" i="16"/>
  <c r="AW49" i="16"/>
  <c r="AW48" i="16"/>
  <c r="AW47" i="16"/>
  <c r="AW46" i="16"/>
  <c r="AW45" i="16"/>
  <c r="AW44" i="16"/>
  <c r="AW43" i="16"/>
  <c r="AW42" i="16"/>
  <c r="AW41" i="16"/>
  <c r="AW40" i="16"/>
  <c r="AW39" i="16"/>
  <c r="AW38" i="16"/>
  <c r="AW37" i="16"/>
  <c r="AW36" i="16"/>
  <c r="AW35" i="16"/>
  <c r="AW34" i="16"/>
  <c r="AW33" i="16"/>
  <c r="AW32" i="16"/>
  <c r="AW31" i="16"/>
  <c r="AW30" i="16"/>
  <c r="AW29" i="16"/>
  <c r="AW28" i="16"/>
  <c r="AW27" i="16"/>
  <c r="AW26" i="16"/>
  <c r="AW25" i="16"/>
  <c r="AW24" i="16"/>
  <c r="AW23" i="16"/>
  <c r="AW22" i="16"/>
  <c r="AW21" i="16"/>
  <c r="AW20" i="16"/>
  <c r="AW19" i="16"/>
  <c r="AW18" i="16"/>
  <c r="AW17" i="16"/>
  <c r="AW16" i="16"/>
  <c r="AW15" i="16"/>
  <c r="AW14" i="16"/>
  <c r="AW13" i="16"/>
  <c r="AW12" i="16"/>
  <c r="AW11" i="16"/>
  <c r="AW10" i="16"/>
  <c r="AW9" i="16"/>
  <c r="AW8" i="16"/>
  <c r="AW7" i="16"/>
  <c r="AW6" i="16"/>
  <c r="AW5" i="16"/>
  <c r="AW4" i="16"/>
  <c r="AW3" i="16"/>
  <c r="AW2" i="16"/>
  <c r="AP59" i="16"/>
  <c r="AP58" i="16"/>
  <c r="AP57" i="16"/>
  <c r="AP56" i="16"/>
  <c r="AP55" i="16"/>
  <c r="AP54" i="16"/>
  <c r="AP53" i="16"/>
  <c r="AP52" i="16"/>
  <c r="AP51" i="16"/>
  <c r="AP50" i="16"/>
  <c r="AP49" i="16"/>
  <c r="AP48" i="16"/>
  <c r="AP47" i="16"/>
  <c r="AP46" i="16"/>
  <c r="AP45" i="16"/>
  <c r="AP44" i="16"/>
  <c r="AP43" i="16"/>
  <c r="AP42" i="16"/>
  <c r="AP41" i="16"/>
  <c r="AP40" i="16"/>
  <c r="AP39" i="16"/>
  <c r="AP38" i="16"/>
  <c r="AP37" i="16"/>
  <c r="AP36" i="16"/>
  <c r="AP35" i="16"/>
  <c r="AP34" i="16"/>
  <c r="AP33" i="16"/>
  <c r="AP32" i="16"/>
  <c r="AP31" i="16"/>
  <c r="AP30" i="16"/>
  <c r="AP29" i="16"/>
  <c r="AP28" i="16"/>
  <c r="AP27" i="16"/>
  <c r="AP26" i="16"/>
  <c r="AP25" i="16"/>
  <c r="AP24" i="16"/>
  <c r="AP23" i="16"/>
  <c r="AP22" i="16"/>
  <c r="AP21" i="16"/>
  <c r="AP20" i="16"/>
  <c r="AP19" i="16"/>
  <c r="AP18" i="16"/>
  <c r="AP17" i="16"/>
  <c r="AP16" i="16"/>
  <c r="AP15" i="16"/>
  <c r="AP14" i="16"/>
  <c r="AP13" i="16"/>
  <c r="AP12" i="16"/>
  <c r="AP11" i="16"/>
  <c r="AP10" i="16"/>
  <c r="AP9" i="16"/>
  <c r="AP8" i="16"/>
  <c r="AP7" i="16"/>
  <c r="AP6" i="16"/>
  <c r="AP5" i="16"/>
  <c r="AP4" i="16"/>
  <c r="AP3" i="16"/>
  <c r="AP2" i="16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G102" i="3"/>
  <c r="F102" i="3"/>
  <c r="G101" i="3"/>
  <c r="F101" i="3"/>
  <c r="G100" i="3"/>
  <c r="F100" i="3"/>
  <c r="G99" i="3"/>
  <c r="F99" i="3"/>
  <c r="G98" i="3"/>
  <c r="F98" i="3"/>
  <c r="G97" i="3"/>
  <c r="F97" i="3"/>
  <c r="G96" i="3"/>
  <c r="F96" i="3"/>
  <c r="G95" i="3"/>
  <c r="F95" i="3"/>
  <c r="G94" i="3"/>
  <c r="F94" i="3"/>
  <c r="G93" i="3"/>
  <c r="F93" i="3"/>
  <c r="G92" i="3"/>
  <c r="F92" i="3"/>
  <c r="G91" i="3"/>
  <c r="F91" i="3"/>
  <c r="G90" i="3"/>
  <c r="F90" i="3"/>
  <c r="G89" i="3"/>
  <c r="F89" i="3"/>
  <c r="G88" i="3"/>
  <c r="F88" i="3"/>
  <c r="G87" i="3"/>
  <c r="F87" i="3"/>
  <c r="G86" i="3"/>
  <c r="F86" i="3"/>
  <c r="G85" i="3"/>
  <c r="F85" i="3"/>
  <c r="G84" i="3"/>
  <c r="F84" i="3"/>
  <c r="G83" i="3"/>
  <c r="F83" i="3"/>
  <c r="G82" i="3"/>
  <c r="F82" i="3"/>
  <c r="G81" i="3"/>
  <c r="F81" i="3"/>
  <c r="G80" i="3"/>
  <c r="F80" i="3"/>
  <c r="G79" i="3"/>
  <c r="F79" i="3"/>
  <c r="G78" i="3"/>
  <c r="F78" i="3"/>
  <c r="G77" i="3"/>
  <c r="F77" i="3"/>
  <c r="G76" i="3"/>
  <c r="F76" i="3"/>
  <c r="G75" i="3"/>
  <c r="F75" i="3"/>
  <c r="G74" i="3"/>
  <c r="F74" i="3"/>
  <c r="G73" i="3"/>
  <c r="F73" i="3"/>
  <c r="G72" i="3"/>
  <c r="F72" i="3"/>
  <c r="G71" i="3"/>
  <c r="F71" i="3"/>
  <c r="G70" i="3"/>
  <c r="F70" i="3"/>
  <c r="G69" i="3"/>
  <c r="F69" i="3"/>
  <c r="G68" i="3"/>
  <c r="F68" i="3"/>
  <c r="G67" i="3"/>
  <c r="F67" i="3"/>
  <c r="G66" i="3"/>
  <c r="F66" i="3"/>
  <c r="G65" i="3"/>
  <c r="F65" i="3"/>
  <c r="G64" i="3"/>
  <c r="F64" i="3"/>
  <c r="G63" i="3"/>
  <c r="F63" i="3"/>
  <c r="F62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3" i="3"/>
  <c r="G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3" i="3"/>
  <c r="F2" i="3"/>
  <c r="I3" i="21"/>
  <c r="I2" i="21"/>
  <c r="H3" i="21"/>
  <c r="H2" i="21"/>
  <c r="H3" i="12"/>
  <c r="H2" i="12"/>
  <c r="G3" i="12"/>
  <c r="G2" i="12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H39" i="19"/>
  <c r="H38" i="19"/>
  <c r="H37" i="19"/>
  <c r="H36" i="19"/>
  <c r="H35" i="19"/>
  <c r="H34" i="19"/>
  <c r="H33" i="19"/>
  <c r="H32" i="19"/>
  <c r="H31" i="19"/>
  <c r="H30" i="19"/>
  <c r="H29" i="19"/>
  <c r="H28" i="19"/>
  <c r="H27" i="19"/>
  <c r="H26" i="19"/>
  <c r="H25" i="19"/>
  <c r="H24" i="19"/>
  <c r="H2" i="19"/>
  <c r="H23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7" i="19"/>
  <c r="I6" i="19"/>
  <c r="I5" i="19"/>
  <c r="I4" i="19"/>
  <c r="I3" i="19"/>
  <c r="I2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H7" i="19"/>
  <c r="H6" i="19"/>
  <c r="H5" i="19"/>
  <c r="H4" i="19"/>
  <c r="H3" i="19"/>
  <c r="G3" i="11"/>
  <c r="G2" i="11"/>
  <c r="F3" i="11"/>
  <c r="F2" i="11"/>
  <c r="I38" i="7"/>
  <c r="I37" i="7"/>
  <c r="I30" i="7"/>
  <c r="I29" i="7"/>
  <c r="I25" i="7"/>
  <c r="I24" i="7"/>
  <c r="I23" i="7"/>
  <c r="H38" i="7"/>
  <c r="H37" i="7"/>
  <c r="H30" i="7"/>
  <c r="H29" i="7"/>
  <c r="H25" i="7"/>
  <c r="H24" i="7"/>
  <c r="H23" i="7"/>
  <c r="I8" i="7"/>
  <c r="I7" i="7"/>
  <c r="I6" i="7"/>
  <c r="I5" i="7"/>
  <c r="I4" i="7"/>
  <c r="I3" i="7"/>
  <c r="I2" i="7"/>
  <c r="H8" i="7"/>
  <c r="H7" i="7"/>
  <c r="H6" i="7"/>
  <c r="H5" i="7"/>
  <c r="H4" i="7"/>
  <c r="H3" i="7"/>
  <c r="H2" i="7"/>
  <c r="H42" i="6"/>
  <c r="H41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G42" i="6"/>
  <c r="G41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2" i="10"/>
  <c r="F2" i="10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T55" i="16"/>
  <c r="T60" i="16"/>
  <c r="T63" i="16"/>
  <c r="T68" i="16"/>
  <c r="T73" i="16"/>
  <c r="T77" i="16"/>
  <c r="T81" i="16"/>
  <c r="T85" i="16"/>
  <c r="T90" i="16"/>
  <c r="H13" i="20"/>
  <c r="H12" i="20"/>
  <c r="H11" i="20"/>
  <c r="H10" i="20"/>
  <c r="G13" i="20"/>
  <c r="G12" i="20"/>
  <c r="G11" i="20"/>
  <c r="G10" i="20"/>
  <c r="H6" i="20"/>
  <c r="H5" i="20"/>
  <c r="H4" i="20"/>
  <c r="H3" i="20"/>
  <c r="H2" i="20"/>
  <c r="G6" i="20"/>
  <c r="G5" i="20"/>
  <c r="G4" i="20"/>
  <c r="G3" i="20"/>
  <c r="G2" i="20"/>
  <c r="I2" i="13"/>
  <c r="H2" i="13"/>
  <c r="T92" i="16" l="1"/>
</calcChain>
</file>

<file path=xl/comments1.xml><?xml version="1.0" encoding="utf-8"?>
<comments xmlns="http://schemas.openxmlformats.org/spreadsheetml/2006/main">
  <authors>
    <author>Ryan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Ryan:</t>
        </r>
        <r>
          <rPr>
            <sz val="9"/>
            <color indexed="81"/>
            <rFont val="Tahoma"/>
            <family val="2"/>
          </rPr>
          <t xml:space="preserve">
Registered voters</t>
        </r>
      </text>
    </comment>
  </commentList>
</comments>
</file>

<file path=xl/comments2.xml><?xml version="1.0" encoding="utf-8"?>
<comments xmlns="http://schemas.openxmlformats.org/spreadsheetml/2006/main">
  <authors>
    <author>Ryan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Ryan:</t>
        </r>
        <r>
          <rPr>
            <sz val="9"/>
            <color indexed="81"/>
            <rFont val="Tahoma"/>
            <family val="2"/>
          </rPr>
          <t xml:space="preserve">
Registered voters</t>
        </r>
      </text>
    </comment>
  </commentList>
</comments>
</file>

<file path=xl/comments3.xml><?xml version="1.0" encoding="utf-8"?>
<comments xmlns="http://schemas.openxmlformats.org/spreadsheetml/2006/main">
  <authors>
    <author>Ryan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Ryan:</t>
        </r>
        <r>
          <rPr>
            <sz val="9"/>
            <color indexed="81"/>
            <rFont val="Tahoma"/>
            <family val="2"/>
          </rPr>
          <t xml:space="preserve">
Registered voters</t>
        </r>
      </text>
    </comment>
  </commentList>
</comments>
</file>

<file path=xl/sharedStrings.xml><?xml version="1.0" encoding="utf-8"?>
<sst xmlns="http://schemas.openxmlformats.org/spreadsheetml/2006/main" count="6196" uniqueCount="285">
  <si>
    <t>http://informe21.com/politica/12/08/16/hinterlaces-los-ni-ni-no-tendran-impacto-importante-en-los-resultados-del-7-o</t>
  </si>
  <si>
    <t>http://informe21.com/hinterlaces/hinterlaces-71-de-venezolanos-cree-que-mejorara-situacion-economica-y-familiar</t>
  </si>
  <si>
    <t>http://informe21.com/economia/hinterlaces-70-venezolanos-manifestaron-tener-buena-situacion-economica</t>
  </si>
  <si>
    <t>LB</t>
    <phoneticPr fontId="0" type="noConversion"/>
  </si>
  <si>
    <t>VARIANZASGESTION</t>
  </si>
  <si>
    <t>Excelente+Muy Buena+Buena+Un Poco Buena</t>
  </si>
  <si>
    <t>Un Poco Mala+Mala+Muy Mala+Pesima</t>
  </si>
  <si>
    <t>VARIANZASPERFILIMAG</t>
  </si>
  <si>
    <t>ECOANALITICA</t>
  </si>
  <si>
    <t>Como evaluaria Ud. La gestion del Presidente Chavez frente del gobierno?</t>
  </si>
  <si>
    <t>Excelente/Bueno</t>
  </si>
  <si>
    <t>Mala</t>
  </si>
  <si>
    <t>NR</t>
  </si>
  <si>
    <t>http://www.slideshare.net/IESA_school_of_management/venezuela-despus-de-la-enmienda-perspectivas-polticas</t>
  </si>
  <si>
    <t>http://www.elimpulso.com/pages/vernoticia.aspx?id=108457</t>
  </si>
  <si>
    <t>CIMACNCSTAT-MARK</t>
    <phoneticPr fontId="1" type="noConversion"/>
  </si>
  <si>
    <t>http://informe21.com/hinterlaces/hinterlaces-evaluacion-positiva-gestion-chavez-sigue-subiendo-oposicion-carece-aspirante</t>
  </si>
  <si>
    <t>http://informe21.com/hinterlaces/12/01/27/%E2%80%9Cla-gente-sigue-valorando-positivamente-la-gestion-del-presidente%E2%80%9D</t>
  </si>
  <si>
    <t>http://informe21.com/encuestadora-gis-xxi/61-aprueba-gestion-del-presidente-chavez-segun-encuestadora-gis-xxi</t>
  </si>
  <si>
    <t>http://informe21.com/jose-vielma-mora/gis-xxi-692-los-venezolanos-califica-muy-buena-gestion-del-presidente-chavez</t>
  </si>
  <si>
    <t>http://informe21.com/hugo-chavez/indice-popularidad-hugo-chavez-cae-al-35</t>
  </si>
  <si>
    <t>Muy Bueno/Bueno+Regular a Bueno</t>
  </si>
  <si>
    <t>Muy Malo/Malo+Regular a Malo</t>
  </si>
  <si>
    <t>http://www.noticias24.com/actualidad/noticia/213321/varianzas-capriles-radonski-se-perfila-como-el-candidato-preferido-de-la-oposicion/</t>
  </si>
  <si>
    <t>Ok/don't know</t>
  </si>
  <si>
    <t>Awful/Very poor/Poor/Somewhat poor</t>
  </si>
  <si>
    <t>Excellent/Very good/Good/Somewhat good</t>
  </si>
  <si>
    <t>Evaluating the job performance of the government of President Hugo Chávez up to this point, has it been excellent, very good, good, somewhat good, very poor or awful?somewhat poor, poor,</t>
  </si>
  <si>
    <t>Regular/Ni buena ni mala</t>
  </si>
  <si>
    <t>Google Docs:</t>
  </si>
  <si>
    <t>GISXXIGES</t>
    <phoneticPr fontId="15" type="noConversion"/>
  </si>
  <si>
    <t>GISXXIDES</t>
    <phoneticPr fontId="15" type="noConversion"/>
  </si>
  <si>
    <t>http://informe21.com/politica/hinterlaces-61-quiere-nuevo-presidente-2012</t>
  </si>
  <si>
    <t>http://informe21.com/politica/presidente-hugo-chavez-mantiene-niveles-importante-aceptacion-popular</t>
  </si>
  <si>
    <t>HINTERLACESAGRADO</t>
  </si>
  <si>
    <t>Ni-Ni</t>
  </si>
  <si>
    <t>Agrado/Pos</t>
  </si>
  <si>
    <t>Desagrado/Neg</t>
  </si>
  <si>
    <t>http://www.slideshare.net/Gumilla/informe-hinterlaces-agosto-2007</t>
  </si>
  <si>
    <t>http://www.slideshare.net/lavzlaqq.anzoategui/h-i-n-t-e-r-l-a-c-e-s-m-o-n-i-t-o-r-p-a-s-junio-2010</t>
  </si>
  <si>
    <t>http://www.slideshare.net/plumacandente/encuesta-hinterlaces-enero-2010-3075443</t>
  </si>
  <si>
    <t>http://informe21.com/hinterlaces/12/04/23/hinterlaces-53-de-la-intencion-de-voto-esta-a-favor-de-chavez</t>
  </si>
  <si>
    <t>http://www.slideshare.net/sanmartinhugo/encuestas-venezuela-junio-2008-480718</t>
  </si>
  <si>
    <t>http://www.slideshare.net/plumacandente/encuesta-varianzas-situacion-venezuelafeb-2010</t>
  </si>
  <si>
    <t>Agrado</t>
  </si>
  <si>
    <t>Desagrado</t>
  </si>
  <si>
    <t>http://www.slideshare.net/paraulatailustrada/presentacin-encuesta-nacionalmayo-2010</t>
  </si>
  <si>
    <t>http://www.venezuelanalysis.com/news/1685</t>
  </si>
  <si>
    <t>El Barómetro Iberoamericano de Gobernabilidad 2009</t>
  </si>
  <si>
    <t>El Barómetro Iberoamericano de Gobernabilidad 2010</t>
  </si>
  <si>
    <t>http://www.angus-reid.com/polls/view/35673/most_venezuelans_want_chvez_out_in_2013</t>
  </si>
  <si>
    <t>http://informe21.com/hugo-chavez/51-poblacion-piensa-gestion-del-presidente-hugo-chavez-negativa</t>
  </si>
  <si>
    <t>Nivel de Aprobacion de la gestion del Presidente Hugo Chávez</t>
  </si>
  <si>
    <t>Escenarios Datanalisis Julio 2010, from McCoy</t>
  </si>
  <si>
    <t>"Como evalua usted la labor del Pres HChF por el bienestar del pais?"</t>
  </si>
  <si>
    <t>http://noticierodigital.com/forum/viewtopic.php?p=8937190&amp;sid=01443e6f0fed125c8ef546d98b7b2331</t>
  </si>
  <si>
    <t>21stCenturyAuthoritarians2009.pdf</t>
  </si>
  <si>
    <t>"Como calificaria usted este gobierno de Hugo Chavez como, muy bueno, bueno, malo o muy malo?</t>
  </si>
  <si>
    <t>http://www.scribd.com/doc/48363239/Consultores-21-febrero-2011</t>
  </si>
  <si>
    <t>http://www.reportero24.com/2011/02/consultores-21-popularidad-de-chavez-bajo-42-puntos-en-12-anos/</t>
  </si>
  <si>
    <t>http://www.slideshare.net/miguelangelsantos/proyeccin-electoral-26-consultores-21</t>
  </si>
  <si>
    <t>Avg Diff</t>
  </si>
  <si>
    <t>http://www.cimaiberoamerica.com/desempeno%20e%20imagen.html</t>
  </si>
  <si>
    <t>Desempeno</t>
  </si>
  <si>
    <t>http://www.reportero24.com/2011/05/consultores-21-es-improbable-que-chavez-sea-reelecto/</t>
  </si>
  <si>
    <t>Pensando en el ultimo anyo, como calificaria la gestion que ha llevado a cabo el Presidente Chavez?</t>
  </si>
  <si>
    <t>http://www.gisxxi.org/estudios/indicadores-gestion-coyuntura-politica-estudio-nacional-octubre-2010/</t>
  </si>
  <si>
    <t>http://www.angus-reid.com/polls/view/35673/most_venezuelans_want_chvez_out_in_2012</t>
  </si>
  <si>
    <t>http://www.gisxxi.org/wp-content/uploads/2011/03/Baròmetro-de-Gestiòn-y-Coyuntura-Polìtica-Distrito-Capital-FEB-2011.pdf</t>
  </si>
  <si>
    <t>http://informe21.com/hinterlaces/hinterlaces-popularidad-chavez-baja-41</t>
  </si>
  <si>
    <t>CIMA</t>
  </si>
  <si>
    <t>LB</t>
  </si>
  <si>
    <t>DATANALISIS</t>
  </si>
  <si>
    <t>Approve</t>
  </si>
  <si>
    <t>Mitofsky</t>
  </si>
  <si>
    <t>AP</t>
  </si>
  <si>
    <t>CECAS</t>
  </si>
  <si>
    <t>APPROVE</t>
  </si>
  <si>
    <t>CIFRAS ENCUESTADORA</t>
  </si>
  <si>
    <t>KELLER</t>
  </si>
  <si>
    <t>Keller y Asociados</t>
  </si>
  <si>
    <t>http://informe21.com/sites/default/files/imagepicker/e/Editor%20YU/Encuesta%20%20Hinterlaces.jpg</t>
  </si>
  <si>
    <t>HINTERLACES</t>
  </si>
  <si>
    <t>DOXA</t>
  </si>
  <si>
    <t>pctapprove</t>
  </si>
  <si>
    <t>C21</t>
  </si>
  <si>
    <t>Encuestas de Opinión Pública hechas en hogares. Centros poblados de más de 20 mil habitantes</t>
  </si>
  <si>
    <t>1.500 entrevistas por medición</t>
  </si>
  <si>
    <t>Disapprove</t>
  </si>
  <si>
    <t>http://informe21.com/hinterlaces/hinterlaces-%E2%80%9C65-los-venezolanos-quiere-chavez-entregue-poder-2012%E2%80%B3</t>
  </si>
  <si>
    <t>Greenberg Quinlan Rosner Research</t>
  </si>
  <si>
    <t>"Do you approve or disapprove of Hugo Chávez's performance as president?"</t>
  </si>
  <si>
    <t>Evans/McDonough Company, Inc.</t>
  </si>
  <si>
    <t>"How would you rate the performance of Hugo Chávez as president?"</t>
  </si>
  <si>
    <t>EVANSMCD</t>
  </si>
  <si>
    <t>Face-to-face interviews to Venezuelan adults in 52 municipalities,</t>
  </si>
  <si>
    <t>ZOGBY</t>
  </si>
  <si>
    <t>Execellent/Good</t>
  </si>
  <si>
    <t>Fair</t>
  </si>
  <si>
    <t>Poor</t>
  </si>
  <si>
    <t>Not Sure</t>
  </si>
  <si>
    <t>How would you rate president Chávez's job as President?</t>
  </si>
  <si>
    <t>IVAD</t>
  </si>
  <si>
    <t>Venezuelan Institute for Data Analysis (IVAD)</t>
  </si>
  <si>
    <t>From 1999-2007 data are given dates by quarter; though it is incomplete in some quarters</t>
  </si>
  <si>
    <t>Quarter I = 3/15</t>
  </si>
  <si>
    <t>Quarter II = 6/15</t>
  </si>
  <si>
    <t>Quarter III = 9/15</t>
  </si>
  <si>
    <t>Quarter IV = 12/15</t>
  </si>
  <si>
    <t>See Keller-2007.ppt</t>
  </si>
  <si>
    <t>Agrado/Approve/Positve</t>
  </si>
  <si>
    <t>Desagrado/Disapprove/Negative</t>
  </si>
  <si>
    <t>http://www.gisxxi.org/wp-content/uploads/2011/09/Barometro-Agosto-2011-PUBl-1.pdf</t>
  </si>
  <si>
    <t>http://www.gisxxi.org/wp-content/uploads/2011/10/GISXXI-Barometro-Septiembre-2011.pdf</t>
  </si>
  <si>
    <t>http://www.eluniversal.com/nacional-y-politica/130526/encuesta-varianza-se-deteriora-popularidad-del-gobierno</t>
  </si>
  <si>
    <t>MERCANALISIS</t>
  </si>
  <si>
    <t>Satisfactory</t>
  </si>
  <si>
    <t>Unsatisfactory</t>
  </si>
  <si>
    <t>N</t>
  </si>
  <si>
    <t>"How would you rate the performance of Hugo Chavez as president?"</t>
  </si>
  <si>
    <t>GQRR</t>
  </si>
  <si>
    <t>Net</t>
    <phoneticPr fontId="1" type="noConversion"/>
  </si>
  <si>
    <t>App/App+Dis</t>
    <phoneticPr fontId="1" type="noConversion"/>
  </si>
  <si>
    <t>Net</t>
    <phoneticPr fontId="1" type="noConversion"/>
  </si>
  <si>
    <t>App/App+Dis</t>
    <phoneticPr fontId="1" type="noConversion"/>
  </si>
  <si>
    <t>App/App+Dis</t>
    <phoneticPr fontId="1" type="noConversion"/>
  </si>
  <si>
    <t>App/App+Dis</t>
    <phoneticPr fontId="1" type="noConversion"/>
  </si>
  <si>
    <t>Net</t>
    <phoneticPr fontId="1" type="noConversion"/>
  </si>
  <si>
    <t>Net</t>
    <phoneticPr fontId="0" type="noConversion"/>
  </si>
  <si>
    <t>App/App+Dis</t>
    <phoneticPr fontId="0" type="noConversion"/>
  </si>
  <si>
    <t>Net</t>
    <phoneticPr fontId="15" type="noConversion"/>
  </si>
  <si>
    <t>App/App+Dis</t>
    <phoneticPr fontId="15" type="noConversion"/>
  </si>
  <si>
    <t>Net</t>
    <phoneticPr fontId="15" type="noConversion"/>
  </si>
  <si>
    <t>App/App+Dis</t>
    <phoneticPr fontId="15" type="noConversion"/>
  </si>
  <si>
    <t>Hugo Chávez stepping down in 2012</t>
  </si>
  <si>
    <t>Hugo Chávez stepping down in 2013</t>
  </si>
  <si>
    <t>http://www.gisxxi.org/wp-content/uploads/2011/04/Baròmetro-de-Gestiòn-y-Coyuntura-Polìtica-Marzo-2011.pdf</t>
  </si>
  <si>
    <t>http://www.gisxxi.org/wp-content/uploads/2011/06/Barómetro-de-Gestión-y-Coyuntura-Pol%C3%ADtica-Junio-2011.pdf</t>
  </si>
  <si>
    <t>MagdalenoEl_discurso_politico_del_Presidente_Chavez_2004.pdf</t>
  </si>
  <si>
    <t>http://www.angus-reid.com/polls/26695/chavez_still_low_in_venezuela/</t>
  </si>
  <si>
    <t>Excellent/Good</t>
  </si>
  <si>
    <t>Bad/Terrible</t>
  </si>
  <si>
    <t>El Universal</t>
  </si>
  <si>
    <t>Neutral</t>
  </si>
  <si>
    <t>AveragetoGood/Bad</t>
  </si>
  <si>
    <t>6/13/2008 (monthly)</t>
  </si>
  <si>
    <t>Consultores 21</t>
  </si>
  <si>
    <t>Aprueba</t>
  </si>
  <si>
    <t>CIMASIGMADOS</t>
  </si>
  <si>
    <t>MuyBuena+Buena</t>
  </si>
  <si>
    <t>CIMACNCSTAT-MARK</t>
  </si>
  <si>
    <t>Most of these scores come from 2008 CIMA time series</t>
  </si>
  <si>
    <t>http://www.cidgallup.com/docs/noticias/OTR007.swf</t>
  </si>
  <si>
    <t>**DON'T USE March survey results</t>
    <phoneticPr fontId="15" type="noConversion"/>
  </si>
  <si>
    <t>http://informe21.com/ivad/ivad-62-los-venezolanos-califica-buena-gestion-chavez</t>
  </si>
  <si>
    <t>GISXXI</t>
  </si>
  <si>
    <t>http://informe21.com/encuestadora-venezolana/encuestadora-gis-xxi-valoracion-positiva-del-presidente-chavez-531</t>
  </si>
  <si>
    <t>Muy Buena/Buena</t>
  </si>
  <si>
    <t>Muy Mala/Mala</t>
  </si>
  <si>
    <t>Regular</t>
  </si>
  <si>
    <t>http://www.cedatos.com.ec/PDF/Informe-Fin-de-Anho-2011-Dic-30-2011.pdf</t>
  </si>
  <si>
    <t>8/26/2012 Quarterly Approval</t>
  </si>
  <si>
    <t>Venezuela</t>
  </si>
  <si>
    <t>8/26/2012 Monthly Approval</t>
  </si>
  <si>
    <t>8/26/2012 Monthly Net Approval</t>
  </si>
  <si>
    <t>8/26/2012 Quarterly Net Approval</t>
  </si>
  <si>
    <t>8/26/2012 Quarterly Approval/App+Dis</t>
  </si>
  <si>
    <t>8/26/2012 Monthly Approval/App+Dis</t>
  </si>
  <si>
    <t>http://www.parametria.com.mx/graficas/AprobacionInternacional.php</t>
  </si>
  <si>
    <t>http://www.parametria.com.mx/DetalleEstudio.php?E=4327</t>
  </si>
  <si>
    <t>http://consulta.mx/web/images/mundo/2013/2013_EvaMandatarios.pdf</t>
  </si>
  <si>
    <t>Me agrada/agrada mucho</t>
  </si>
  <si>
    <t>Me desagrada/desgarada mucho</t>
  </si>
  <si>
    <t>See Chavez_Keller 1999-2006</t>
  </si>
  <si>
    <t>Lusinchi</t>
  </si>
  <si>
    <t>.</t>
  </si>
  <si>
    <t>Datos, C.A.</t>
  </si>
  <si>
    <t>National</t>
  </si>
  <si>
    <t>¿Cómo calificaría usted la labor que el actual gobierno está haciendo por usted personalmente?</t>
  </si>
  <si>
    <t>Avaliacion (positiva, más positiva que negativa, ni positiva ni negativa, más negativa que positiva, negativa)</t>
  </si>
  <si>
    <t>VeryGood-Good</t>
  </si>
  <si>
    <t>Bad-VeryBad</t>
  </si>
  <si>
    <t>¿Cómo calificaría usted la labor que el gobierno de Luis Herrera Campins ha hecho por usted personalmente?</t>
  </si>
  <si>
    <t>¿Cómo calificaría usted la labor que el actual gobierno del Doctor Jaime Lusanchi está haciendo por usted personalmente?</t>
  </si>
  <si>
    <t>Caracas</t>
  </si>
  <si>
    <t>Perez Linan available at http://www.pitt.edu/~asp27/Presidential/Impeachment.html</t>
  </si>
  <si>
    <t>Não informado</t>
  </si>
  <si>
    <t>Pérez</t>
  </si>
  <si>
    <t>¿CÓMO CALIFICARÍA LA LABOR QUE EL ACTUAL GOBIERNO ESTÁ HACIENDO PERSONALMENTE POR UD.?</t>
  </si>
  <si>
    <t>Avaliacion (bad, very bad, regular, good, very godd)</t>
  </si>
  <si>
    <t>Velásquez</t>
  </si>
  <si>
    <t>Caldera</t>
  </si>
  <si>
    <t>Chávez</t>
  </si>
  <si>
    <t>DATOS</t>
  </si>
  <si>
    <t>C&amp;Z</t>
  </si>
  <si>
    <t>ICS</t>
  </si>
  <si>
    <t>International Consulting Service</t>
  </si>
  <si>
    <t>http://www.telam.com.ar/notas/201307/23623-el-562-de-los-venezolanos-considera-positiva-la-gestion-de-nicolas-maduro.html</t>
  </si>
  <si>
    <t>Gestion de Maduro</t>
  </si>
  <si>
    <t>Positive</t>
  </si>
  <si>
    <t>Series</t>
  </si>
  <si>
    <t>Date</t>
  </si>
  <si>
    <t>Pos</t>
  </si>
  <si>
    <t>Neg</t>
  </si>
  <si>
    <t>Net</t>
  </si>
  <si>
    <t>App/App+Dis</t>
  </si>
  <si>
    <t>CIMAGES</t>
  </si>
  <si>
    <t>CIMAAPP</t>
  </si>
  <si>
    <t>Source</t>
  </si>
  <si>
    <t>DATANALISISCARACAS</t>
  </si>
  <si>
    <t>NS/NT</t>
  </si>
  <si>
    <t>POLINOMICS</t>
  </si>
  <si>
    <t>"¿Cómo calificaría el DESEMPEÑO GENERAL DEL PRESIDENTE CHÁVEZ: muy bueno, bueno, malo o muy malo?"</t>
  </si>
  <si>
    <t>IMAGEN</t>
  </si>
  <si>
    <t>GESTION</t>
  </si>
  <si>
    <t>http://runrun.es/nacional/venezuela-2/193172/presidente-nicolas-maduro-es-rechazado-por-siete-de-cada-10-venezolanos.html</t>
  </si>
  <si>
    <t>http://www.notimerica.com/politica/noticia-venezuela-aprobacion-gestion-maduro-sube-282-encuesta-20150421040545.html</t>
  </si>
  <si>
    <t>http://www.diariolavoz.net/2015/06/17/datanalisis-gestion-de-maduro-alcanza-aprobacion-de-258/</t>
  </si>
  <si>
    <t>http://analitica.com/actualidad/actualidad-nacional/datanalisis-704-desaprueba-la-gestion-de-maduro/</t>
  </si>
  <si>
    <t>http://informe21.com/hinterlaces/hinterlaces-58-de-los-venezolanos-considera-positiva-gestion-de-maduro</t>
  </si>
  <si>
    <t>http://www.vtv.gob.ve/articulos/2013/12/15/hinterlaces-64-de-los-venezolanos-consideran-positiva-la-gestion-de-maduro-9072.html</t>
  </si>
  <si>
    <t>http://informe21.com/nicolas-maduro/hinterlaces-valoracion-positiva-de-gestion-de-maduro-subio-a-57</t>
  </si>
  <si>
    <t>http://www.minci.gob.ve/2014/04/hinterlaces-51-de-los-venezolanos-aprueban-gestion-de-nicolas-maduro/</t>
  </si>
  <si>
    <t>http://www.correodelorinoco.gob.ve/nacionales/mas-60-venezolanos-evaluan-positivamente-gestion-nicolas-maduro/</t>
  </si>
  <si>
    <t>http://www.infobae.com/2015/02/22/1628526-cuatro-cada-cinco-venezolanos-evaluan-negativamente-la-situacion-su-pais</t>
  </si>
  <si>
    <t>http://www.cedatos.com.ec/detalles_noticia.php?Id=239</t>
  </si>
  <si>
    <t>http://www.difundelaverdad.org.ve/portada/532-de-la-poblacion-considera-buena-la-gestion-del-presidente-nicolas-maduro-grafica/#.VuHpJMfnKbM</t>
  </si>
  <si>
    <t>DATIN</t>
  </si>
  <si>
    <t>http://www.datincorp.com/venezuela/</t>
  </si>
  <si>
    <t>Aprobación de la gestión presidencial de Maduro</t>
  </si>
  <si>
    <t>Datin Survey July 2015</t>
  </si>
  <si>
    <t>http://compolitica.com/acop/tabla-de-popularidad/</t>
  </si>
  <si>
    <t>http://prodavinci.com/blogs/venezuela-la-encuesta-de-consultores-21-y-los-datos-sobre-el-6d-por-eugenio-martinez/#_ftnref1</t>
  </si>
  <si>
    <t>http://www.scribd.com/doc/243596912/Omnibus-Septiembre-2014-pdf</t>
  </si>
  <si>
    <t>http://www.scribd.com/doc/230192126/Encuesta-Keller-Junio-2014-pdf</t>
  </si>
  <si>
    <t>http://www.scribd.com/doc/215742101/IVAD-tracking-marzo-2014-pdf</t>
  </si>
  <si>
    <t>http://www.scribd.com/doc/216528368/IVAD-Nacional-2014-Abril-Resumen-pdf</t>
  </si>
  <si>
    <t>http://www.scribd.com/doc/241403668/Datincorp-INFORME-ESTUDIO-DE-COYUNTURA-VENEZUELA-SEPTIEMBRE-2014-1-pdf</t>
  </si>
  <si>
    <t>HERCON</t>
  </si>
  <si>
    <t>DK</t>
  </si>
  <si>
    <t>http://www.scribd.com/doc/235194382/Encuesta-C21-Junio2014#fullscreen</t>
  </si>
  <si>
    <t>http://www.scribd.com/doc/291131322/KELLER-4to-Trimestre-2015</t>
  </si>
  <si>
    <t>GISXXIGES</t>
  </si>
  <si>
    <t>IVADGES</t>
  </si>
  <si>
    <t>http://www.scribd.com/doc/184884109/Ivad-Estudio-Nacional-Noviembre-2013</t>
  </si>
  <si>
    <t>http://www.scribd.com/doc/165827645/IVAD-Nacional-20130831-Presentacion-CaprilesTV</t>
  </si>
  <si>
    <t>Si le tocar evaluar la gestion del gobierno de Nicolas Maduro, Usted diria que es…?</t>
  </si>
  <si>
    <t>http://www.scribd.com/doc/291408083/Hercon-Consultores-Noviembre-2015</t>
  </si>
  <si>
    <t>http://www.scribd.com/doc/283370367/Venezuela-Encuesta-Hercon-septiembre-2015</t>
  </si>
  <si>
    <t>http://www.scribd.com/doc/259403142/KELLER1er-Trimestre-2015</t>
  </si>
  <si>
    <t>http://www.scribd.com/doc/245266531/IVAD-Estudio-Nacional-Octubre-2014</t>
  </si>
  <si>
    <t>http://www.scribd.com/doc/229746831/Estudio-de-opinion-Hercon-junio-2014-pdf</t>
  </si>
  <si>
    <t>http://www.scribd.com/doc/248704669/Hercon-Noviembre-2014</t>
  </si>
  <si>
    <t>"Como considera usted la gestion de Nicolas Maduro como Presidente de Venezuela? Es decir  la considera: Excelcente, Buena, Regular hacia Buena, Regular hacia mala, mala, pesima."</t>
  </si>
  <si>
    <t>http://www.scribd.com/doc/214928744/KELLER-1er-Trimestre-2014-pdf</t>
  </si>
  <si>
    <t>http://www.scribd.com/doc/240102769/EncuestaKeller-III-TRim-2014-pdf</t>
  </si>
  <si>
    <t>http://www.scribd.com/doc/242709967/INFORME-TP6-2-pdf</t>
  </si>
  <si>
    <t>http://www.scribd.com/doc/141244490/Encuesta-Hercon-Mayo-2013</t>
  </si>
  <si>
    <t>http://www.scribd.com/doc/169190164/KELLER-3er-Trimestre-2013-DV</t>
  </si>
  <si>
    <t>http://www.scribd.com/doc/157339325/Estudio-Nacional-0713</t>
  </si>
  <si>
    <t>http://www.scribd.com/doc/157348939/Avance-Perfil-21</t>
  </si>
  <si>
    <t>http://www.scribd.com/doc/180854103/Hercon-EncuestaInseguridadVzla-Oct2013</t>
  </si>
  <si>
    <t>http://www.scribd.com/doc/237522939/HERCON-CONSULTORES-MES-AGOSTO-2014-pdf</t>
  </si>
  <si>
    <t>http://www.scribd.com/doc/171740724/Hercon-EstudiodeOpinionNacionalSeptiembre2013</t>
  </si>
  <si>
    <t>http://www.scribd.com/doc/157591237/Varianzas-Julio-2013-1</t>
  </si>
  <si>
    <t>No conoce</t>
  </si>
  <si>
    <t>No sabe</t>
  </si>
  <si>
    <t>http://www.scribd.com/doc/300975396/Hercon-Febrero-2016-Contexto-Venezuela</t>
  </si>
  <si>
    <t>http://www.slideshare.net/Gumilla/informe-hinterlaces-junio-2007</t>
  </si>
  <si>
    <t>http://www.slideshare.net/plumacandente/encuesta-keller-3er-trim-2011</t>
  </si>
  <si>
    <t>http://consuladodevenezuela.es/contenido.php?idNot=2804</t>
  </si>
  <si>
    <t>http://www.cubasi.cu/cubasi-noticias-cuba-mundo-ultima-hora/item/26837-mas-del-60-de-los-venezolanos-confia-en-gestion-presidencial-de-maduro</t>
  </si>
  <si>
    <t>GISXXIDES</t>
  </si>
  <si>
    <t>date</t>
  </si>
  <si>
    <t>positive</t>
  </si>
  <si>
    <t>totalcount</t>
  </si>
  <si>
    <t>net</t>
  </si>
  <si>
    <t>appappdis</t>
  </si>
  <si>
    <t>net100</t>
  </si>
  <si>
    <t>LAPOP</t>
  </si>
  <si>
    <t>Data Source</t>
  </si>
  <si>
    <t>Total Count</t>
  </si>
  <si>
    <t>datasource</t>
  </si>
  <si>
    <t>DK/NR</t>
  </si>
  <si>
    <t>IVADGES3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</si>
</sst>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24" x14ac:knownFonts="1">
    <font>
      <sz val="10"/>
      <name val="Arial"/>
    </font>
    <font>
      <sz val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sz val="9"/>
      <color indexed="8"/>
      <name val="Arial"/>
      <family val="2"/>
    </font>
    <font>
      <sz val="10"/>
      <color rgb="FF00B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indexed="10"/>
      <name val="Arial"/>
      <family val="2"/>
    </font>
    <font>
      <u/>
      <sz val="10"/>
      <color indexed="20"/>
      <name val="Arial"/>
      <family val="2"/>
    </font>
    <font>
      <sz val="8"/>
      <name val="Verdana"/>
      <family val="2"/>
    </font>
    <font>
      <sz val="13"/>
      <color indexed="63"/>
      <name val="Arial"/>
      <family val="2"/>
    </font>
    <font>
      <sz val="10"/>
      <color theme="1"/>
      <name val="Arial"/>
      <family val="2"/>
    </font>
    <font>
      <i/>
      <sz val="10"/>
      <color rgb="FF00B050"/>
      <name val="Arial"/>
      <family val="2"/>
    </font>
    <font>
      <u/>
      <sz val="10"/>
      <color theme="11"/>
      <name val="Arial"/>
      <family val="2"/>
    </font>
    <font>
      <sz val="10"/>
      <color rgb="FF000000"/>
      <name val="Arial"/>
      <family val="2"/>
    </font>
    <font>
      <sz val="10"/>
      <color theme="6" tint="0.39997558519241921"/>
      <name val="Arial"/>
      <family val="2"/>
    </font>
    <font>
      <sz val="10"/>
      <color indexed="8"/>
      <name val="Arial"/>
      <family val="2"/>
    </font>
    <font>
      <sz val="10"/>
      <color indexed="6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3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9" fontId="0" fillId="0" borderId="0" xfId="0" applyNumberFormat="1"/>
    <xf numFmtId="14" fontId="2" fillId="0" borderId="0" xfId="0" applyNumberFormat="1" applyFont="1"/>
    <xf numFmtId="14" fontId="3" fillId="0" borderId="0" xfId="0" applyNumberFormat="1" applyFont="1"/>
    <xf numFmtId="0" fontId="0" fillId="2" borderId="0" xfId="0" applyFill="1"/>
    <xf numFmtId="0" fontId="5" fillId="0" borderId="0" xfId="0" applyFont="1"/>
    <xf numFmtId="0" fontId="6" fillId="0" borderId="0" xfId="0" applyFont="1"/>
    <xf numFmtId="0" fontId="4" fillId="0" borderId="0" xfId="0" applyFont="1"/>
    <xf numFmtId="14" fontId="4" fillId="0" borderId="0" xfId="0" applyNumberFormat="1" applyFont="1"/>
    <xf numFmtId="0" fontId="7" fillId="0" borderId="0" xfId="0" applyFont="1"/>
    <xf numFmtId="14" fontId="7" fillId="0" borderId="0" xfId="0" applyNumberFormat="1" applyFont="1"/>
    <xf numFmtId="0" fontId="8" fillId="0" borderId="0" xfId="1" applyAlignment="1" applyProtection="1"/>
    <xf numFmtId="0" fontId="9" fillId="0" borderId="0" xfId="0" applyFont="1"/>
    <xf numFmtId="0" fontId="10" fillId="0" borderId="0" xfId="0" applyFont="1"/>
    <xf numFmtId="0" fontId="13" fillId="0" borderId="0" xfId="0" applyFont="1"/>
    <xf numFmtId="0" fontId="0" fillId="0" borderId="0" xfId="0" applyFont="1"/>
    <xf numFmtId="0" fontId="16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17" fillId="0" borderId="0" xfId="0" applyFont="1"/>
    <xf numFmtId="15" fontId="4" fillId="0" borderId="0" xfId="0" applyNumberFormat="1" applyFont="1"/>
    <xf numFmtId="0" fontId="18" fillId="0" borderId="0" xfId="0" applyFont="1"/>
    <xf numFmtId="0" fontId="20" fillId="0" borderId="0" xfId="0" applyFont="1"/>
    <xf numFmtId="14" fontId="20" fillId="0" borderId="0" xfId="0" applyNumberFormat="1" applyFont="1"/>
    <xf numFmtId="0" fontId="21" fillId="0" borderId="0" xfId="0" applyFont="1"/>
    <xf numFmtId="0" fontId="22" fillId="0" borderId="0" xfId="0" applyFont="1" applyAlignment="1"/>
    <xf numFmtId="0" fontId="4" fillId="0" borderId="0" xfId="0" applyFont="1" applyAlignment="1"/>
    <xf numFmtId="2" fontId="4" fillId="0" borderId="0" xfId="0" applyNumberFormat="1" applyFont="1"/>
    <xf numFmtId="1" fontId="0" fillId="0" borderId="0" xfId="0" applyNumberFormat="1"/>
    <xf numFmtId="0" fontId="4" fillId="0" borderId="0" xfId="0" applyNumberFormat="1" applyFont="1"/>
    <xf numFmtId="0" fontId="0" fillId="0" borderId="0" xfId="0" applyNumberFormat="1"/>
    <xf numFmtId="0" fontId="23" fillId="0" borderId="0" xfId="0" applyFont="1"/>
    <xf numFmtId="164" fontId="0" fillId="0" borderId="0" xfId="0" applyNumberFormat="1"/>
  </cellXfs>
  <cellStyles count="32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Prn!$AA$2:$AA$99</c:f>
              <c:numCache>
                <c:formatCode>General</c:formatCode>
                <c:ptCount val="98"/>
                <c:pt idx="0">
                  <c:v>45.664000000000001</c:v>
                </c:pt>
                <c:pt idx="1">
                  <c:v>46.165999999999997</c:v>
                </c:pt>
                <c:pt idx="2">
                  <c:v>44.755000000000003</c:v>
                </c:pt>
                <c:pt idx="3">
                  <c:v>45.494</c:v>
                </c:pt>
                <c:pt idx="4">
                  <c:v>44.628999999999998</c:v>
                </c:pt>
                <c:pt idx="5">
                  <c:v>39.951000000000001</c:v>
                </c:pt>
                <c:pt idx="6">
                  <c:v>40.078000000000003</c:v>
                </c:pt>
                <c:pt idx="7">
                  <c:v>42.109000000000002</c:v>
                </c:pt>
                <c:pt idx="8">
                  <c:v>44.496000000000002</c:v>
                </c:pt>
                <c:pt idx="9">
                  <c:v>44.442</c:v>
                </c:pt>
                <c:pt idx="10">
                  <c:v>40.918999999999997</c:v>
                </c:pt>
                <c:pt idx="11">
                  <c:v>39.758000000000003</c:v>
                </c:pt>
                <c:pt idx="12">
                  <c:v>35.024000000000001</c:v>
                </c:pt>
                <c:pt idx="13">
                  <c:v>31.126999999999999</c:v>
                </c:pt>
                <c:pt idx="14">
                  <c:v>30.396999999999998</c:v>
                </c:pt>
                <c:pt idx="15">
                  <c:v>40.164000000000001</c:v>
                </c:pt>
                <c:pt idx="16">
                  <c:v>41.912999999999997</c:v>
                </c:pt>
                <c:pt idx="17">
                  <c:v>51.892000000000003</c:v>
                </c:pt>
                <c:pt idx="18">
                  <c:v>44.805</c:v>
                </c:pt>
                <c:pt idx="19">
                  <c:v>50.857999999999997</c:v>
                </c:pt>
                <c:pt idx="20">
                  <c:v>59.122</c:v>
                </c:pt>
                <c:pt idx="21">
                  <c:v>54.695999999999998</c:v>
                </c:pt>
                <c:pt idx="22">
                  <c:v>51.845999999999997</c:v>
                </c:pt>
                <c:pt idx="23">
                  <c:v>51.33</c:v>
                </c:pt>
                <c:pt idx="24">
                  <c:v>51.237000000000002</c:v>
                </c:pt>
                <c:pt idx="25">
                  <c:v>51.22</c:v>
                </c:pt>
                <c:pt idx="26">
                  <c:v>49.234000000000002</c:v>
                </c:pt>
                <c:pt idx="27">
                  <c:v>46.838999999999999</c:v>
                </c:pt>
                <c:pt idx="28">
                  <c:v>39.362000000000002</c:v>
                </c:pt>
                <c:pt idx="29">
                  <c:v>33.947000000000003</c:v>
                </c:pt>
                <c:pt idx="30">
                  <c:v>33.433999999999997</c:v>
                </c:pt>
                <c:pt idx="31">
                  <c:v>33.338000000000001</c:v>
                </c:pt>
                <c:pt idx="32">
                  <c:v>33.32</c:v>
                </c:pt>
                <c:pt idx="33">
                  <c:v>33.316000000000003</c:v>
                </c:pt>
                <c:pt idx="34">
                  <c:v>33.316000000000003</c:v>
                </c:pt>
                <c:pt idx="35">
                  <c:v>32.554000000000002</c:v>
                </c:pt>
                <c:pt idx="36">
                  <c:v>31.673999999999999</c:v>
                </c:pt>
                <c:pt idx="37">
                  <c:v>27.49</c:v>
                </c:pt>
                <c:pt idx="38">
                  <c:v>46.255000000000003</c:v>
                </c:pt>
                <c:pt idx="39">
                  <c:v>49.612000000000002</c:v>
                </c:pt>
                <c:pt idx="40">
                  <c:v>66.322000000000003</c:v>
                </c:pt>
                <c:pt idx="41">
                  <c:v>66.019000000000005</c:v>
                </c:pt>
                <c:pt idx="42">
                  <c:v>66.349999999999994</c:v>
                </c:pt>
                <c:pt idx="43">
                  <c:v>62.531999999999996</c:v>
                </c:pt>
                <c:pt idx="44">
                  <c:v>62.088999999999999</c:v>
                </c:pt>
                <c:pt idx="45">
                  <c:v>55.594000000000001</c:v>
                </c:pt>
                <c:pt idx="46">
                  <c:v>57.889000000000003</c:v>
                </c:pt>
                <c:pt idx="47">
                  <c:v>53.850999999999999</c:v>
                </c:pt>
                <c:pt idx="48">
                  <c:v>56.543999999999997</c:v>
                </c:pt>
                <c:pt idx="49">
                  <c:v>52.997999999999998</c:v>
                </c:pt>
                <c:pt idx="50">
                  <c:v>49.384</c:v>
                </c:pt>
                <c:pt idx="51">
                  <c:v>42.595999999999997</c:v>
                </c:pt>
                <c:pt idx="52">
                  <c:v>38.603999999999999</c:v>
                </c:pt>
                <c:pt idx="53">
                  <c:v>42.018000000000001</c:v>
                </c:pt>
                <c:pt idx="54">
                  <c:v>40.128999999999998</c:v>
                </c:pt>
                <c:pt idx="55">
                  <c:v>38.96</c:v>
                </c:pt>
                <c:pt idx="56">
                  <c:v>36.658000000000001</c:v>
                </c:pt>
                <c:pt idx="57">
                  <c:v>39.790999999999997</c:v>
                </c:pt>
                <c:pt idx="58">
                  <c:v>37.462000000000003</c:v>
                </c:pt>
                <c:pt idx="59">
                  <c:v>41.866</c:v>
                </c:pt>
                <c:pt idx="60">
                  <c:v>42.405999999999999</c:v>
                </c:pt>
                <c:pt idx="61">
                  <c:v>44.444000000000003</c:v>
                </c:pt>
                <c:pt idx="62">
                  <c:v>47.856999999999999</c:v>
                </c:pt>
                <c:pt idx="63">
                  <c:v>52.286999999999999</c:v>
                </c:pt>
                <c:pt idx="64">
                  <c:v>56.414999999999999</c:v>
                </c:pt>
                <c:pt idx="65">
                  <c:v>57.06</c:v>
                </c:pt>
                <c:pt idx="66">
                  <c:v>54.079000000000001</c:v>
                </c:pt>
                <c:pt idx="67">
                  <c:v>58.597000000000001</c:v>
                </c:pt>
                <c:pt idx="68">
                  <c:v>58.497</c:v>
                </c:pt>
                <c:pt idx="69">
                  <c:v>58.786000000000001</c:v>
                </c:pt>
                <c:pt idx="70">
                  <c:v>57.194000000000003</c:v>
                </c:pt>
                <c:pt idx="71">
                  <c:v>58.048999999999999</c:v>
                </c:pt>
                <c:pt idx="72">
                  <c:v>57.816000000000003</c:v>
                </c:pt>
                <c:pt idx="73">
                  <c:v>55.981999999999999</c:v>
                </c:pt>
                <c:pt idx="74">
                  <c:v>55.146999999999998</c:v>
                </c:pt>
                <c:pt idx="75">
                  <c:v>51.723999999999997</c:v>
                </c:pt>
                <c:pt idx="76">
                  <c:v>48.218000000000004</c:v>
                </c:pt>
                <c:pt idx="77">
                  <c:v>50.201000000000001</c:v>
                </c:pt>
                <c:pt idx="78">
                  <c:v>50.277000000000001</c:v>
                </c:pt>
                <c:pt idx="79">
                  <c:v>51.402000000000001</c:v>
                </c:pt>
                <c:pt idx="80">
                  <c:v>51.984999999999999</c:v>
                </c:pt>
                <c:pt idx="81">
                  <c:v>50.055</c:v>
                </c:pt>
                <c:pt idx="82">
                  <c:v>47.777999999999999</c:v>
                </c:pt>
                <c:pt idx="83">
                  <c:v>45.332999999999998</c:v>
                </c:pt>
                <c:pt idx="84">
                  <c:v>42.859000000000002</c:v>
                </c:pt>
                <c:pt idx="85">
                  <c:v>44.085999999999999</c:v>
                </c:pt>
                <c:pt idx="86">
                  <c:v>43.777999999999999</c:v>
                </c:pt>
                <c:pt idx="87">
                  <c:v>45.56</c:v>
                </c:pt>
                <c:pt idx="88">
                  <c:v>46.98</c:v>
                </c:pt>
                <c:pt idx="89">
                  <c:v>45.929000000000002</c:v>
                </c:pt>
                <c:pt idx="90">
                  <c:v>50.195</c:v>
                </c:pt>
                <c:pt idx="91">
                  <c:v>51.066000000000003</c:v>
                </c:pt>
                <c:pt idx="92">
                  <c:v>55.283999999999999</c:v>
                </c:pt>
                <c:pt idx="93">
                  <c:v>59.963000000000001</c:v>
                </c:pt>
                <c:pt idx="94">
                  <c:v>57.113999999999997</c:v>
                </c:pt>
                <c:pt idx="95">
                  <c:v>57.168999999999997</c:v>
                </c:pt>
                <c:pt idx="96">
                  <c:v>69.585999999999999</c:v>
                </c:pt>
                <c:pt idx="97">
                  <c:v>56.844000000000001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72460832"/>
        <c:axId val="-872460288"/>
      </c:lineChart>
      <c:catAx>
        <c:axId val="-872460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72460288"/>
        <c:crosses val="autoZero"/>
        <c:auto val="1"/>
        <c:lblAlgn val="ctr"/>
        <c:lblOffset val="100"/>
        <c:noMultiLvlLbl val="0"/>
      </c:catAx>
      <c:valAx>
        <c:axId val="-87246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7246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95" r="0.70000000000000095" t="0.750000000000001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571500</xdr:colOff>
      <xdr:row>78</xdr:row>
      <xdr:rowOff>52387</xdr:rowOff>
    </xdr:from>
    <xdr:to>
      <xdr:col>30</xdr:col>
      <xdr:colOff>400050</xdr:colOff>
      <xdr:row>95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cribd.com/doc/243596912/Omnibus-Septiembre-2014-pdf" TargetMode="External"/><Relationship Id="rId2" Type="http://schemas.openxmlformats.org/officeDocument/2006/relationships/hyperlink" Target="http://www.angus-reid.com/polls/26695/chavez_still_low_in_venezuela/" TargetMode="External"/><Relationship Id="rId1" Type="http://schemas.openxmlformats.org/officeDocument/2006/relationships/hyperlink" Target="http://www.cedatos.com.ec/PDF/Informe-Fin-de-Anho-2011-Dic-30-2011.pdf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://www.scribd.com/doc/230192126/Encuesta-Keller-Junio-2014-pdf" TargetMode="External"/><Relationship Id="rId1" Type="http://schemas.openxmlformats.org/officeDocument/2006/relationships/hyperlink" Target="http://informe21.com/hugo-chavez/indice-popularidad-hugo-chavez-cae-al-35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ngus-reid.com/polls/view/35673/most_venezuelans_want_chvez_out_in_2012" TargetMode="External"/><Relationship Id="rId1" Type="http://schemas.openxmlformats.org/officeDocument/2006/relationships/hyperlink" Target="http://www.angus-reid.com/polls/view/35673/most_venezuelans_want_chvez_out_in_2012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gisxxi.org/wp-content/uploads/2011/06/Bar&#243;metro-de-Gesti&#243;n-y-Coyuntura-Pol%C3%ADtica-Junio-2011.pdf" TargetMode="External"/><Relationship Id="rId1" Type="http://schemas.openxmlformats.org/officeDocument/2006/relationships/hyperlink" Target="http://www.gisxxi.org/estudios/indicadores-gestion-coyuntura-politica-estudio-nacional-octubre-2010/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cribd.com/doc/241403668/Datincorp-INFORME-ESTUDIO-DE-COYUNTURA-VENEZUELA-SEPTIEMBRE-2014-1-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5000"/>
  <sheetViews>
    <sheetView tabSelected="1" topLeftCell="A456" workbookViewId="0">
      <selection activeCell="I468" sqref="I468:I485"/>
    </sheetView>
  </sheetViews>
  <sheetFormatPr defaultRowHeight="12.75" x14ac:dyDescent="0.2"/>
  <cols>
    <col min="2" max="2" width="10.140625" bestFit="1" customWidth="1"/>
    <col min="3" max="3" width="9.140625" style="34"/>
    <col min="4" max="8" width="9.140625" style="24"/>
  </cols>
  <sheetData>
    <row r="1" spans="1:9" x14ac:dyDescent="0.2">
      <c r="A1" s="1">
        <v>42675</v>
      </c>
    </row>
    <row r="2" spans="1:9" x14ac:dyDescent="0.2">
      <c r="A2" t="s">
        <v>280</v>
      </c>
      <c r="B2" t="s">
        <v>201</v>
      </c>
      <c r="C2" s="34" t="s">
        <v>281</v>
      </c>
      <c r="D2" s="24" t="s">
        <v>199</v>
      </c>
      <c r="E2" s="24" t="s">
        <v>143</v>
      </c>
      <c r="F2" s="24" t="s">
        <v>203</v>
      </c>
      <c r="G2" s="24" t="s">
        <v>204</v>
      </c>
      <c r="H2" s="24" t="s">
        <v>205</v>
      </c>
      <c r="I2" t="s">
        <v>208</v>
      </c>
    </row>
    <row r="3" spans="1:9" x14ac:dyDescent="0.2">
      <c r="A3" t="s">
        <v>85</v>
      </c>
      <c r="B3" s="38">
        <v>32523</v>
      </c>
      <c r="C3" s="34">
        <v>1500</v>
      </c>
      <c r="D3" s="24">
        <v>70</v>
      </c>
      <c r="F3" s="24">
        <v>30</v>
      </c>
      <c r="G3" s="24">
        <v>40</v>
      </c>
      <c r="H3" s="24">
        <v>70</v>
      </c>
    </row>
    <row r="4" spans="1:9" x14ac:dyDescent="0.2">
      <c r="A4" t="s">
        <v>85</v>
      </c>
      <c r="B4" s="38">
        <v>32568</v>
      </c>
      <c r="C4" s="34">
        <v>1500</v>
      </c>
      <c r="D4" s="24">
        <v>46</v>
      </c>
    </row>
    <row r="5" spans="1:9" x14ac:dyDescent="0.2">
      <c r="A5" t="s">
        <v>85</v>
      </c>
      <c r="B5" s="38">
        <v>32660</v>
      </c>
      <c r="C5" s="34">
        <v>1500</v>
      </c>
      <c r="D5" s="24">
        <v>47</v>
      </c>
    </row>
    <row r="6" spans="1:9" x14ac:dyDescent="0.2">
      <c r="A6" t="s">
        <v>85</v>
      </c>
      <c r="B6" s="38">
        <v>32752</v>
      </c>
      <c r="C6" s="34">
        <v>1500</v>
      </c>
      <c r="D6" s="24">
        <v>44</v>
      </c>
    </row>
    <row r="7" spans="1:9" x14ac:dyDescent="0.2">
      <c r="A7" t="s">
        <v>85</v>
      </c>
      <c r="B7" s="38">
        <v>32843</v>
      </c>
      <c r="C7" s="34">
        <v>1500</v>
      </c>
      <c r="D7" s="24">
        <v>46</v>
      </c>
    </row>
    <row r="8" spans="1:9" x14ac:dyDescent="0.2">
      <c r="A8" t="s">
        <v>85</v>
      </c>
      <c r="B8" s="38">
        <v>32933</v>
      </c>
      <c r="C8" s="34">
        <v>1500</v>
      </c>
      <c r="D8" s="24">
        <v>44</v>
      </c>
    </row>
    <row r="9" spans="1:9" x14ac:dyDescent="0.2">
      <c r="A9" t="s">
        <v>85</v>
      </c>
      <c r="B9" s="38">
        <v>33025</v>
      </c>
      <c r="C9" s="34">
        <v>1500</v>
      </c>
      <c r="D9" s="24">
        <v>35</v>
      </c>
    </row>
    <row r="10" spans="1:9" x14ac:dyDescent="0.2">
      <c r="A10" t="s">
        <v>85</v>
      </c>
      <c r="B10" s="38">
        <v>33117</v>
      </c>
      <c r="C10" s="34">
        <v>1500</v>
      </c>
      <c r="D10" s="24">
        <v>37</v>
      </c>
    </row>
    <row r="11" spans="1:9" x14ac:dyDescent="0.2">
      <c r="A11" t="s">
        <v>85</v>
      </c>
      <c r="B11" s="38">
        <v>33208</v>
      </c>
      <c r="C11" s="34">
        <v>1500</v>
      </c>
      <c r="D11" s="24">
        <v>41</v>
      </c>
    </row>
    <row r="12" spans="1:9" x14ac:dyDescent="0.2">
      <c r="A12" t="s">
        <v>85</v>
      </c>
      <c r="B12" s="38">
        <v>33298</v>
      </c>
      <c r="C12" s="34">
        <v>1500</v>
      </c>
      <c r="D12" s="24">
        <v>45</v>
      </c>
    </row>
    <row r="13" spans="1:9" x14ac:dyDescent="0.2">
      <c r="A13" t="s">
        <v>85</v>
      </c>
      <c r="B13" s="38">
        <v>33390</v>
      </c>
      <c r="C13" s="34">
        <v>1500</v>
      </c>
      <c r="D13" s="24">
        <v>44</v>
      </c>
    </row>
    <row r="14" spans="1:9" x14ac:dyDescent="0.2">
      <c r="A14" t="s">
        <v>85</v>
      </c>
      <c r="B14" s="38">
        <v>33482</v>
      </c>
      <c r="C14" s="34">
        <v>1500</v>
      </c>
      <c r="D14" s="24">
        <v>37</v>
      </c>
    </row>
    <row r="15" spans="1:9" x14ac:dyDescent="0.2">
      <c r="A15" t="s">
        <v>85</v>
      </c>
      <c r="B15" s="38">
        <v>33573</v>
      </c>
      <c r="C15" s="34">
        <v>1500</v>
      </c>
      <c r="D15" s="24">
        <v>36</v>
      </c>
    </row>
    <row r="16" spans="1:9" x14ac:dyDescent="0.2">
      <c r="A16" t="s">
        <v>85</v>
      </c>
      <c r="B16" s="38">
        <v>33664</v>
      </c>
      <c r="C16" s="34">
        <v>1500</v>
      </c>
      <c r="D16" s="24">
        <v>27</v>
      </c>
    </row>
    <row r="17" spans="1:8" x14ac:dyDescent="0.2">
      <c r="A17" t="s">
        <v>85</v>
      </c>
      <c r="B17" s="38">
        <v>33756</v>
      </c>
      <c r="C17" s="34">
        <v>1500</v>
      </c>
      <c r="D17" s="24">
        <v>21</v>
      </c>
    </row>
    <row r="18" spans="1:8" x14ac:dyDescent="0.2">
      <c r="A18" t="s">
        <v>85</v>
      </c>
      <c r="B18" s="38">
        <v>33848</v>
      </c>
      <c r="C18" s="34">
        <v>1500</v>
      </c>
      <c r="D18" s="24">
        <v>21</v>
      </c>
    </row>
    <row r="19" spans="1:8" x14ac:dyDescent="0.2">
      <c r="A19" t="s">
        <v>85</v>
      </c>
      <c r="B19" s="38">
        <v>33939</v>
      </c>
      <c r="C19" s="34">
        <v>1500</v>
      </c>
      <c r="D19" s="24">
        <v>20</v>
      </c>
      <c r="F19" s="24">
        <v>80</v>
      </c>
      <c r="G19" s="24">
        <v>-60</v>
      </c>
      <c r="H19" s="24">
        <v>20</v>
      </c>
    </row>
    <row r="20" spans="1:8" x14ac:dyDescent="0.2">
      <c r="A20" t="s">
        <v>85</v>
      </c>
      <c r="B20" s="38">
        <v>34029</v>
      </c>
      <c r="C20" s="34">
        <v>1500</v>
      </c>
      <c r="D20" s="24">
        <v>19</v>
      </c>
      <c r="F20" s="24">
        <v>81</v>
      </c>
      <c r="G20" s="24">
        <v>-62</v>
      </c>
      <c r="H20" s="24">
        <v>19</v>
      </c>
    </row>
    <row r="21" spans="1:8" x14ac:dyDescent="0.2">
      <c r="A21" t="s">
        <v>85</v>
      </c>
      <c r="B21" s="38">
        <v>34121</v>
      </c>
      <c r="C21" s="34">
        <v>1500</v>
      </c>
      <c r="D21" s="24">
        <v>60</v>
      </c>
    </row>
    <row r="22" spans="1:8" x14ac:dyDescent="0.2">
      <c r="A22" t="s">
        <v>85</v>
      </c>
      <c r="B22" s="38">
        <v>34213</v>
      </c>
      <c r="C22" s="34">
        <v>1500</v>
      </c>
      <c r="D22" s="24">
        <v>42</v>
      </c>
    </row>
    <row r="23" spans="1:8" x14ac:dyDescent="0.2">
      <c r="A23" t="s">
        <v>85</v>
      </c>
      <c r="B23" s="38">
        <v>34394</v>
      </c>
      <c r="C23" s="34">
        <v>1500</v>
      </c>
      <c r="D23" s="24">
        <v>71</v>
      </c>
    </row>
    <row r="24" spans="1:8" x14ac:dyDescent="0.2">
      <c r="A24" t="s">
        <v>85</v>
      </c>
      <c r="B24" s="38">
        <v>34486</v>
      </c>
      <c r="C24" s="34">
        <v>1500</v>
      </c>
      <c r="D24" s="24">
        <v>59</v>
      </c>
    </row>
    <row r="25" spans="1:8" x14ac:dyDescent="0.2">
      <c r="A25" t="s">
        <v>85</v>
      </c>
      <c r="B25" s="38">
        <v>34943</v>
      </c>
      <c r="C25" s="34">
        <v>1500</v>
      </c>
      <c r="D25" s="24">
        <v>51</v>
      </c>
    </row>
    <row r="26" spans="1:8" x14ac:dyDescent="0.2">
      <c r="A26" t="s">
        <v>85</v>
      </c>
      <c r="B26" s="38">
        <v>35034</v>
      </c>
      <c r="C26" s="34">
        <v>1500</v>
      </c>
      <c r="D26" s="24">
        <v>47</v>
      </c>
    </row>
    <row r="27" spans="1:8" x14ac:dyDescent="0.2">
      <c r="A27" t="s">
        <v>85</v>
      </c>
      <c r="B27" s="38">
        <v>35125</v>
      </c>
      <c r="C27" s="34">
        <v>1500</v>
      </c>
      <c r="D27" s="24">
        <v>33</v>
      </c>
    </row>
    <row r="28" spans="1:8" x14ac:dyDescent="0.2">
      <c r="A28" t="s">
        <v>85</v>
      </c>
      <c r="B28" s="38">
        <v>35217</v>
      </c>
      <c r="C28" s="34">
        <v>1500</v>
      </c>
      <c r="D28" s="24">
        <v>25</v>
      </c>
    </row>
    <row r="29" spans="1:8" x14ac:dyDescent="0.2">
      <c r="A29" t="s">
        <v>85</v>
      </c>
      <c r="B29" s="38">
        <v>35309</v>
      </c>
      <c r="C29" s="34">
        <v>1500</v>
      </c>
      <c r="D29" s="24">
        <v>26</v>
      </c>
    </row>
    <row r="30" spans="1:8" x14ac:dyDescent="0.2">
      <c r="A30" t="s">
        <v>85</v>
      </c>
      <c r="B30" s="38">
        <v>35400</v>
      </c>
      <c r="C30" s="34">
        <v>1500</v>
      </c>
      <c r="D30" s="24">
        <v>26</v>
      </c>
    </row>
    <row r="31" spans="1:8" x14ac:dyDescent="0.2">
      <c r="A31" t="s">
        <v>85</v>
      </c>
      <c r="B31" s="38">
        <v>35674</v>
      </c>
      <c r="C31" s="34">
        <v>1500</v>
      </c>
      <c r="D31" s="24">
        <v>26</v>
      </c>
    </row>
    <row r="32" spans="1:8" x14ac:dyDescent="0.2">
      <c r="A32" t="s">
        <v>85</v>
      </c>
      <c r="B32" s="38">
        <v>35855</v>
      </c>
      <c r="C32" s="34">
        <v>1500</v>
      </c>
      <c r="D32" s="24">
        <v>23</v>
      </c>
    </row>
    <row r="33" spans="1:4" x14ac:dyDescent="0.2">
      <c r="A33" t="s">
        <v>85</v>
      </c>
      <c r="B33" s="38">
        <v>35947</v>
      </c>
      <c r="C33" s="34">
        <v>1500</v>
      </c>
      <c r="D33" s="24">
        <v>15</v>
      </c>
    </row>
    <row r="34" spans="1:4" x14ac:dyDescent="0.2">
      <c r="A34" t="s">
        <v>85</v>
      </c>
      <c r="B34" s="38">
        <v>36220</v>
      </c>
      <c r="C34" s="34">
        <v>1500</v>
      </c>
      <c r="D34" s="24">
        <v>80</v>
      </c>
    </row>
    <row r="35" spans="1:4" x14ac:dyDescent="0.2">
      <c r="A35" t="s">
        <v>85</v>
      </c>
      <c r="B35" s="38">
        <v>36312</v>
      </c>
      <c r="C35" s="34">
        <v>1500</v>
      </c>
      <c r="D35" s="24">
        <v>76</v>
      </c>
    </row>
    <row r="36" spans="1:4" x14ac:dyDescent="0.2">
      <c r="A36" t="s">
        <v>85</v>
      </c>
      <c r="B36" s="38">
        <v>36404</v>
      </c>
      <c r="C36" s="34">
        <v>1500</v>
      </c>
      <c r="D36" s="24">
        <v>80</v>
      </c>
    </row>
    <row r="37" spans="1:4" x14ac:dyDescent="0.2">
      <c r="A37" t="s">
        <v>85</v>
      </c>
      <c r="B37" s="38">
        <v>36526</v>
      </c>
      <c r="C37" s="34">
        <v>1500</v>
      </c>
      <c r="D37" s="24">
        <v>75</v>
      </c>
    </row>
    <row r="38" spans="1:4" x14ac:dyDescent="0.2">
      <c r="A38" t="s">
        <v>85</v>
      </c>
      <c r="B38" s="38">
        <v>36586</v>
      </c>
      <c r="C38" s="34">
        <v>1500</v>
      </c>
      <c r="D38" s="24">
        <v>62</v>
      </c>
    </row>
    <row r="39" spans="1:4" x14ac:dyDescent="0.2">
      <c r="A39" t="s">
        <v>85</v>
      </c>
      <c r="B39" s="38">
        <v>36678</v>
      </c>
      <c r="C39" s="34">
        <v>1500</v>
      </c>
      <c r="D39" s="24">
        <v>59</v>
      </c>
    </row>
    <row r="40" spans="1:4" x14ac:dyDescent="0.2">
      <c r="A40" t="s">
        <v>85</v>
      </c>
      <c r="B40" s="38">
        <v>36770</v>
      </c>
      <c r="C40" s="34">
        <v>1500</v>
      </c>
      <c r="D40" s="24">
        <v>69</v>
      </c>
    </row>
    <row r="41" spans="1:4" x14ac:dyDescent="0.2">
      <c r="A41" t="s">
        <v>85</v>
      </c>
      <c r="B41" s="38">
        <v>36923</v>
      </c>
      <c r="C41" s="34">
        <v>1500</v>
      </c>
      <c r="D41" s="24">
        <v>63</v>
      </c>
    </row>
    <row r="42" spans="1:4" x14ac:dyDescent="0.2">
      <c r="A42" t="s">
        <v>85</v>
      </c>
      <c r="B42" s="38">
        <v>36982</v>
      </c>
      <c r="C42" s="34">
        <v>1500</v>
      </c>
      <c r="D42" s="24">
        <v>59</v>
      </c>
    </row>
    <row r="43" spans="1:4" x14ac:dyDescent="0.2">
      <c r="A43" t="s">
        <v>85</v>
      </c>
      <c r="B43" s="38">
        <v>37104</v>
      </c>
      <c r="C43" s="34">
        <v>1500</v>
      </c>
      <c r="D43" s="24">
        <v>51</v>
      </c>
    </row>
    <row r="44" spans="1:4" x14ac:dyDescent="0.2">
      <c r="A44" t="s">
        <v>85</v>
      </c>
      <c r="B44" s="38">
        <v>37196</v>
      </c>
      <c r="C44" s="34">
        <v>1500</v>
      </c>
      <c r="D44" s="24">
        <v>47</v>
      </c>
    </row>
    <row r="45" spans="1:4" x14ac:dyDescent="0.2">
      <c r="A45" t="s">
        <v>85</v>
      </c>
      <c r="B45" s="38">
        <v>37288</v>
      </c>
      <c r="C45" s="34">
        <v>1500</v>
      </c>
      <c r="D45" s="24">
        <v>38</v>
      </c>
    </row>
    <row r="46" spans="1:4" x14ac:dyDescent="0.2">
      <c r="A46" t="s">
        <v>85</v>
      </c>
      <c r="B46" s="38">
        <v>37347</v>
      </c>
      <c r="C46" s="34">
        <v>1500</v>
      </c>
      <c r="D46" s="24">
        <v>50</v>
      </c>
    </row>
    <row r="47" spans="1:4" x14ac:dyDescent="0.2">
      <c r="A47" t="s">
        <v>85</v>
      </c>
      <c r="B47" s="38">
        <v>37438</v>
      </c>
      <c r="C47" s="34">
        <v>1500</v>
      </c>
      <c r="D47" s="24">
        <v>40</v>
      </c>
    </row>
    <row r="48" spans="1:4" x14ac:dyDescent="0.2">
      <c r="A48" t="s">
        <v>85</v>
      </c>
      <c r="B48" s="38">
        <v>37561</v>
      </c>
      <c r="C48" s="34">
        <v>1500</v>
      </c>
      <c r="D48" s="24">
        <v>40</v>
      </c>
    </row>
    <row r="49" spans="1:9" x14ac:dyDescent="0.2">
      <c r="A49" t="s">
        <v>85</v>
      </c>
      <c r="B49" s="38">
        <v>37712</v>
      </c>
      <c r="C49" s="34">
        <v>1500</v>
      </c>
      <c r="D49" s="24">
        <v>39</v>
      </c>
    </row>
    <row r="50" spans="1:9" x14ac:dyDescent="0.2">
      <c r="A50" t="s">
        <v>85</v>
      </c>
      <c r="B50" s="38">
        <v>37825</v>
      </c>
      <c r="C50" s="34">
        <v>1500</v>
      </c>
      <c r="D50" s="24">
        <v>36</v>
      </c>
    </row>
    <row r="51" spans="1:9" x14ac:dyDescent="0.2">
      <c r="A51" t="s">
        <v>85</v>
      </c>
      <c r="B51" s="38">
        <v>37865</v>
      </c>
      <c r="C51" s="34">
        <v>1500</v>
      </c>
      <c r="D51" s="24">
        <v>37</v>
      </c>
    </row>
    <row r="52" spans="1:9" x14ac:dyDescent="0.2">
      <c r="A52" t="s">
        <v>85</v>
      </c>
      <c r="B52" s="38">
        <v>37956</v>
      </c>
      <c r="C52" s="34">
        <v>1500</v>
      </c>
      <c r="D52" s="24">
        <v>45</v>
      </c>
    </row>
    <row r="53" spans="1:9" x14ac:dyDescent="0.2">
      <c r="A53" t="s">
        <v>85</v>
      </c>
      <c r="B53" s="38">
        <v>38047</v>
      </c>
      <c r="C53" s="34">
        <v>1500</v>
      </c>
      <c r="D53" s="24">
        <v>44</v>
      </c>
    </row>
    <row r="54" spans="1:9" x14ac:dyDescent="0.2">
      <c r="A54" t="s">
        <v>85</v>
      </c>
      <c r="B54" s="38">
        <v>38139</v>
      </c>
      <c r="C54" s="34">
        <v>1500</v>
      </c>
      <c r="D54" s="24">
        <v>48</v>
      </c>
    </row>
    <row r="55" spans="1:9" x14ac:dyDescent="0.2">
      <c r="A55" t="s">
        <v>85</v>
      </c>
      <c r="B55" s="38">
        <v>38261</v>
      </c>
      <c r="C55" s="34">
        <v>1500</v>
      </c>
      <c r="D55" s="24">
        <v>57</v>
      </c>
    </row>
    <row r="56" spans="1:9" x14ac:dyDescent="0.2">
      <c r="A56" t="s">
        <v>85</v>
      </c>
      <c r="B56" s="38">
        <v>38353</v>
      </c>
      <c r="C56" s="34">
        <v>1500</v>
      </c>
      <c r="D56" s="24">
        <v>55</v>
      </c>
    </row>
    <row r="57" spans="1:9" x14ac:dyDescent="0.2">
      <c r="A57" t="s">
        <v>85</v>
      </c>
      <c r="B57" s="38">
        <v>38473</v>
      </c>
      <c r="C57" s="34">
        <v>1500</v>
      </c>
      <c r="D57" s="24">
        <v>57</v>
      </c>
    </row>
    <row r="58" spans="1:9" x14ac:dyDescent="0.2">
      <c r="A58" t="s">
        <v>85</v>
      </c>
      <c r="B58" s="38">
        <v>38534</v>
      </c>
      <c r="C58" s="34">
        <v>1500</v>
      </c>
      <c r="D58" s="24">
        <v>60</v>
      </c>
    </row>
    <row r="59" spans="1:9" x14ac:dyDescent="0.2">
      <c r="A59" t="s">
        <v>85</v>
      </c>
      <c r="B59" s="38">
        <v>38596</v>
      </c>
      <c r="C59" s="34">
        <v>1500</v>
      </c>
      <c r="D59" s="24">
        <v>57</v>
      </c>
    </row>
    <row r="60" spans="1:9" x14ac:dyDescent="0.2">
      <c r="A60" t="s">
        <v>85</v>
      </c>
      <c r="B60" s="38">
        <v>38749</v>
      </c>
      <c r="C60" s="34">
        <v>1500</v>
      </c>
      <c r="D60" s="24">
        <v>55</v>
      </c>
    </row>
    <row r="61" spans="1:9" x14ac:dyDescent="0.2">
      <c r="A61" t="s">
        <v>85</v>
      </c>
      <c r="B61" s="38">
        <v>38808</v>
      </c>
      <c r="C61" s="34">
        <v>1500</v>
      </c>
      <c r="D61" s="24">
        <v>58</v>
      </c>
    </row>
    <row r="62" spans="1:9" x14ac:dyDescent="0.2">
      <c r="A62" t="s">
        <v>85</v>
      </c>
      <c r="B62" s="38">
        <v>38899</v>
      </c>
      <c r="C62" s="34">
        <v>1500</v>
      </c>
      <c r="D62" s="24">
        <v>54</v>
      </c>
    </row>
    <row r="63" spans="1:9" x14ac:dyDescent="0.2">
      <c r="A63" t="s">
        <v>85</v>
      </c>
      <c r="B63" s="38">
        <v>40224</v>
      </c>
      <c r="C63" s="34">
        <v>1500</v>
      </c>
      <c r="D63" s="24">
        <v>46</v>
      </c>
      <c r="F63" s="24">
        <v>54</v>
      </c>
      <c r="G63" s="24">
        <v>-8</v>
      </c>
      <c r="H63" s="24">
        <v>46</v>
      </c>
      <c r="I63" t="s">
        <v>59</v>
      </c>
    </row>
    <row r="64" spans="1:9" x14ac:dyDescent="0.2">
      <c r="A64" t="s">
        <v>85</v>
      </c>
      <c r="B64" s="38">
        <v>40405</v>
      </c>
      <c r="D64" s="24">
        <v>37</v>
      </c>
      <c r="F64" s="24">
        <v>63</v>
      </c>
      <c r="I64" t="s">
        <v>168</v>
      </c>
    </row>
    <row r="65" spans="1:9" x14ac:dyDescent="0.2">
      <c r="A65" t="s">
        <v>85</v>
      </c>
      <c r="B65" s="38">
        <v>40428</v>
      </c>
      <c r="C65" s="34">
        <v>2000</v>
      </c>
      <c r="D65" s="24">
        <v>45</v>
      </c>
      <c r="F65" s="24">
        <v>54</v>
      </c>
      <c r="G65" s="24">
        <v>-9</v>
      </c>
      <c r="H65" s="24">
        <v>45.454545454545453</v>
      </c>
      <c r="I65" t="s">
        <v>59</v>
      </c>
    </row>
    <row r="66" spans="1:9" x14ac:dyDescent="0.2">
      <c r="A66" t="s">
        <v>85</v>
      </c>
      <c r="B66" s="38">
        <v>40518</v>
      </c>
      <c r="C66" s="34">
        <v>1500</v>
      </c>
      <c r="D66" s="24">
        <v>43.2</v>
      </c>
      <c r="F66" s="24">
        <v>56.5</v>
      </c>
      <c r="G66" s="24">
        <v>-13.299999999999997</v>
      </c>
      <c r="H66" s="24">
        <v>43.329989969909732</v>
      </c>
      <c r="I66" t="s">
        <v>58</v>
      </c>
    </row>
    <row r="67" spans="1:9" x14ac:dyDescent="0.2">
      <c r="A67" t="s">
        <v>85</v>
      </c>
      <c r="B67" s="38">
        <v>40627</v>
      </c>
      <c r="C67" s="34">
        <v>2000</v>
      </c>
      <c r="D67" s="24">
        <v>47</v>
      </c>
      <c r="F67" s="24">
        <v>53</v>
      </c>
      <c r="G67" s="24">
        <v>-6</v>
      </c>
      <c r="H67" s="24">
        <v>47</v>
      </c>
      <c r="I67" t="s">
        <v>64</v>
      </c>
    </row>
    <row r="68" spans="1:9" x14ac:dyDescent="0.2">
      <c r="A68" t="s">
        <v>85</v>
      </c>
      <c r="B68" s="38">
        <v>40821</v>
      </c>
      <c r="C68" s="34">
        <v>1288</v>
      </c>
      <c r="D68" s="24">
        <v>56</v>
      </c>
      <c r="F68" s="24">
        <v>40</v>
      </c>
      <c r="G68" s="24">
        <v>16</v>
      </c>
      <c r="H68" s="24">
        <v>58.333333333333336</v>
      </c>
      <c r="I68" t="s">
        <v>169</v>
      </c>
    </row>
    <row r="69" spans="1:9" x14ac:dyDescent="0.2">
      <c r="A69" t="s">
        <v>85</v>
      </c>
      <c r="B69" s="38">
        <v>41455</v>
      </c>
      <c r="C69" s="34">
        <v>2000</v>
      </c>
      <c r="D69" s="24">
        <v>45.8</v>
      </c>
      <c r="F69" s="24">
        <v>53.4</v>
      </c>
      <c r="G69" s="24">
        <v>-7.6000000000000014</v>
      </c>
      <c r="H69" s="24">
        <v>46.16935483870968</v>
      </c>
      <c r="I69" t="s">
        <v>260</v>
      </c>
    </row>
    <row r="70" spans="1:9" x14ac:dyDescent="0.2">
      <c r="A70" t="s">
        <v>85</v>
      </c>
      <c r="B70" s="38">
        <v>41812</v>
      </c>
      <c r="C70" s="34">
        <v>2000</v>
      </c>
      <c r="D70" s="24">
        <v>41.4</v>
      </c>
      <c r="F70" s="24">
        <v>58.4</v>
      </c>
      <c r="G70" s="24">
        <v>-17</v>
      </c>
      <c r="H70" s="24">
        <v>41.482965931863724</v>
      </c>
      <c r="I70" t="s">
        <v>240</v>
      </c>
    </row>
    <row r="71" spans="1:9" x14ac:dyDescent="0.2">
      <c r="A71" t="s">
        <v>85</v>
      </c>
      <c r="B71" s="38">
        <v>42267</v>
      </c>
      <c r="C71" s="34">
        <v>2000</v>
      </c>
      <c r="D71" s="24">
        <v>33</v>
      </c>
      <c r="F71" s="24">
        <v>66</v>
      </c>
      <c r="G71" s="24">
        <v>-33</v>
      </c>
      <c r="H71" s="24">
        <v>33.333333333333329</v>
      </c>
      <c r="I71" t="s">
        <v>232</v>
      </c>
    </row>
    <row r="72" spans="1:9" x14ac:dyDescent="0.2">
      <c r="A72" t="s">
        <v>193</v>
      </c>
      <c r="B72" s="38">
        <v>31824</v>
      </c>
      <c r="C72" s="34">
        <v>3000</v>
      </c>
      <c r="D72" s="24">
        <v>15.56666667</v>
      </c>
      <c r="E72" s="24">
        <v>32.200000000000003</v>
      </c>
      <c r="F72" s="24">
        <v>46.366666670000001</v>
      </c>
      <c r="G72" s="24">
        <v>-30.8</v>
      </c>
      <c r="H72" s="24">
        <v>25.13455328577669</v>
      </c>
    </row>
    <row r="73" spans="1:9" x14ac:dyDescent="0.2">
      <c r="A73" t="s">
        <v>193</v>
      </c>
      <c r="B73" s="38">
        <v>32066</v>
      </c>
      <c r="C73" s="34">
        <v>2999</v>
      </c>
      <c r="D73" s="24">
        <v>15.70523508</v>
      </c>
      <c r="E73" s="24">
        <v>26.9</v>
      </c>
      <c r="F73" s="24">
        <v>41.013671219999999</v>
      </c>
      <c r="G73" s="24">
        <v>-25.308436139999998</v>
      </c>
      <c r="H73" s="24">
        <v>27.689594360178976</v>
      </c>
    </row>
    <row r="74" spans="1:9" x14ac:dyDescent="0.2">
      <c r="A74" t="s">
        <v>193</v>
      </c>
      <c r="B74" s="38">
        <v>32127</v>
      </c>
      <c r="C74" s="34">
        <v>3000</v>
      </c>
      <c r="D74" s="24">
        <v>16.93333333</v>
      </c>
      <c r="E74" s="24">
        <v>30.2</v>
      </c>
      <c r="F74" s="24">
        <v>40.533333329999998</v>
      </c>
      <c r="G74" s="24">
        <v>-23.599999999999998</v>
      </c>
      <c r="H74" s="24">
        <v>29.466357306202596</v>
      </c>
    </row>
    <row r="75" spans="1:9" x14ac:dyDescent="0.2">
      <c r="A75" t="s">
        <v>193</v>
      </c>
      <c r="B75" s="38">
        <v>32218</v>
      </c>
      <c r="C75" s="34">
        <v>1929</v>
      </c>
      <c r="D75" s="24">
        <v>27.579056510000001</v>
      </c>
      <c r="E75" s="24">
        <v>37.4</v>
      </c>
      <c r="F75" s="24">
        <v>45.775012959999998</v>
      </c>
      <c r="G75" s="24">
        <v>-18.195956449999997</v>
      </c>
      <c r="H75" s="24">
        <v>37.597173148354301</v>
      </c>
    </row>
    <row r="76" spans="1:9" x14ac:dyDescent="0.2">
      <c r="A76" t="s">
        <v>193</v>
      </c>
      <c r="B76" s="38">
        <v>32310</v>
      </c>
      <c r="C76" s="34">
        <v>340</v>
      </c>
      <c r="D76" s="24">
        <v>41.803278689999999</v>
      </c>
      <c r="E76" s="24">
        <v>33.6</v>
      </c>
      <c r="F76" s="24">
        <v>46.721311479999997</v>
      </c>
      <c r="G76" s="24">
        <v>-4.918032789999998</v>
      </c>
      <c r="H76" s="24">
        <v>47.222222220653293</v>
      </c>
    </row>
    <row r="77" spans="1:9" x14ac:dyDescent="0.2">
      <c r="A77" t="s">
        <v>193</v>
      </c>
      <c r="B77" s="38">
        <v>32371</v>
      </c>
      <c r="C77" s="34">
        <v>2000</v>
      </c>
      <c r="D77" s="24">
        <v>23.05</v>
      </c>
      <c r="E77" s="24">
        <v>36.1</v>
      </c>
      <c r="F77" s="24">
        <v>45.8</v>
      </c>
      <c r="G77" s="24">
        <v>-22.749999999999996</v>
      </c>
      <c r="H77" s="24">
        <v>33.478576615831521</v>
      </c>
    </row>
    <row r="78" spans="1:9" x14ac:dyDescent="0.2">
      <c r="A78" t="s">
        <v>193</v>
      </c>
      <c r="B78" s="38">
        <v>32463</v>
      </c>
      <c r="C78" s="34">
        <v>1991</v>
      </c>
      <c r="D78" s="24">
        <v>21.697639379999998</v>
      </c>
      <c r="E78" s="24">
        <v>34.1</v>
      </c>
      <c r="F78" s="24">
        <v>45.203415370000002</v>
      </c>
      <c r="G78" s="24">
        <v>-23.505775990000004</v>
      </c>
      <c r="H78" s="24">
        <v>32.432432434856338</v>
      </c>
    </row>
    <row r="79" spans="1:9" x14ac:dyDescent="0.2">
      <c r="A79" t="s">
        <v>193</v>
      </c>
      <c r="B79" s="38">
        <v>32524</v>
      </c>
      <c r="C79" s="34">
        <v>2000</v>
      </c>
      <c r="D79" s="24">
        <v>25.2</v>
      </c>
      <c r="E79" s="24">
        <v>36.4</v>
      </c>
      <c r="F79" s="24">
        <v>46.5</v>
      </c>
      <c r="G79" s="24">
        <v>-21.3</v>
      </c>
      <c r="H79" s="24">
        <v>35.146443514644346</v>
      </c>
    </row>
    <row r="80" spans="1:9" x14ac:dyDescent="0.2">
      <c r="A80" t="s">
        <v>193</v>
      </c>
      <c r="B80" s="38">
        <v>32614</v>
      </c>
      <c r="C80" s="34">
        <v>2000</v>
      </c>
      <c r="D80" s="24">
        <v>23.6</v>
      </c>
      <c r="E80" s="24">
        <v>31.6</v>
      </c>
      <c r="F80" s="24">
        <v>43.95</v>
      </c>
      <c r="G80" s="24">
        <v>-20.350000000000001</v>
      </c>
      <c r="H80" s="24">
        <v>34.937083641746852</v>
      </c>
    </row>
    <row r="81" spans="1:8" x14ac:dyDescent="0.2">
      <c r="A81" t="s">
        <v>193</v>
      </c>
      <c r="B81" s="38">
        <v>32828</v>
      </c>
      <c r="C81" s="34">
        <v>2000</v>
      </c>
      <c r="D81" s="24">
        <v>18.2</v>
      </c>
      <c r="E81" s="24">
        <v>37.200000000000003</v>
      </c>
      <c r="F81" s="24">
        <v>48.8</v>
      </c>
      <c r="G81" s="24">
        <v>-30.599999999999998</v>
      </c>
      <c r="H81" s="24">
        <v>27.164179104477608</v>
      </c>
    </row>
    <row r="82" spans="1:8" x14ac:dyDescent="0.2">
      <c r="A82" t="s">
        <v>193</v>
      </c>
      <c r="B82" s="38">
        <v>33009</v>
      </c>
      <c r="C82" s="34">
        <v>2000</v>
      </c>
      <c r="D82" s="24">
        <v>19.55</v>
      </c>
      <c r="E82" s="24">
        <v>32.4</v>
      </c>
      <c r="F82" s="24">
        <v>45.4</v>
      </c>
      <c r="G82" s="24">
        <v>-25.849999999999998</v>
      </c>
      <c r="H82" s="24">
        <v>30.100076982294073</v>
      </c>
    </row>
    <row r="83" spans="1:8" x14ac:dyDescent="0.2">
      <c r="A83" t="s">
        <v>193</v>
      </c>
      <c r="B83" s="38">
        <v>33101</v>
      </c>
      <c r="C83" s="34">
        <v>2000</v>
      </c>
      <c r="D83" s="24">
        <v>20.399999999999999</v>
      </c>
      <c r="E83" s="24">
        <v>33</v>
      </c>
      <c r="F83" s="24">
        <v>49.2</v>
      </c>
      <c r="G83" s="24">
        <v>-28.800000000000004</v>
      </c>
      <c r="H83" s="24">
        <v>29.31034482758621</v>
      </c>
    </row>
    <row r="84" spans="1:8" x14ac:dyDescent="0.2">
      <c r="A84" t="s">
        <v>193</v>
      </c>
      <c r="B84" s="38">
        <v>33162</v>
      </c>
      <c r="C84" s="34">
        <v>2000</v>
      </c>
      <c r="D84" s="24">
        <v>19.899999999999999</v>
      </c>
      <c r="E84" s="24">
        <v>33.4</v>
      </c>
      <c r="F84" s="24">
        <v>46.85</v>
      </c>
      <c r="G84" s="24">
        <v>-26.950000000000003</v>
      </c>
      <c r="H84" s="24">
        <v>29.812734082397004</v>
      </c>
    </row>
    <row r="85" spans="1:8" x14ac:dyDescent="0.2">
      <c r="A85" t="s">
        <v>193</v>
      </c>
      <c r="B85" s="38">
        <v>33313</v>
      </c>
      <c r="C85" s="34">
        <v>2000</v>
      </c>
      <c r="D85" s="24">
        <v>25.8</v>
      </c>
      <c r="E85" s="24">
        <v>31.2</v>
      </c>
      <c r="F85" s="24">
        <v>42.8</v>
      </c>
      <c r="G85" s="24">
        <v>-16.999999999999996</v>
      </c>
      <c r="H85" s="24">
        <v>37.609329446064145</v>
      </c>
    </row>
    <row r="86" spans="1:8" x14ac:dyDescent="0.2">
      <c r="A86" t="s">
        <v>193</v>
      </c>
      <c r="B86" s="38">
        <v>33466</v>
      </c>
      <c r="C86" s="34">
        <v>2000</v>
      </c>
      <c r="D86" s="24">
        <v>20.399999999999999</v>
      </c>
      <c r="E86" s="24">
        <v>33</v>
      </c>
      <c r="F86" s="24">
        <v>49.2</v>
      </c>
      <c r="G86" s="24">
        <v>-28.800000000000004</v>
      </c>
      <c r="H86" s="24">
        <v>29.31034482758621</v>
      </c>
    </row>
    <row r="87" spans="1:8" x14ac:dyDescent="0.2">
      <c r="A87" t="s">
        <v>193</v>
      </c>
      <c r="B87" s="38">
        <v>33558</v>
      </c>
      <c r="C87" s="34">
        <v>2000</v>
      </c>
      <c r="D87" s="24">
        <v>26.55</v>
      </c>
      <c r="E87" s="24">
        <v>33.4</v>
      </c>
      <c r="F87" s="24">
        <v>43.55</v>
      </c>
      <c r="G87" s="24">
        <v>-16.999999999999996</v>
      </c>
      <c r="H87" s="24">
        <v>37.874465049928681</v>
      </c>
    </row>
    <row r="88" spans="1:8" x14ac:dyDescent="0.2">
      <c r="A88" t="s">
        <v>193</v>
      </c>
      <c r="B88" s="38">
        <v>33650</v>
      </c>
      <c r="C88" s="34">
        <v>2000</v>
      </c>
      <c r="D88" s="24">
        <v>32.549999999999997</v>
      </c>
      <c r="E88" s="24">
        <v>35.5</v>
      </c>
      <c r="F88" s="24">
        <v>43.95</v>
      </c>
      <c r="G88" s="24">
        <v>-11.400000000000006</v>
      </c>
      <c r="H88" s="24">
        <v>42.549019607843135</v>
      </c>
    </row>
    <row r="89" spans="1:8" x14ac:dyDescent="0.2">
      <c r="A89" t="s">
        <v>193</v>
      </c>
      <c r="B89" s="38">
        <v>33740</v>
      </c>
      <c r="C89" s="34">
        <v>2000</v>
      </c>
      <c r="D89" s="24">
        <v>30.8</v>
      </c>
      <c r="E89" s="24">
        <v>36.1</v>
      </c>
      <c r="F89" s="24">
        <v>45.3</v>
      </c>
      <c r="G89" s="24">
        <v>-14.499999999999996</v>
      </c>
      <c r="H89" s="24">
        <v>40.473061760840999</v>
      </c>
    </row>
    <row r="90" spans="1:8" x14ac:dyDescent="0.2">
      <c r="A90" t="s">
        <v>193</v>
      </c>
      <c r="B90" s="38">
        <v>33801</v>
      </c>
      <c r="C90" s="34">
        <v>2000</v>
      </c>
      <c r="D90" s="24">
        <v>30.2</v>
      </c>
      <c r="E90" s="24">
        <v>35.799999999999997</v>
      </c>
      <c r="F90" s="24">
        <v>48.85</v>
      </c>
      <c r="G90" s="24">
        <v>-18.650000000000002</v>
      </c>
      <c r="H90" s="24">
        <v>38.203668564199873</v>
      </c>
    </row>
    <row r="91" spans="1:8" x14ac:dyDescent="0.2">
      <c r="A91" t="s">
        <v>193</v>
      </c>
      <c r="B91" s="38">
        <v>33893</v>
      </c>
      <c r="C91" s="34">
        <v>2000</v>
      </c>
      <c r="D91" s="24">
        <v>36.35</v>
      </c>
      <c r="E91" s="24">
        <v>34.200000000000003</v>
      </c>
      <c r="F91" s="24">
        <v>44.25</v>
      </c>
      <c r="G91" s="24">
        <v>-7.8999999999999986</v>
      </c>
      <c r="H91" s="24">
        <v>45.099255583126556</v>
      </c>
    </row>
    <row r="92" spans="1:8" x14ac:dyDescent="0.2">
      <c r="A92" t="s">
        <v>193</v>
      </c>
      <c r="B92" s="38">
        <v>34136</v>
      </c>
      <c r="C92" s="34">
        <v>2001</v>
      </c>
      <c r="D92" s="24">
        <v>22.1</v>
      </c>
      <c r="E92" s="24">
        <v>29.5</v>
      </c>
      <c r="F92" s="24">
        <v>44.45</v>
      </c>
      <c r="G92" s="24">
        <v>-22.35</v>
      </c>
      <c r="H92" s="24">
        <v>33.208114199849732</v>
      </c>
    </row>
    <row r="93" spans="1:8" x14ac:dyDescent="0.2">
      <c r="A93" t="s">
        <v>193</v>
      </c>
      <c r="B93" s="38">
        <v>34197</v>
      </c>
      <c r="C93" s="34">
        <v>2000</v>
      </c>
      <c r="D93" s="24">
        <v>19.25</v>
      </c>
      <c r="E93" s="24">
        <v>33.200000000000003</v>
      </c>
      <c r="F93" s="24">
        <v>47.7</v>
      </c>
      <c r="G93" s="24">
        <v>-28.450000000000003</v>
      </c>
      <c r="H93" s="24">
        <v>28.752800597460791</v>
      </c>
    </row>
    <row r="94" spans="1:8" x14ac:dyDescent="0.2">
      <c r="A94" t="s">
        <v>193</v>
      </c>
      <c r="B94" s="38">
        <v>34258</v>
      </c>
      <c r="C94" s="34">
        <v>2000</v>
      </c>
      <c r="D94" s="24">
        <v>14.45</v>
      </c>
      <c r="E94" s="24">
        <v>27.9</v>
      </c>
      <c r="F94" s="24">
        <v>44.65</v>
      </c>
      <c r="G94" s="24">
        <v>-30.2</v>
      </c>
      <c r="H94" s="24">
        <v>24.450084602368868</v>
      </c>
    </row>
    <row r="95" spans="1:8" x14ac:dyDescent="0.2">
      <c r="A95" t="s">
        <v>193</v>
      </c>
      <c r="B95" s="38">
        <v>34381</v>
      </c>
      <c r="C95" s="34">
        <v>2000</v>
      </c>
      <c r="D95" s="24">
        <v>25</v>
      </c>
      <c r="E95" s="24">
        <v>29.2</v>
      </c>
      <c r="F95" s="24">
        <v>43.7</v>
      </c>
      <c r="G95" s="24">
        <v>-18.700000000000003</v>
      </c>
      <c r="H95" s="24">
        <v>36.390101892285301</v>
      </c>
    </row>
    <row r="96" spans="1:8" x14ac:dyDescent="0.2">
      <c r="A96" t="s">
        <v>193</v>
      </c>
      <c r="B96" s="38">
        <v>34501</v>
      </c>
      <c r="C96" s="34">
        <v>2000</v>
      </c>
      <c r="D96" s="24">
        <v>17.3</v>
      </c>
      <c r="E96" s="24">
        <v>28.3</v>
      </c>
      <c r="F96" s="24">
        <v>46.2</v>
      </c>
      <c r="G96" s="24">
        <v>-28.900000000000002</v>
      </c>
      <c r="H96" s="24">
        <v>27.244094488188981</v>
      </c>
    </row>
    <row r="97" spans="1:8" x14ac:dyDescent="0.2">
      <c r="A97" t="s">
        <v>193</v>
      </c>
      <c r="B97" s="38">
        <v>34623</v>
      </c>
      <c r="C97" s="34">
        <v>2000</v>
      </c>
      <c r="D97" s="24">
        <v>22.15</v>
      </c>
      <c r="E97" s="24">
        <v>27.7</v>
      </c>
      <c r="F97" s="24">
        <v>44.95</v>
      </c>
      <c r="G97" s="24">
        <v>-22.800000000000004</v>
      </c>
      <c r="H97" s="24">
        <v>33.010432190760056</v>
      </c>
    </row>
    <row r="98" spans="1:8" x14ac:dyDescent="0.2">
      <c r="A98" t="s">
        <v>193</v>
      </c>
      <c r="B98" s="38">
        <v>34749</v>
      </c>
      <c r="C98" s="34">
        <v>2000</v>
      </c>
      <c r="D98" s="24">
        <v>24</v>
      </c>
      <c r="E98" s="24">
        <v>30.3</v>
      </c>
      <c r="F98" s="24">
        <v>41.55</v>
      </c>
      <c r="G98" s="24">
        <v>-17.549999999999997</v>
      </c>
      <c r="H98" s="24">
        <v>36.613272311212818</v>
      </c>
    </row>
    <row r="99" spans="1:8" x14ac:dyDescent="0.2">
      <c r="A99" t="s">
        <v>193</v>
      </c>
      <c r="B99" s="38">
        <v>34878</v>
      </c>
      <c r="C99" s="34">
        <v>2000</v>
      </c>
      <c r="D99" s="24">
        <v>20.350000000000001</v>
      </c>
      <c r="E99" s="24">
        <v>30</v>
      </c>
      <c r="F99" s="24">
        <v>49.4</v>
      </c>
      <c r="G99" s="24">
        <v>-29.049999999999997</v>
      </c>
      <c r="H99" s="24">
        <v>29.17562724014337</v>
      </c>
    </row>
    <row r="100" spans="1:8" x14ac:dyDescent="0.2">
      <c r="A100" t="s">
        <v>193</v>
      </c>
      <c r="B100" s="38">
        <v>35142</v>
      </c>
      <c r="C100" s="34">
        <v>2000</v>
      </c>
      <c r="D100" s="24">
        <v>14.15</v>
      </c>
      <c r="E100" s="24">
        <v>24.7</v>
      </c>
      <c r="F100" s="24">
        <v>46.3</v>
      </c>
      <c r="G100" s="24">
        <v>-32.15</v>
      </c>
      <c r="H100" s="24">
        <v>23.407775020678248</v>
      </c>
    </row>
    <row r="101" spans="1:8" x14ac:dyDescent="0.2">
      <c r="A101" t="s">
        <v>193</v>
      </c>
      <c r="B101" s="38">
        <v>35306</v>
      </c>
      <c r="C101" s="34">
        <v>2000</v>
      </c>
      <c r="D101" s="24">
        <v>12.6</v>
      </c>
      <c r="E101" s="24">
        <v>24.8</v>
      </c>
      <c r="F101" s="24">
        <v>45.7</v>
      </c>
      <c r="G101" s="24">
        <v>-33.1</v>
      </c>
      <c r="H101" s="24">
        <v>21.612349914236702</v>
      </c>
    </row>
    <row r="102" spans="1:8" x14ac:dyDescent="0.2">
      <c r="A102" t="s">
        <v>193</v>
      </c>
      <c r="B102" s="38">
        <v>35473</v>
      </c>
      <c r="C102" s="34">
        <v>2000</v>
      </c>
      <c r="D102" s="24">
        <v>17.25</v>
      </c>
      <c r="E102" s="24">
        <v>23.1</v>
      </c>
      <c r="F102" s="24">
        <v>42.9</v>
      </c>
      <c r="G102" s="24">
        <v>-25.65</v>
      </c>
      <c r="H102" s="24">
        <v>28.678304239401498</v>
      </c>
    </row>
    <row r="103" spans="1:8" x14ac:dyDescent="0.2">
      <c r="A103" t="s">
        <v>193</v>
      </c>
      <c r="B103" s="38">
        <v>35668</v>
      </c>
      <c r="C103" s="34">
        <v>2000</v>
      </c>
      <c r="D103" s="24">
        <v>18.068068069999999</v>
      </c>
      <c r="E103" s="24">
        <v>29</v>
      </c>
      <c r="F103" s="24">
        <v>47.197197199999998</v>
      </c>
      <c r="G103" s="24">
        <v>-29.129129129999999</v>
      </c>
      <c r="H103" s="24">
        <v>27.684049080706352</v>
      </c>
    </row>
    <row r="104" spans="1:8" x14ac:dyDescent="0.2">
      <c r="A104" t="s">
        <v>193</v>
      </c>
      <c r="B104" s="38">
        <v>35731</v>
      </c>
      <c r="C104" s="34">
        <v>2000</v>
      </c>
      <c r="D104" s="24">
        <v>15.215215219999999</v>
      </c>
      <c r="E104" s="24">
        <v>27.4</v>
      </c>
      <c r="F104" s="24">
        <v>46.796796800000003</v>
      </c>
      <c r="G104" s="24">
        <v>-31.581581580000005</v>
      </c>
      <c r="H104" s="24">
        <v>24.53591606589513</v>
      </c>
    </row>
    <row r="105" spans="1:8" x14ac:dyDescent="0.2">
      <c r="A105" t="s">
        <v>193</v>
      </c>
      <c r="B105" s="38">
        <v>35907</v>
      </c>
      <c r="C105" s="34">
        <v>2000</v>
      </c>
      <c r="D105" s="24">
        <v>30.35</v>
      </c>
      <c r="E105" s="24">
        <v>37.700000000000003</v>
      </c>
      <c r="F105" s="24">
        <v>50.55</v>
      </c>
      <c r="G105" s="24">
        <v>-20.199999999999996</v>
      </c>
      <c r="H105" s="24">
        <v>37.515451174289247</v>
      </c>
    </row>
    <row r="106" spans="1:8" x14ac:dyDescent="0.2">
      <c r="A106" t="s">
        <v>193</v>
      </c>
      <c r="B106" s="38">
        <v>36023</v>
      </c>
      <c r="C106" s="34">
        <v>2000</v>
      </c>
      <c r="D106" s="24">
        <v>29.279279280000001</v>
      </c>
      <c r="E106" s="24">
        <v>33.1</v>
      </c>
      <c r="F106" s="24">
        <v>50.150150150000002</v>
      </c>
      <c r="G106" s="24">
        <v>-20.870870870000001</v>
      </c>
      <c r="H106" s="24">
        <v>36.862003781360919</v>
      </c>
    </row>
    <row r="107" spans="1:8" x14ac:dyDescent="0.2">
      <c r="A107" t="s">
        <v>193</v>
      </c>
      <c r="B107" s="38">
        <v>36101</v>
      </c>
      <c r="C107" s="34">
        <v>2000</v>
      </c>
      <c r="D107" s="24">
        <v>21.403508769999998</v>
      </c>
      <c r="E107" s="24">
        <v>35</v>
      </c>
      <c r="F107" s="24">
        <v>52.481203010000002</v>
      </c>
      <c r="G107" s="24">
        <v>-31.077694240000003</v>
      </c>
      <c r="H107" s="24">
        <v>28.96879239880009</v>
      </c>
    </row>
    <row r="108" spans="1:8" x14ac:dyDescent="0.2">
      <c r="A108" t="s">
        <v>193</v>
      </c>
      <c r="B108" s="38">
        <v>36226</v>
      </c>
      <c r="C108" s="34">
        <v>2000</v>
      </c>
      <c r="D108" s="24">
        <v>21.66083042</v>
      </c>
      <c r="E108" s="24">
        <v>35.700000000000003</v>
      </c>
      <c r="F108" s="24">
        <v>56.628314160000002</v>
      </c>
      <c r="G108" s="24">
        <v>-34.967483740000006</v>
      </c>
      <c r="H108" s="24">
        <v>27.667731632788268</v>
      </c>
    </row>
    <row r="109" spans="1:8" x14ac:dyDescent="0.2">
      <c r="A109" t="s">
        <v>193</v>
      </c>
      <c r="B109" s="38">
        <v>36410</v>
      </c>
      <c r="C109" s="34">
        <v>2000</v>
      </c>
      <c r="D109" s="24">
        <v>11.58475426</v>
      </c>
      <c r="E109" s="24">
        <v>34.6</v>
      </c>
      <c r="F109" s="24">
        <v>58.876629889999997</v>
      </c>
      <c r="G109" s="24">
        <v>-47.291875629999993</v>
      </c>
      <c r="H109" s="24">
        <v>16.44128113540614</v>
      </c>
    </row>
    <row r="110" spans="1:8" x14ac:dyDescent="0.2">
      <c r="A110" t="s">
        <v>193</v>
      </c>
      <c r="B110" s="38">
        <v>36487</v>
      </c>
      <c r="C110" s="34">
        <v>2000</v>
      </c>
      <c r="D110" s="24">
        <v>12.925851700000001</v>
      </c>
      <c r="E110" s="24">
        <v>32.700000000000003</v>
      </c>
      <c r="F110" s="24">
        <v>57.36472946</v>
      </c>
      <c r="G110" s="24">
        <v>-44.438877759999997</v>
      </c>
      <c r="H110" s="24">
        <v>18.389166068462764</v>
      </c>
    </row>
    <row r="111" spans="1:8" x14ac:dyDescent="0.2">
      <c r="A111" t="s">
        <v>279</v>
      </c>
      <c r="B111" s="38">
        <v>39473</v>
      </c>
      <c r="C111" s="34">
        <v>1444</v>
      </c>
      <c r="D111" s="24">
        <v>37.880000000000003</v>
      </c>
      <c r="E111" s="24">
        <v>36.22</v>
      </c>
      <c r="F111" s="24">
        <v>25.9</v>
      </c>
      <c r="G111" s="24">
        <v>11.980000000000004</v>
      </c>
      <c r="H111" s="24">
        <v>59.391658827218563</v>
      </c>
    </row>
    <row r="112" spans="1:8" x14ac:dyDescent="0.2">
      <c r="A112" t="s">
        <v>279</v>
      </c>
      <c r="B112" s="38">
        <v>40223</v>
      </c>
      <c r="C112" s="34">
        <v>1476</v>
      </c>
      <c r="D112" s="24">
        <v>28.12</v>
      </c>
      <c r="E112" s="24">
        <v>43.02</v>
      </c>
      <c r="F112" s="24">
        <v>28.86</v>
      </c>
      <c r="G112" s="24">
        <v>-0.73999999999999844</v>
      </c>
      <c r="H112" s="24">
        <v>49.350649350649348</v>
      </c>
    </row>
    <row r="113" spans="1:9" x14ac:dyDescent="0.2">
      <c r="A113" t="s">
        <v>279</v>
      </c>
      <c r="B113" s="38">
        <v>40997</v>
      </c>
      <c r="C113" s="34">
        <v>1477</v>
      </c>
      <c r="D113" s="24">
        <v>48.61</v>
      </c>
      <c r="E113" s="24">
        <v>32.770000000000003</v>
      </c>
      <c r="F113" s="24">
        <v>18.62</v>
      </c>
      <c r="G113" s="24">
        <v>29.99</v>
      </c>
      <c r="H113" s="24">
        <v>72.304030938569085</v>
      </c>
    </row>
    <row r="114" spans="1:9" x14ac:dyDescent="0.2">
      <c r="A114" t="s">
        <v>279</v>
      </c>
      <c r="B114" s="38">
        <v>41755</v>
      </c>
      <c r="C114" s="34">
        <v>1463</v>
      </c>
      <c r="D114" s="24">
        <v>18.8</v>
      </c>
      <c r="E114" s="24">
        <v>27.61</v>
      </c>
      <c r="F114" s="24">
        <v>53.59</v>
      </c>
      <c r="G114" s="24">
        <v>-34.790000000000006</v>
      </c>
      <c r="H114" s="24">
        <v>25.970437905788092</v>
      </c>
    </row>
    <row r="115" spans="1:9" x14ac:dyDescent="0.2">
      <c r="A115" t="s">
        <v>71</v>
      </c>
      <c r="B115" s="38">
        <v>37408</v>
      </c>
      <c r="C115" s="34">
        <v>1200</v>
      </c>
      <c r="D115" s="24">
        <v>51</v>
      </c>
      <c r="F115" s="24">
        <v>39</v>
      </c>
      <c r="G115" s="24">
        <v>12</v>
      </c>
      <c r="H115" s="24">
        <v>56.666666666666664</v>
      </c>
    </row>
    <row r="116" spans="1:9" x14ac:dyDescent="0.2">
      <c r="A116" t="s">
        <v>71</v>
      </c>
      <c r="B116" s="38">
        <v>37861</v>
      </c>
      <c r="C116" s="34">
        <v>1200</v>
      </c>
      <c r="D116" s="24">
        <v>35</v>
      </c>
      <c r="F116" s="24">
        <v>60</v>
      </c>
      <c r="G116" s="24">
        <v>-25</v>
      </c>
      <c r="H116" s="24">
        <v>36.84210526315789</v>
      </c>
    </row>
    <row r="117" spans="1:9" x14ac:dyDescent="0.2">
      <c r="A117" t="s">
        <v>71</v>
      </c>
      <c r="B117" s="38">
        <v>38167</v>
      </c>
      <c r="C117" s="34">
        <v>1200</v>
      </c>
      <c r="D117" s="24">
        <v>43</v>
      </c>
      <c r="F117" s="24">
        <v>44</v>
      </c>
      <c r="G117" s="24">
        <v>-1</v>
      </c>
      <c r="H117" s="24">
        <v>49.425287356321839</v>
      </c>
    </row>
    <row r="118" spans="1:9" x14ac:dyDescent="0.2">
      <c r="A118" t="s">
        <v>71</v>
      </c>
      <c r="B118" s="38">
        <v>38604</v>
      </c>
      <c r="C118" s="34">
        <v>1200</v>
      </c>
      <c r="D118" s="24">
        <v>65</v>
      </c>
      <c r="F118" s="24">
        <v>27</v>
      </c>
      <c r="G118" s="24">
        <v>38</v>
      </c>
      <c r="H118" s="24">
        <v>70.652173913043484</v>
      </c>
    </row>
    <row r="119" spans="1:9" x14ac:dyDescent="0.2">
      <c r="A119" t="s">
        <v>71</v>
      </c>
      <c r="B119" s="38">
        <v>39036</v>
      </c>
      <c r="C119" s="34">
        <v>1200</v>
      </c>
      <c r="D119" s="24">
        <v>65</v>
      </c>
      <c r="F119" s="24">
        <v>25</v>
      </c>
      <c r="G119" s="24">
        <v>40</v>
      </c>
      <c r="H119" s="24">
        <v>72.222222222222214</v>
      </c>
    </row>
    <row r="120" spans="1:9" x14ac:dyDescent="0.2">
      <c r="A120" t="s">
        <v>71</v>
      </c>
      <c r="B120" s="38">
        <v>39364</v>
      </c>
      <c r="C120" s="34">
        <v>1200</v>
      </c>
      <c r="D120" s="24">
        <v>61</v>
      </c>
      <c r="F120" s="24">
        <v>33</v>
      </c>
      <c r="G120" s="24">
        <v>28</v>
      </c>
      <c r="H120" s="24">
        <v>64.893617021276597</v>
      </c>
    </row>
    <row r="121" spans="1:9" x14ac:dyDescent="0.2">
      <c r="A121" t="s">
        <v>71</v>
      </c>
      <c r="B121" s="38">
        <v>39732</v>
      </c>
      <c r="C121" s="34">
        <v>1200</v>
      </c>
      <c r="D121" s="24">
        <v>48</v>
      </c>
      <c r="F121" s="24">
        <v>45</v>
      </c>
      <c r="G121" s="24">
        <v>3</v>
      </c>
      <c r="H121" s="24">
        <v>51.612903225806448</v>
      </c>
    </row>
    <row r="122" spans="1:9" x14ac:dyDescent="0.2">
      <c r="A122" t="s">
        <v>71</v>
      </c>
      <c r="B122" s="38">
        <v>40112</v>
      </c>
      <c r="C122" s="34">
        <v>1200</v>
      </c>
      <c r="D122" s="24">
        <v>45</v>
      </c>
      <c r="F122" s="24">
        <v>44</v>
      </c>
      <c r="G122" s="24">
        <v>1</v>
      </c>
      <c r="H122" s="24">
        <v>50.561797752808992</v>
      </c>
    </row>
    <row r="123" spans="1:9" x14ac:dyDescent="0.2">
      <c r="A123" t="s">
        <v>71</v>
      </c>
      <c r="B123" s="38">
        <v>40457</v>
      </c>
      <c r="C123" s="34">
        <v>1200</v>
      </c>
      <c r="D123" s="24">
        <v>47</v>
      </c>
      <c r="F123" s="24">
        <v>44</v>
      </c>
      <c r="G123" s="24">
        <v>3</v>
      </c>
      <c r="H123" s="24">
        <v>51.648351648351657</v>
      </c>
    </row>
    <row r="124" spans="1:9" x14ac:dyDescent="0.2">
      <c r="A124" t="s">
        <v>71</v>
      </c>
      <c r="B124" s="38">
        <v>40771</v>
      </c>
      <c r="C124" s="34">
        <v>1200</v>
      </c>
      <c r="D124" s="24">
        <v>49</v>
      </c>
      <c r="F124" s="24">
        <v>39</v>
      </c>
      <c r="G124" s="24">
        <v>10</v>
      </c>
      <c r="H124" s="24">
        <v>55.68181818181818</v>
      </c>
    </row>
    <row r="125" spans="1:9" x14ac:dyDescent="0.2">
      <c r="A125" t="s">
        <v>71</v>
      </c>
      <c r="B125" s="38">
        <v>41455</v>
      </c>
      <c r="C125" s="34">
        <v>1200</v>
      </c>
      <c r="D125" s="24">
        <v>47</v>
      </c>
      <c r="F125" s="24">
        <v>46</v>
      </c>
      <c r="G125" s="24">
        <v>1</v>
      </c>
      <c r="H125" s="24">
        <v>50.537634408602152</v>
      </c>
    </row>
    <row r="126" spans="1:9" x14ac:dyDescent="0.2">
      <c r="A126" t="s">
        <v>71</v>
      </c>
      <c r="B126" s="38">
        <v>42050</v>
      </c>
      <c r="C126" s="34">
        <v>1200</v>
      </c>
      <c r="D126" s="24">
        <v>30</v>
      </c>
      <c r="F126" s="24">
        <v>64</v>
      </c>
      <c r="G126" s="24">
        <v>-34</v>
      </c>
      <c r="H126" s="24">
        <v>31.914893617021278</v>
      </c>
    </row>
    <row r="127" spans="1:9" x14ac:dyDescent="0.2">
      <c r="A127" t="s">
        <v>284</v>
      </c>
      <c r="B127" s="38">
        <v>38793</v>
      </c>
      <c r="C127" s="34">
        <v>1200</v>
      </c>
      <c r="D127" s="24">
        <v>60.2</v>
      </c>
      <c r="E127" s="24">
        <v>28.6</v>
      </c>
      <c r="F127" s="24">
        <v>10.1</v>
      </c>
      <c r="G127" s="24">
        <v>50.1</v>
      </c>
      <c r="H127" s="24">
        <v>85.633001422475118</v>
      </c>
      <c r="I127" t="s">
        <v>47</v>
      </c>
    </row>
    <row r="128" spans="1:9" x14ac:dyDescent="0.2">
      <c r="A128" t="s">
        <v>284</v>
      </c>
      <c r="B128" s="38">
        <v>39399</v>
      </c>
      <c r="C128" s="34">
        <v>600</v>
      </c>
      <c r="D128" s="24">
        <v>43.5</v>
      </c>
      <c r="E128" s="24">
        <v>39.799999999999997</v>
      </c>
      <c r="F128" s="24">
        <v>14.4</v>
      </c>
      <c r="G128" s="24">
        <v>29.1</v>
      </c>
      <c r="H128" s="24">
        <v>75.129533678756474</v>
      </c>
    </row>
    <row r="129" spans="1:9" x14ac:dyDescent="0.2">
      <c r="A129" t="s">
        <v>284</v>
      </c>
      <c r="B129" s="38">
        <v>39540</v>
      </c>
      <c r="C129" s="34">
        <v>1200</v>
      </c>
      <c r="D129" s="24">
        <v>44.1</v>
      </c>
      <c r="E129" s="24">
        <v>33.200000000000003</v>
      </c>
      <c r="F129" s="24">
        <v>20.2</v>
      </c>
      <c r="G129" s="24">
        <v>23.900000000000002</v>
      </c>
      <c r="H129" s="24">
        <v>68.584758942457242</v>
      </c>
    </row>
    <row r="130" spans="1:9" x14ac:dyDescent="0.2">
      <c r="A130" t="s">
        <v>284</v>
      </c>
      <c r="B130" s="38">
        <v>40085</v>
      </c>
      <c r="D130" s="24">
        <v>62.4</v>
      </c>
      <c r="I130" t="s">
        <v>154</v>
      </c>
    </row>
    <row r="131" spans="1:9" x14ac:dyDescent="0.2">
      <c r="A131" t="s">
        <v>284</v>
      </c>
      <c r="B131" s="38">
        <v>40193</v>
      </c>
      <c r="C131" s="34">
        <v>1200</v>
      </c>
      <c r="D131" s="24">
        <v>60.3</v>
      </c>
      <c r="F131" s="24">
        <v>38.700000000000003</v>
      </c>
      <c r="G131" s="24">
        <v>62.4</v>
      </c>
      <c r="H131" s="24">
        <v>60.909090909090899</v>
      </c>
    </row>
    <row r="132" spans="1:9" x14ac:dyDescent="0.2">
      <c r="A132" t="s">
        <v>284</v>
      </c>
      <c r="B132" s="38">
        <v>40875</v>
      </c>
      <c r="D132" s="24">
        <v>71.5</v>
      </c>
      <c r="F132" s="24">
        <v>25.5</v>
      </c>
      <c r="G132" s="24">
        <v>46</v>
      </c>
      <c r="H132" s="24">
        <v>73.711340206185568</v>
      </c>
    </row>
    <row r="133" spans="1:9" x14ac:dyDescent="0.2">
      <c r="A133" t="s">
        <v>284</v>
      </c>
      <c r="B133" s="38">
        <v>41320</v>
      </c>
      <c r="D133" s="24">
        <v>84</v>
      </c>
      <c r="I133" t="s">
        <v>170</v>
      </c>
    </row>
    <row r="134" spans="1:9" x14ac:dyDescent="0.2">
      <c r="A134" t="s">
        <v>243</v>
      </c>
      <c r="B134" s="38">
        <v>41336</v>
      </c>
      <c r="D134" s="24">
        <v>56.7</v>
      </c>
      <c r="F134" s="24">
        <v>34.4</v>
      </c>
      <c r="G134" s="24">
        <v>22.300000000000004</v>
      </c>
      <c r="H134" s="24">
        <v>62.239297475301868</v>
      </c>
      <c r="I134" t="s">
        <v>244</v>
      </c>
    </row>
    <row r="135" spans="1:9" x14ac:dyDescent="0.2">
      <c r="A135" t="s">
        <v>243</v>
      </c>
      <c r="B135" s="38">
        <v>41379</v>
      </c>
      <c r="D135" s="24">
        <v>47.2</v>
      </c>
      <c r="F135" s="24">
        <v>51.6</v>
      </c>
      <c r="G135" s="24">
        <v>-4.3999999999999986</v>
      </c>
      <c r="H135" s="24">
        <v>47.773279352226716</v>
      </c>
      <c r="I135" t="s">
        <v>235</v>
      </c>
    </row>
    <row r="136" spans="1:9" x14ac:dyDescent="0.2">
      <c r="A136" t="s">
        <v>243</v>
      </c>
      <c r="B136" s="38">
        <v>41409</v>
      </c>
      <c r="D136" s="24">
        <v>51.3</v>
      </c>
      <c r="F136" s="24">
        <v>46.7</v>
      </c>
      <c r="G136" s="24">
        <v>4.5999999999999943</v>
      </c>
      <c r="H136" s="24">
        <v>52.346938775510196</v>
      </c>
      <c r="I136" t="s">
        <v>244</v>
      </c>
    </row>
    <row r="137" spans="1:9" x14ac:dyDescent="0.2">
      <c r="A137" t="s">
        <v>243</v>
      </c>
      <c r="B137" s="38">
        <v>41440</v>
      </c>
      <c r="D137" s="24">
        <v>54.2</v>
      </c>
      <c r="F137" s="24">
        <v>43</v>
      </c>
      <c r="G137" s="24">
        <v>11.200000000000003</v>
      </c>
      <c r="H137" s="24">
        <v>55.761316872427983</v>
      </c>
      <c r="I137" t="s">
        <v>244</v>
      </c>
    </row>
    <row r="138" spans="1:9" x14ac:dyDescent="0.2">
      <c r="A138" t="s">
        <v>243</v>
      </c>
      <c r="B138" s="38">
        <v>41481</v>
      </c>
      <c r="D138" s="24">
        <v>46.5</v>
      </c>
      <c r="F138" s="24">
        <v>50.4</v>
      </c>
      <c r="G138" s="24">
        <v>-3.8999999999999986</v>
      </c>
      <c r="H138" s="24">
        <v>47.987616099071204</v>
      </c>
      <c r="I138" t="s">
        <v>259</v>
      </c>
    </row>
    <row r="139" spans="1:9" x14ac:dyDescent="0.2">
      <c r="A139" t="s">
        <v>243</v>
      </c>
      <c r="B139" s="38">
        <v>41514</v>
      </c>
      <c r="D139" s="24">
        <v>49</v>
      </c>
      <c r="F139" s="24">
        <v>47.2</v>
      </c>
      <c r="G139" s="24">
        <v>1.7999999999999972</v>
      </c>
      <c r="H139" s="24">
        <v>50.935550935550935</v>
      </c>
      <c r="I139" t="s">
        <v>244</v>
      </c>
    </row>
    <row r="140" spans="1:9" x14ac:dyDescent="0.2">
      <c r="A140" t="s">
        <v>243</v>
      </c>
      <c r="B140" s="38">
        <v>41532</v>
      </c>
      <c r="D140" s="24">
        <v>50</v>
      </c>
      <c r="F140" s="24">
        <v>47.2</v>
      </c>
      <c r="G140" s="24">
        <v>2.7999999999999972</v>
      </c>
      <c r="H140" s="24">
        <v>51.440329218106996</v>
      </c>
      <c r="I140" t="s">
        <v>244</v>
      </c>
    </row>
    <row r="141" spans="1:9" x14ac:dyDescent="0.2">
      <c r="A141" t="s">
        <v>243</v>
      </c>
      <c r="B141" s="38">
        <v>41562</v>
      </c>
      <c r="D141" s="24">
        <v>50</v>
      </c>
      <c r="F141" s="24">
        <v>46.2</v>
      </c>
      <c r="G141" s="24">
        <v>3.7999999999999972</v>
      </c>
      <c r="H141" s="24">
        <v>51.975051975051976</v>
      </c>
      <c r="I141" t="s">
        <v>235</v>
      </c>
    </row>
    <row r="142" spans="1:9" x14ac:dyDescent="0.2">
      <c r="A142" t="s">
        <v>243</v>
      </c>
      <c r="B142" s="38">
        <v>41589</v>
      </c>
      <c r="C142" s="34">
        <v>1200</v>
      </c>
      <c r="D142" s="24">
        <v>44.7</v>
      </c>
      <c r="F142" s="24">
        <v>53.1</v>
      </c>
      <c r="G142" s="24">
        <v>-8.3999999999999986</v>
      </c>
      <c r="H142" s="24">
        <v>45.705521472392633</v>
      </c>
      <c r="I142" t="s">
        <v>244</v>
      </c>
    </row>
    <row r="143" spans="1:9" x14ac:dyDescent="0.2">
      <c r="A143" t="s">
        <v>243</v>
      </c>
      <c r="B143" s="38">
        <v>41623</v>
      </c>
      <c r="D143" s="24">
        <v>49.9</v>
      </c>
      <c r="F143" s="24">
        <v>48.8</v>
      </c>
      <c r="G143" s="24">
        <v>1.1000000000000014</v>
      </c>
      <c r="H143" s="24">
        <v>50.557244174265456</v>
      </c>
      <c r="I143" t="s">
        <v>235</v>
      </c>
    </row>
    <row r="144" spans="1:9" x14ac:dyDescent="0.2">
      <c r="A144" t="s">
        <v>243</v>
      </c>
      <c r="B144" s="38">
        <v>41713</v>
      </c>
      <c r="C144" s="34">
        <v>800</v>
      </c>
      <c r="D144" s="24">
        <v>44.3</v>
      </c>
      <c r="F144" s="24">
        <v>55.2</v>
      </c>
      <c r="G144" s="24">
        <v>-10.900000000000006</v>
      </c>
      <c r="H144" s="24">
        <v>44.522613065326631</v>
      </c>
      <c r="I144" t="s">
        <v>235</v>
      </c>
    </row>
    <row r="145" spans="1:9" x14ac:dyDescent="0.2">
      <c r="A145" t="s">
        <v>243</v>
      </c>
      <c r="B145" s="38">
        <v>41723</v>
      </c>
      <c r="C145" s="34">
        <v>800</v>
      </c>
      <c r="D145" s="24">
        <v>42.4</v>
      </c>
      <c r="F145" s="24">
        <v>57.5</v>
      </c>
      <c r="G145" s="24">
        <v>-15.100000000000001</v>
      </c>
      <c r="H145" s="24">
        <v>42.442442442442442</v>
      </c>
      <c r="I145" t="s">
        <v>235</v>
      </c>
    </row>
    <row r="146" spans="1:9" x14ac:dyDescent="0.2">
      <c r="A146" t="s">
        <v>243</v>
      </c>
      <c r="B146" s="38">
        <v>41728</v>
      </c>
      <c r="C146" s="34">
        <v>1200</v>
      </c>
      <c r="D146" s="24">
        <v>42.1</v>
      </c>
      <c r="F146" s="24">
        <v>57.2</v>
      </c>
      <c r="G146" s="24">
        <v>-15.100000000000001</v>
      </c>
      <c r="H146" s="24">
        <v>42.39677744209466</v>
      </c>
      <c r="I146" t="s">
        <v>236</v>
      </c>
    </row>
    <row r="147" spans="1:9" x14ac:dyDescent="0.2">
      <c r="A147" t="s">
        <v>243</v>
      </c>
      <c r="B147" s="38">
        <v>41911</v>
      </c>
      <c r="D147" s="24">
        <v>34.6</v>
      </c>
      <c r="F147" s="24">
        <v>65</v>
      </c>
      <c r="G147" s="24">
        <v>-30.4</v>
      </c>
      <c r="H147" s="24">
        <v>34.738955823293175</v>
      </c>
      <c r="I147" t="s">
        <v>256</v>
      </c>
    </row>
    <row r="148" spans="1:9" x14ac:dyDescent="0.2">
      <c r="A148" t="s">
        <v>243</v>
      </c>
      <c r="B148" s="38">
        <v>41929</v>
      </c>
      <c r="C148" s="34">
        <v>1200</v>
      </c>
      <c r="D148" s="24">
        <v>36.700000000000003</v>
      </c>
      <c r="F148" s="24">
        <v>62.2</v>
      </c>
      <c r="G148" s="24">
        <v>-25.5</v>
      </c>
      <c r="H148" s="24">
        <v>37.108190091001013</v>
      </c>
      <c r="I148" t="s">
        <v>250</v>
      </c>
    </row>
    <row r="149" spans="1:9" x14ac:dyDescent="0.2">
      <c r="A149" t="s">
        <v>243</v>
      </c>
      <c r="B149" s="38">
        <v>42436</v>
      </c>
      <c r="D149" s="24">
        <v>27.9</v>
      </c>
      <c r="F149" s="24">
        <v>69.8</v>
      </c>
      <c r="G149" s="24">
        <v>-41.9</v>
      </c>
      <c r="H149" s="24">
        <v>28.556806550665303</v>
      </c>
    </row>
    <row r="150" spans="1:9" x14ac:dyDescent="0.2">
      <c r="A150" t="s">
        <v>72</v>
      </c>
      <c r="B150" s="38">
        <v>36206</v>
      </c>
      <c r="C150" s="34">
        <v>1000</v>
      </c>
      <c r="D150" s="24">
        <v>91.9</v>
      </c>
      <c r="F150" s="24">
        <v>5.2</v>
      </c>
      <c r="G150" s="24">
        <v>86.7</v>
      </c>
      <c r="H150" s="24">
        <v>94.644696189495363</v>
      </c>
      <c r="I150" t="s">
        <v>138</v>
      </c>
    </row>
    <row r="151" spans="1:9" x14ac:dyDescent="0.2">
      <c r="A151" t="s">
        <v>72</v>
      </c>
      <c r="B151" s="38">
        <v>36571</v>
      </c>
      <c r="C151" s="34">
        <v>1000</v>
      </c>
      <c r="D151" s="24">
        <v>76.8</v>
      </c>
      <c r="F151" s="24">
        <v>21.8</v>
      </c>
      <c r="G151" s="24">
        <v>55</v>
      </c>
      <c r="H151" s="24">
        <v>77.890466531440154</v>
      </c>
      <c r="I151" t="s">
        <v>138</v>
      </c>
    </row>
    <row r="152" spans="1:9" x14ac:dyDescent="0.2">
      <c r="A152" t="s">
        <v>72</v>
      </c>
      <c r="B152" s="38">
        <v>36631</v>
      </c>
      <c r="C152" s="34">
        <v>1000</v>
      </c>
      <c r="D152" s="24">
        <v>61</v>
      </c>
      <c r="F152" s="24">
        <v>38.200000000000003</v>
      </c>
      <c r="G152" s="24">
        <v>22.799999999999997</v>
      </c>
      <c r="H152" s="24">
        <v>61.491935483870961</v>
      </c>
      <c r="I152" t="s">
        <v>194</v>
      </c>
    </row>
    <row r="153" spans="1:9" x14ac:dyDescent="0.2">
      <c r="A153" t="s">
        <v>72</v>
      </c>
      <c r="B153" s="38">
        <v>36661</v>
      </c>
      <c r="C153" s="34">
        <v>1000</v>
      </c>
      <c r="D153" s="24">
        <v>55.9</v>
      </c>
      <c r="F153" s="24">
        <v>43.5</v>
      </c>
      <c r="G153" s="24">
        <v>12.399999999999999</v>
      </c>
      <c r="H153" s="24">
        <v>56.237424547283702</v>
      </c>
      <c r="I153" t="s">
        <v>138</v>
      </c>
    </row>
    <row r="154" spans="1:9" x14ac:dyDescent="0.2">
      <c r="A154" t="s">
        <v>72</v>
      </c>
      <c r="B154" s="38">
        <v>36692</v>
      </c>
      <c r="C154" s="34">
        <v>1000</v>
      </c>
      <c r="D154" s="24">
        <v>60.6</v>
      </c>
      <c r="F154" s="24">
        <v>38.1</v>
      </c>
      <c r="G154" s="24">
        <v>22.5</v>
      </c>
      <c r="H154" s="24">
        <v>61.39817629179332</v>
      </c>
      <c r="I154" t="s">
        <v>138</v>
      </c>
    </row>
    <row r="155" spans="1:9" x14ac:dyDescent="0.2">
      <c r="A155" t="s">
        <v>72</v>
      </c>
      <c r="B155" s="38">
        <v>36937</v>
      </c>
      <c r="C155" s="34">
        <v>1000</v>
      </c>
      <c r="D155" s="24">
        <v>62.7</v>
      </c>
      <c r="F155" s="24">
        <v>36.1</v>
      </c>
      <c r="G155" s="24">
        <v>26.6</v>
      </c>
      <c r="H155" s="24">
        <v>63.46153846153846</v>
      </c>
      <c r="I155" t="s">
        <v>138</v>
      </c>
    </row>
    <row r="156" spans="1:9" x14ac:dyDescent="0.2">
      <c r="A156" t="s">
        <v>72</v>
      </c>
      <c r="B156" s="38">
        <v>37087</v>
      </c>
      <c r="C156" s="34">
        <v>1000</v>
      </c>
      <c r="D156" s="24">
        <v>55.8</v>
      </c>
      <c r="F156" s="24">
        <v>42.8</v>
      </c>
      <c r="G156" s="24">
        <v>13</v>
      </c>
      <c r="H156" s="24">
        <v>56.592292089249497</v>
      </c>
      <c r="I156" t="s">
        <v>138</v>
      </c>
    </row>
    <row r="157" spans="1:9" x14ac:dyDescent="0.2">
      <c r="A157" t="s">
        <v>72</v>
      </c>
      <c r="B157" s="38">
        <v>37240</v>
      </c>
      <c r="C157" s="34">
        <v>1000</v>
      </c>
      <c r="D157" s="24">
        <v>35.5</v>
      </c>
      <c r="F157" s="24">
        <v>58.4</v>
      </c>
      <c r="G157" s="24">
        <v>-22.9</v>
      </c>
      <c r="H157" s="24">
        <v>37.80617678381256</v>
      </c>
      <c r="I157" t="s">
        <v>138</v>
      </c>
    </row>
    <row r="158" spans="1:9" x14ac:dyDescent="0.2">
      <c r="A158" t="s">
        <v>72</v>
      </c>
      <c r="B158" s="38">
        <v>37302</v>
      </c>
      <c r="C158" s="34">
        <v>1000</v>
      </c>
      <c r="D158" s="24">
        <v>34.4</v>
      </c>
      <c r="F158" s="24">
        <v>63.2</v>
      </c>
      <c r="G158" s="24">
        <v>-28.800000000000004</v>
      </c>
      <c r="H158" s="24">
        <v>35.245901639344261</v>
      </c>
      <c r="I158" t="s">
        <v>138</v>
      </c>
    </row>
    <row r="159" spans="1:9" x14ac:dyDescent="0.2">
      <c r="A159" t="s">
        <v>72</v>
      </c>
      <c r="B159" s="38">
        <v>37361</v>
      </c>
      <c r="C159" s="34">
        <v>1000</v>
      </c>
      <c r="D159" s="24">
        <v>44.7</v>
      </c>
      <c r="F159" s="24">
        <v>54.5</v>
      </c>
      <c r="G159" s="24">
        <v>-9.7999999999999972</v>
      </c>
      <c r="H159" s="24">
        <v>45.060483870967744</v>
      </c>
      <c r="I159" t="s">
        <v>138</v>
      </c>
    </row>
    <row r="160" spans="1:9" x14ac:dyDescent="0.2">
      <c r="A160" t="s">
        <v>72</v>
      </c>
      <c r="B160" s="38">
        <v>37422</v>
      </c>
      <c r="C160" s="34">
        <v>1000</v>
      </c>
      <c r="D160" s="24">
        <v>32.299999999999997</v>
      </c>
      <c r="F160" s="24">
        <v>67.099999999999994</v>
      </c>
      <c r="G160" s="24">
        <v>-34.799999999999997</v>
      </c>
      <c r="H160" s="24">
        <v>32.494969818913482</v>
      </c>
      <c r="I160" t="s">
        <v>138</v>
      </c>
    </row>
    <row r="161" spans="1:9" x14ac:dyDescent="0.2">
      <c r="A161" t="s">
        <v>72</v>
      </c>
      <c r="B161" s="38">
        <v>37575</v>
      </c>
      <c r="C161" s="34">
        <v>1000</v>
      </c>
      <c r="D161" s="24">
        <v>32.6</v>
      </c>
      <c r="F161" s="24">
        <v>66.099999999999994</v>
      </c>
      <c r="G161" s="24">
        <v>-33.499999999999993</v>
      </c>
      <c r="H161" s="24">
        <v>33.029381965552183</v>
      </c>
      <c r="I161" t="s">
        <v>138</v>
      </c>
    </row>
    <row r="162" spans="1:9" x14ac:dyDescent="0.2">
      <c r="A162" t="s">
        <v>72</v>
      </c>
      <c r="B162" s="38">
        <v>37667</v>
      </c>
      <c r="C162" s="34">
        <v>1000</v>
      </c>
      <c r="D162" s="24">
        <v>35.1</v>
      </c>
      <c r="F162" s="24">
        <v>63.8</v>
      </c>
      <c r="G162" s="24">
        <v>-28.699999999999996</v>
      </c>
      <c r="H162" s="24">
        <v>35.490394337714868</v>
      </c>
      <c r="I162" t="s">
        <v>138</v>
      </c>
    </row>
    <row r="163" spans="1:9" x14ac:dyDescent="0.2">
      <c r="A163" t="s">
        <v>72</v>
      </c>
      <c r="B163" s="38">
        <v>37756</v>
      </c>
      <c r="C163" s="34">
        <v>1000</v>
      </c>
      <c r="D163" s="24">
        <v>36.799999999999997</v>
      </c>
      <c r="F163" s="24">
        <v>62.8</v>
      </c>
      <c r="G163" s="24">
        <v>-26</v>
      </c>
      <c r="H163" s="24">
        <v>36.947791164658632</v>
      </c>
      <c r="I163" t="s">
        <v>138</v>
      </c>
    </row>
    <row r="164" spans="1:9" x14ac:dyDescent="0.2">
      <c r="A164" t="s">
        <v>72</v>
      </c>
      <c r="B164" s="38">
        <v>37817</v>
      </c>
      <c r="C164" s="34">
        <v>1000</v>
      </c>
      <c r="D164" s="24">
        <v>30.8</v>
      </c>
      <c r="F164" s="24">
        <v>67.5</v>
      </c>
      <c r="G164" s="24">
        <v>-36.700000000000003</v>
      </c>
      <c r="H164" s="24">
        <v>31.33265513733469</v>
      </c>
      <c r="I164" t="s">
        <v>138</v>
      </c>
    </row>
    <row r="165" spans="1:9" x14ac:dyDescent="0.2">
      <c r="A165" t="s">
        <v>72</v>
      </c>
      <c r="B165" s="38">
        <v>37880</v>
      </c>
      <c r="C165" s="34">
        <v>1300</v>
      </c>
      <c r="D165" s="24">
        <v>36.1</v>
      </c>
      <c r="F165" s="24">
        <v>62.8</v>
      </c>
      <c r="G165" s="24">
        <v>-26.699999999999996</v>
      </c>
      <c r="H165" s="24">
        <v>36.501516683518702</v>
      </c>
      <c r="I165" t="s">
        <v>138</v>
      </c>
    </row>
    <row r="166" spans="1:9" x14ac:dyDescent="0.2">
      <c r="A166" t="s">
        <v>72</v>
      </c>
      <c r="B166" s="38">
        <v>37940</v>
      </c>
      <c r="C166" s="34">
        <v>1300</v>
      </c>
      <c r="D166" s="24">
        <v>41.5</v>
      </c>
      <c r="F166" s="24">
        <v>57.2</v>
      </c>
      <c r="G166" s="24">
        <v>-15.700000000000003</v>
      </c>
      <c r="H166" s="24">
        <v>42.046605876393109</v>
      </c>
      <c r="I166" t="s">
        <v>138</v>
      </c>
    </row>
    <row r="167" spans="1:9" x14ac:dyDescent="0.2">
      <c r="A167" t="s">
        <v>72</v>
      </c>
      <c r="B167" s="38">
        <v>37970</v>
      </c>
      <c r="C167" s="34">
        <v>1300</v>
      </c>
      <c r="D167" s="24">
        <v>41.7</v>
      </c>
      <c r="F167" s="24">
        <v>56.2</v>
      </c>
      <c r="G167" s="24">
        <v>-14.5</v>
      </c>
      <c r="H167" s="24">
        <v>42.594484167517876</v>
      </c>
      <c r="I167" t="s">
        <v>138</v>
      </c>
    </row>
    <row r="168" spans="1:9" x14ac:dyDescent="0.2">
      <c r="A168" t="s">
        <v>72</v>
      </c>
      <c r="B168" s="38">
        <v>38032</v>
      </c>
      <c r="C168" s="34">
        <v>1300</v>
      </c>
      <c r="D168" s="24">
        <v>41.4</v>
      </c>
      <c r="F168" s="24">
        <v>54.6</v>
      </c>
      <c r="G168" s="24">
        <v>-13.200000000000003</v>
      </c>
      <c r="H168" s="24">
        <v>43.125</v>
      </c>
      <c r="I168" t="s">
        <v>56</v>
      </c>
    </row>
    <row r="169" spans="1:9" x14ac:dyDescent="0.2">
      <c r="A169" t="s">
        <v>72</v>
      </c>
      <c r="B169" s="38">
        <v>38122</v>
      </c>
      <c r="C169" s="34">
        <v>1300</v>
      </c>
      <c r="D169" s="24">
        <v>43.3</v>
      </c>
      <c r="F169" s="24">
        <v>55.2</v>
      </c>
      <c r="G169" s="24">
        <v>-11.900000000000006</v>
      </c>
      <c r="H169" s="24">
        <v>43.959390862944161</v>
      </c>
      <c r="I169" t="s">
        <v>56</v>
      </c>
    </row>
    <row r="170" spans="1:9" x14ac:dyDescent="0.2">
      <c r="A170" t="s">
        <v>72</v>
      </c>
      <c r="B170" s="38">
        <v>38183</v>
      </c>
      <c r="C170" s="34">
        <v>1300</v>
      </c>
      <c r="D170" s="24">
        <v>50.8</v>
      </c>
      <c r="F170" s="24">
        <v>48.8</v>
      </c>
      <c r="G170" s="24">
        <v>2</v>
      </c>
      <c r="H170" s="24">
        <v>51.00401606425703</v>
      </c>
      <c r="I170" t="s">
        <v>56</v>
      </c>
    </row>
    <row r="171" spans="1:9" x14ac:dyDescent="0.2">
      <c r="A171" t="s">
        <v>72</v>
      </c>
      <c r="B171" s="38">
        <v>38571</v>
      </c>
      <c r="C171" s="34">
        <v>1300</v>
      </c>
      <c r="D171" s="24">
        <v>48</v>
      </c>
      <c r="F171" s="24">
        <v>44.8</v>
      </c>
      <c r="G171" s="24">
        <v>3.2000000000000028</v>
      </c>
      <c r="H171" s="24">
        <v>51.724137931034484</v>
      </c>
      <c r="I171" t="s">
        <v>56</v>
      </c>
    </row>
    <row r="172" spans="1:9" x14ac:dyDescent="0.2">
      <c r="A172" t="s">
        <v>72</v>
      </c>
      <c r="B172" s="38">
        <v>38585</v>
      </c>
      <c r="C172" s="34">
        <v>1300</v>
      </c>
      <c r="D172" s="24">
        <v>59.2</v>
      </c>
      <c r="F172" s="24">
        <v>37.200000000000003</v>
      </c>
      <c r="G172" s="24">
        <v>22</v>
      </c>
      <c r="H172" s="24">
        <v>61.410788381742741</v>
      </c>
      <c r="I172" t="s">
        <v>56</v>
      </c>
    </row>
    <row r="173" spans="1:9" x14ac:dyDescent="0.2">
      <c r="A173" t="s">
        <v>72</v>
      </c>
      <c r="B173" s="38">
        <v>38275</v>
      </c>
      <c r="C173" s="34">
        <v>1300</v>
      </c>
      <c r="D173" s="24">
        <v>53.7</v>
      </c>
      <c r="F173" s="24">
        <v>41.6</v>
      </c>
      <c r="G173" s="24">
        <v>12.100000000000001</v>
      </c>
      <c r="H173" s="24">
        <v>56.348373557187827</v>
      </c>
      <c r="I173" t="s">
        <v>56</v>
      </c>
    </row>
    <row r="174" spans="1:9" x14ac:dyDescent="0.2">
      <c r="A174" t="s">
        <v>72</v>
      </c>
      <c r="B174" s="38">
        <v>38306</v>
      </c>
      <c r="C174" s="34">
        <v>1300</v>
      </c>
      <c r="D174" s="24">
        <v>64.5</v>
      </c>
      <c r="F174" s="24">
        <v>31.3</v>
      </c>
      <c r="G174" s="24">
        <v>33.200000000000003</v>
      </c>
      <c r="H174" s="24">
        <v>67.327766179540717</v>
      </c>
      <c r="I174" t="s">
        <v>56</v>
      </c>
    </row>
    <row r="175" spans="1:9" x14ac:dyDescent="0.2">
      <c r="A175" t="s">
        <v>72</v>
      </c>
      <c r="B175" s="38">
        <v>38367</v>
      </c>
      <c r="C175" s="34">
        <v>1300</v>
      </c>
      <c r="D175" s="24">
        <v>64.2</v>
      </c>
      <c r="F175" s="24">
        <v>32</v>
      </c>
      <c r="G175" s="24">
        <v>32.200000000000003</v>
      </c>
      <c r="H175" s="24">
        <v>66.735966735966741</v>
      </c>
      <c r="I175" t="s">
        <v>56</v>
      </c>
    </row>
    <row r="176" spans="1:9" x14ac:dyDescent="0.2">
      <c r="A176" t="s">
        <v>72</v>
      </c>
      <c r="B176" s="38">
        <v>38426</v>
      </c>
      <c r="C176" s="34">
        <v>1300</v>
      </c>
      <c r="D176" s="24">
        <v>70.5</v>
      </c>
      <c r="F176" s="24">
        <v>27</v>
      </c>
      <c r="G176" s="24">
        <v>43.5</v>
      </c>
      <c r="H176" s="24">
        <v>72.307692307692307</v>
      </c>
      <c r="I176" t="s">
        <v>56</v>
      </c>
    </row>
    <row r="177" spans="1:9" x14ac:dyDescent="0.2">
      <c r="A177" t="s">
        <v>72</v>
      </c>
      <c r="B177" s="38">
        <v>38457</v>
      </c>
      <c r="C177" s="34">
        <v>1300</v>
      </c>
      <c r="D177" s="24">
        <v>67.2</v>
      </c>
      <c r="F177" s="24">
        <v>29.8</v>
      </c>
      <c r="G177" s="24">
        <v>37.400000000000006</v>
      </c>
      <c r="H177" s="24">
        <v>69.278350515463913</v>
      </c>
      <c r="I177" t="s">
        <v>56</v>
      </c>
    </row>
    <row r="178" spans="1:9" x14ac:dyDescent="0.2">
      <c r="A178" t="s">
        <v>72</v>
      </c>
      <c r="B178" s="38">
        <v>38487</v>
      </c>
      <c r="C178" s="34">
        <v>1300</v>
      </c>
      <c r="D178" s="24">
        <v>71.2</v>
      </c>
      <c r="F178" s="24">
        <v>22.9</v>
      </c>
      <c r="G178" s="24">
        <v>48.300000000000004</v>
      </c>
      <c r="H178" s="24">
        <v>75.664187035069091</v>
      </c>
      <c r="I178" t="s">
        <v>56</v>
      </c>
    </row>
    <row r="179" spans="1:9" x14ac:dyDescent="0.2">
      <c r="A179" t="s">
        <v>72</v>
      </c>
      <c r="B179" s="38">
        <v>38518</v>
      </c>
      <c r="C179" s="34">
        <v>1300</v>
      </c>
      <c r="D179" s="24">
        <v>71.8</v>
      </c>
      <c r="F179" s="24">
        <v>24.8</v>
      </c>
      <c r="G179" s="24">
        <v>47</v>
      </c>
      <c r="H179" s="24">
        <v>74.327122153209118</v>
      </c>
      <c r="I179" t="s">
        <v>56</v>
      </c>
    </row>
    <row r="180" spans="1:9" x14ac:dyDescent="0.2">
      <c r="A180" t="s">
        <v>72</v>
      </c>
      <c r="B180" s="38">
        <v>38640</v>
      </c>
      <c r="C180" s="34">
        <v>1300</v>
      </c>
      <c r="D180" s="24">
        <v>67.599999999999994</v>
      </c>
      <c r="F180" s="24">
        <v>26.3</v>
      </c>
      <c r="G180" s="24">
        <v>41.3</v>
      </c>
      <c r="H180" s="24">
        <v>71.991480298189558</v>
      </c>
      <c r="I180" t="s">
        <v>56</v>
      </c>
    </row>
    <row r="181" spans="1:9" x14ac:dyDescent="0.2">
      <c r="A181" t="s">
        <v>72</v>
      </c>
      <c r="B181" s="38">
        <v>38701</v>
      </c>
      <c r="C181" s="34">
        <v>1300</v>
      </c>
      <c r="D181" s="24">
        <v>62.5</v>
      </c>
      <c r="F181" s="24">
        <v>30</v>
      </c>
      <c r="G181" s="24">
        <v>32.5</v>
      </c>
      <c r="H181" s="24">
        <v>67.567567567567565</v>
      </c>
      <c r="I181" t="s">
        <v>56</v>
      </c>
    </row>
    <row r="182" spans="1:9" x14ac:dyDescent="0.2">
      <c r="A182" t="s">
        <v>72</v>
      </c>
      <c r="B182" s="38">
        <v>38763</v>
      </c>
      <c r="C182" s="34">
        <v>1300</v>
      </c>
      <c r="D182" s="24">
        <v>73.599999999999994</v>
      </c>
      <c r="F182" s="24">
        <v>21.9</v>
      </c>
      <c r="G182" s="24">
        <v>51.699999999999996</v>
      </c>
      <c r="H182" s="24">
        <v>77.06806282722512</v>
      </c>
      <c r="I182" t="s">
        <v>56</v>
      </c>
    </row>
    <row r="183" spans="1:9" x14ac:dyDescent="0.2">
      <c r="A183" t="s">
        <v>72</v>
      </c>
      <c r="B183" s="38">
        <v>38791</v>
      </c>
      <c r="C183" s="34">
        <v>1300</v>
      </c>
      <c r="D183" s="24">
        <v>73.099999999999994</v>
      </c>
      <c r="F183" s="24">
        <v>23.4</v>
      </c>
      <c r="G183" s="24">
        <v>49.699999999999996</v>
      </c>
      <c r="H183" s="24">
        <v>75.751295336787564</v>
      </c>
      <c r="I183" t="s">
        <v>56</v>
      </c>
    </row>
    <row r="184" spans="1:9" x14ac:dyDescent="0.2">
      <c r="A184" t="s">
        <v>72</v>
      </c>
      <c r="B184" s="38">
        <v>38822</v>
      </c>
      <c r="C184" s="34">
        <v>1300</v>
      </c>
      <c r="D184" s="24">
        <v>74.2</v>
      </c>
      <c r="F184" s="24">
        <v>21.1</v>
      </c>
      <c r="G184" s="24">
        <v>53.1</v>
      </c>
      <c r="H184" s="24">
        <v>77.859391395592866</v>
      </c>
      <c r="I184" t="s">
        <v>56</v>
      </c>
    </row>
    <row r="185" spans="1:9" x14ac:dyDescent="0.2">
      <c r="A185" t="s">
        <v>72</v>
      </c>
      <c r="B185" s="38">
        <v>38852</v>
      </c>
      <c r="C185" s="34">
        <v>1300</v>
      </c>
      <c r="D185" s="24">
        <v>75.400000000000006</v>
      </c>
      <c r="F185" s="24">
        <v>20</v>
      </c>
      <c r="G185" s="24">
        <v>55.400000000000006</v>
      </c>
      <c r="H185" s="24">
        <v>79.035639412997909</v>
      </c>
      <c r="I185" t="s">
        <v>56</v>
      </c>
    </row>
    <row r="186" spans="1:9" x14ac:dyDescent="0.2">
      <c r="A186" t="s">
        <v>72</v>
      </c>
      <c r="B186" s="38">
        <v>38883</v>
      </c>
      <c r="C186" s="34">
        <v>1300</v>
      </c>
      <c r="D186" s="24">
        <v>70.099999999999994</v>
      </c>
      <c r="F186" s="24">
        <v>25.2</v>
      </c>
      <c r="G186" s="24">
        <v>44.899999999999991</v>
      </c>
      <c r="H186" s="24">
        <v>73.557187827911847</v>
      </c>
      <c r="I186" t="s">
        <v>56</v>
      </c>
    </row>
    <row r="187" spans="1:9" x14ac:dyDescent="0.2">
      <c r="A187" t="s">
        <v>72</v>
      </c>
      <c r="B187" s="38">
        <v>38913</v>
      </c>
      <c r="C187" s="34">
        <v>1300</v>
      </c>
      <c r="D187" s="24">
        <v>70.5</v>
      </c>
      <c r="F187" s="24">
        <v>24.6</v>
      </c>
      <c r="G187" s="24">
        <v>45.9</v>
      </c>
      <c r="H187" s="24">
        <v>74.13249211356468</v>
      </c>
      <c r="I187" t="s">
        <v>56</v>
      </c>
    </row>
    <row r="188" spans="1:9" x14ac:dyDescent="0.2">
      <c r="A188" t="s">
        <v>72</v>
      </c>
      <c r="B188" s="38">
        <v>38944</v>
      </c>
      <c r="C188" s="34">
        <v>1300</v>
      </c>
      <c r="D188" s="24">
        <v>72.8</v>
      </c>
      <c r="F188" s="24">
        <v>23.8</v>
      </c>
      <c r="G188" s="24">
        <v>49</v>
      </c>
      <c r="H188" s="24">
        <v>75.362318840579718</v>
      </c>
      <c r="I188" t="s">
        <v>56</v>
      </c>
    </row>
    <row r="189" spans="1:9" x14ac:dyDescent="0.2">
      <c r="A189" t="s">
        <v>72</v>
      </c>
      <c r="B189" s="38">
        <v>38975</v>
      </c>
      <c r="C189" s="34">
        <v>1300</v>
      </c>
      <c r="D189" s="24">
        <v>70.8</v>
      </c>
      <c r="F189" s="24">
        <v>24.8</v>
      </c>
      <c r="G189" s="24">
        <v>46</v>
      </c>
      <c r="H189" s="24">
        <v>74.058577405857733</v>
      </c>
      <c r="I189" t="s">
        <v>56</v>
      </c>
    </row>
    <row r="190" spans="1:9" x14ac:dyDescent="0.2">
      <c r="A190" t="s">
        <v>72</v>
      </c>
      <c r="B190" s="38">
        <v>39036</v>
      </c>
      <c r="C190" s="34">
        <v>1600</v>
      </c>
      <c r="D190" s="24">
        <v>66.3</v>
      </c>
      <c r="F190" s="24">
        <v>27.3</v>
      </c>
      <c r="G190" s="24">
        <v>39</v>
      </c>
      <c r="H190" s="24">
        <v>70.833333333333343</v>
      </c>
      <c r="I190" t="s">
        <v>56</v>
      </c>
    </row>
    <row r="191" spans="1:9" x14ac:dyDescent="0.2">
      <c r="A191" t="s">
        <v>72</v>
      </c>
      <c r="B191" s="38">
        <v>39128</v>
      </c>
      <c r="C191" s="34">
        <v>1300</v>
      </c>
      <c r="D191" s="24">
        <v>67.400000000000006</v>
      </c>
      <c r="F191" s="24">
        <v>26.9</v>
      </c>
      <c r="G191" s="24">
        <v>40.500000000000007</v>
      </c>
      <c r="H191" s="24">
        <v>71.474019088016959</v>
      </c>
      <c r="I191" t="s">
        <v>53</v>
      </c>
    </row>
    <row r="192" spans="1:9" x14ac:dyDescent="0.2">
      <c r="A192" t="s">
        <v>72</v>
      </c>
      <c r="B192" s="38">
        <v>39156</v>
      </c>
      <c r="C192" s="34">
        <v>1300</v>
      </c>
      <c r="D192" s="24">
        <v>64.7</v>
      </c>
      <c r="F192" s="24">
        <v>29.6</v>
      </c>
      <c r="G192" s="24">
        <v>35.1</v>
      </c>
      <c r="H192" s="24">
        <v>68.610816542948029</v>
      </c>
      <c r="I192" t="s">
        <v>56</v>
      </c>
    </row>
    <row r="193" spans="1:9" x14ac:dyDescent="0.2">
      <c r="A193" t="s">
        <v>72</v>
      </c>
      <c r="B193" s="38">
        <v>39209</v>
      </c>
      <c r="C193" s="34">
        <v>1300</v>
      </c>
      <c r="D193" s="24">
        <v>63.1</v>
      </c>
      <c r="F193" s="24">
        <v>29.1</v>
      </c>
      <c r="G193" s="24">
        <v>34</v>
      </c>
      <c r="H193" s="24">
        <v>68.43817787418655</v>
      </c>
      <c r="I193" t="s">
        <v>53</v>
      </c>
    </row>
    <row r="194" spans="1:9" x14ac:dyDescent="0.2">
      <c r="A194" t="s">
        <v>72</v>
      </c>
      <c r="B194" s="38">
        <v>39223</v>
      </c>
      <c r="C194" s="34">
        <v>1300</v>
      </c>
      <c r="D194" s="24">
        <v>55.8</v>
      </c>
      <c r="F194" s="24">
        <v>36.299999999999997</v>
      </c>
      <c r="G194" s="24">
        <v>19.5</v>
      </c>
      <c r="H194" s="24">
        <v>60.586319218241044</v>
      </c>
      <c r="I194" t="s">
        <v>56</v>
      </c>
    </row>
    <row r="195" spans="1:9" x14ac:dyDescent="0.2">
      <c r="A195" t="s">
        <v>72</v>
      </c>
      <c r="B195" s="38">
        <v>39248</v>
      </c>
      <c r="C195" s="34">
        <v>1300</v>
      </c>
      <c r="D195" s="24">
        <v>65</v>
      </c>
      <c r="F195" s="24">
        <v>28.2</v>
      </c>
      <c r="G195" s="24">
        <v>36.799999999999997</v>
      </c>
      <c r="H195" s="24">
        <v>69.742489270386272</v>
      </c>
      <c r="I195" t="s">
        <v>56</v>
      </c>
    </row>
    <row r="196" spans="1:9" x14ac:dyDescent="0.2">
      <c r="A196" t="s">
        <v>72</v>
      </c>
      <c r="B196" s="38">
        <v>39278</v>
      </c>
      <c r="C196" s="34">
        <v>1300</v>
      </c>
      <c r="D196" s="24">
        <v>60</v>
      </c>
      <c r="F196" s="24">
        <v>33.6</v>
      </c>
      <c r="G196" s="24">
        <v>26.4</v>
      </c>
      <c r="H196" s="24">
        <v>64.102564102564102</v>
      </c>
      <c r="I196" t="s">
        <v>56</v>
      </c>
    </row>
    <row r="197" spans="1:9" x14ac:dyDescent="0.2">
      <c r="A197" t="s">
        <v>72</v>
      </c>
      <c r="B197" s="38">
        <v>39340</v>
      </c>
      <c r="C197" s="34">
        <v>1300</v>
      </c>
      <c r="D197" s="24">
        <v>63.4</v>
      </c>
      <c r="F197" s="24">
        <v>30.2</v>
      </c>
      <c r="G197" s="24">
        <v>33.200000000000003</v>
      </c>
      <c r="H197" s="24">
        <v>67.73504273504274</v>
      </c>
      <c r="I197" t="s">
        <v>56</v>
      </c>
    </row>
    <row r="198" spans="1:9" x14ac:dyDescent="0.2">
      <c r="A198" t="s">
        <v>72</v>
      </c>
      <c r="B198" s="38">
        <v>39370</v>
      </c>
      <c r="C198" s="34">
        <v>1300</v>
      </c>
      <c r="D198" s="24">
        <v>62.2</v>
      </c>
      <c r="F198" s="24">
        <v>33.200000000000003</v>
      </c>
      <c r="G198" s="24">
        <v>29</v>
      </c>
      <c r="H198" s="24">
        <v>65.19916142557652</v>
      </c>
      <c r="I198" t="s">
        <v>56</v>
      </c>
    </row>
    <row r="199" spans="1:9" x14ac:dyDescent="0.2">
      <c r="A199" t="s">
        <v>72</v>
      </c>
      <c r="B199" s="38">
        <v>39401</v>
      </c>
      <c r="C199" s="34">
        <v>1300</v>
      </c>
      <c r="D199" s="24">
        <v>52</v>
      </c>
      <c r="F199" s="24">
        <v>42.9</v>
      </c>
      <c r="G199" s="24">
        <v>9.1000000000000014</v>
      </c>
      <c r="H199" s="24">
        <v>54.794520547945204</v>
      </c>
      <c r="I199" t="s">
        <v>56</v>
      </c>
    </row>
    <row r="200" spans="1:9" x14ac:dyDescent="0.2">
      <c r="A200" t="s">
        <v>72</v>
      </c>
      <c r="B200" s="38">
        <v>39493</v>
      </c>
      <c r="C200" s="34">
        <v>1300</v>
      </c>
      <c r="D200" s="24">
        <v>51.8</v>
      </c>
      <c r="F200" s="24">
        <v>40.299999999999997</v>
      </c>
      <c r="G200" s="24">
        <v>11.5</v>
      </c>
      <c r="H200" s="24">
        <v>56.243213897937025</v>
      </c>
      <c r="I200" t="s">
        <v>53</v>
      </c>
    </row>
    <row r="201" spans="1:9" x14ac:dyDescent="0.2">
      <c r="A201" t="s">
        <v>72</v>
      </c>
      <c r="B201" s="38">
        <v>39553</v>
      </c>
      <c r="C201" s="34">
        <v>1300</v>
      </c>
      <c r="D201" s="24">
        <v>55.8</v>
      </c>
      <c r="F201" s="24">
        <v>39</v>
      </c>
      <c r="G201" s="24">
        <v>16.799999999999997</v>
      </c>
      <c r="H201" s="24">
        <v>58.860759493670891</v>
      </c>
      <c r="I201" t="s">
        <v>56</v>
      </c>
    </row>
    <row r="202" spans="1:9" x14ac:dyDescent="0.2">
      <c r="A202" t="s">
        <v>72</v>
      </c>
      <c r="B202" s="38">
        <v>39583</v>
      </c>
      <c r="C202" s="34">
        <v>1300</v>
      </c>
      <c r="D202" s="24">
        <v>55.5</v>
      </c>
      <c r="F202" s="24">
        <v>35.9</v>
      </c>
      <c r="G202" s="24">
        <v>19.600000000000001</v>
      </c>
      <c r="H202" s="24">
        <v>60.722100656455133</v>
      </c>
      <c r="I202" t="s">
        <v>53</v>
      </c>
    </row>
    <row r="203" spans="1:9" x14ac:dyDescent="0.2">
      <c r="A203" t="s">
        <v>72</v>
      </c>
      <c r="B203" s="38">
        <v>39614</v>
      </c>
      <c r="C203" s="34">
        <v>1300</v>
      </c>
      <c r="D203" s="24">
        <v>57.7</v>
      </c>
      <c r="F203" s="24">
        <v>35.1</v>
      </c>
      <c r="G203" s="24">
        <v>22.6</v>
      </c>
      <c r="H203" s="24">
        <v>62.176724137931025</v>
      </c>
      <c r="I203" t="s">
        <v>56</v>
      </c>
    </row>
    <row r="204" spans="1:9" x14ac:dyDescent="0.2">
      <c r="A204" t="s">
        <v>72</v>
      </c>
      <c r="B204" s="38">
        <v>39644</v>
      </c>
      <c r="C204" s="34">
        <v>1300</v>
      </c>
      <c r="D204" s="24">
        <v>58.4</v>
      </c>
      <c r="F204" s="24">
        <v>33.200000000000003</v>
      </c>
      <c r="G204" s="24">
        <v>25.199999999999996</v>
      </c>
      <c r="H204" s="24">
        <v>63.755458515283848</v>
      </c>
      <c r="I204" t="s">
        <v>53</v>
      </c>
    </row>
    <row r="205" spans="1:9" x14ac:dyDescent="0.2">
      <c r="A205" t="s">
        <v>72</v>
      </c>
      <c r="B205" s="38">
        <v>39675</v>
      </c>
      <c r="C205" s="34">
        <v>1300</v>
      </c>
      <c r="D205" s="24">
        <v>58</v>
      </c>
      <c r="F205" s="24">
        <v>37.799999999999997</v>
      </c>
      <c r="G205" s="24">
        <v>20.200000000000003</v>
      </c>
      <c r="H205" s="24">
        <v>60.5427974947808</v>
      </c>
      <c r="I205" t="s">
        <v>53</v>
      </c>
    </row>
    <row r="206" spans="1:9" x14ac:dyDescent="0.2">
      <c r="A206" t="s">
        <v>72</v>
      </c>
      <c r="B206" s="38">
        <v>39706</v>
      </c>
      <c r="C206" s="34">
        <v>1300</v>
      </c>
      <c r="D206" s="24">
        <v>56.9</v>
      </c>
      <c r="F206" s="24">
        <v>36.5</v>
      </c>
      <c r="G206" s="24">
        <v>20.399999999999999</v>
      </c>
      <c r="H206" s="24">
        <v>60.920770877944321</v>
      </c>
      <c r="I206" t="s">
        <v>53</v>
      </c>
    </row>
    <row r="207" spans="1:9" x14ac:dyDescent="0.2">
      <c r="A207" t="s">
        <v>72</v>
      </c>
      <c r="B207" s="38">
        <v>39767</v>
      </c>
      <c r="C207" s="34">
        <v>1300</v>
      </c>
      <c r="D207" s="24">
        <v>57.3</v>
      </c>
      <c r="F207" s="24">
        <v>35.4</v>
      </c>
      <c r="G207" s="24">
        <v>21.9</v>
      </c>
      <c r="H207" s="24">
        <v>61.81229773462784</v>
      </c>
      <c r="I207" t="s">
        <v>53</v>
      </c>
    </row>
    <row r="208" spans="1:9" x14ac:dyDescent="0.2">
      <c r="A208" t="s">
        <v>72</v>
      </c>
      <c r="B208" s="38">
        <v>39797</v>
      </c>
      <c r="C208" s="34">
        <v>1300</v>
      </c>
      <c r="D208" s="24">
        <v>57.9</v>
      </c>
      <c r="F208" s="24">
        <v>35.299999999999997</v>
      </c>
      <c r="G208" s="24">
        <v>22.6</v>
      </c>
      <c r="H208" s="24">
        <v>62.124463519313309</v>
      </c>
      <c r="I208" t="s">
        <v>53</v>
      </c>
    </row>
    <row r="209" spans="1:9" x14ac:dyDescent="0.2">
      <c r="A209" t="s">
        <v>72</v>
      </c>
      <c r="B209" s="38">
        <v>39828</v>
      </c>
      <c r="C209" s="34">
        <v>1300</v>
      </c>
      <c r="D209" s="24">
        <v>51</v>
      </c>
      <c r="F209" s="24">
        <v>47.1</v>
      </c>
      <c r="G209" s="24">
        <v>3.8999999999999986</v>
      </c>
      <c r="H209" s="24">
        <v>51.987767584097867</v>
      </c>
      <c r="I209" t="s">
        <v>56</v>
      </c>
    </row>
    <row r="210" spans="1:9" x14ac:dyDescent="0.2">
      <c r="A210" t="s">
        <v>72</v>
      </c>
      <c r="B210" s="38">
        <v>39859</v>
      </c>
      <c r="C210" s="34">
        <v>1300</v>
      </c>
      <c r="D210" s="24">
        <v>53.8</v>
      </c>
      <c r="F210" s="24">
        <v>41.1</v>
      </c>
      <c r="G210" s="24">
        <v>12.699999999999996</v>
      </c>
      <c r="H210" s="24">
        <v>56.691253951527919</v>
      </c>
      <c r="I210" t="s">
        <v>53</v>
      </c>
    </row>
    <row r="211" spans="1:9" x14ac:dyDescent="0.2">
      <c r="A211" t="s">
        <v>72</v>
      </c>
      <c r="B211" s="38">
        <v>39872</v>
      </c>
      <c r="C211" s="34">
        <v>1300</v>
      </c>
      <c r="D211" s="24">
        <v>61</v>
      </c>
      <c r="F211" s="24">
        <v>34.200000000000003</v>
      </c>
      <c r="G211" s="24">
        <v>26.799999999999997</v>
      </c>
      <c r="H211" s="24">
        <v>64.075630252100837</v>
      </c>
    </row>
    <row r="212" spans="1:9" x14ac:dyDescent="0.2">
      <c r="A212" t="s">
        <v>72</v>
      </c>
      <c r="B212" s="38">
        <v>39887</v>
      </c>
      <c r="C212" s="34">
        <v>1300</v>
      </c>
      <c r="D212" s="24">
        <v>59.3</v>
      </c>
      <c r="F212" s="24">
        <v>30.6</v>
      </c>
      <c r="G212" s="24">
        <v>28.699999999999996</v>
      </c>
      <c r="H212" s="24">
        <v>65.962180200222463</v>
      </c>
      <c r="I212" t="s">
        <v>53</v>
      </c>
    </row>
    <row r="213" spans="1:9" x14ac:dyDescent="0.2">
      <c r="A213" t="s">
        <v>72</v>
      </c>
      <c r="B213" s="38">
        <v>39918</v>
      </c>
      <c r="C213" s="34">
        <v>1300</v>
      </c>
      <c r="D213" s="24">
        <v>55.4</v>
      </c>
      <c r="F213" s="24">
        <v>39.5</v>
      </c>
      <c r="G213" s="24">
        <v>15.899999999999999</v>
      </c>
      <c r="H213" s="24">
        <v>58.377239199157003</v>
      </c>
    </row>
    <row r="214" spans="1:9" x14ac:dyDescent="0.2">
      <c r="A214" t="s">
        <v>72</v>
      </c>
      <c r="B214" s="38">
        <v>39948</v>
      </c>
      <c r="C214" s="34">
        <v>1300</v>
      </c>
      <c r="D214" s="24">
        <v>53.2</v>
      </c>
      <c r="F214" s="24">
        <v>41.4</v>
      </c>
      <c r="G214" s="24">
        <v>11.800000000000004</v>
      </c>
      <c r="H214" s="24">
        <v>56.236786469344615</v>
      </c>
    </row>
    <row r="215" spans="1:9" x14ac:dyDescent="0.2">
      <c r="A215" t="s">
        <v>72</v>
      </c>
      <c r="B215" s="38">
        <v>39979</v>
      </c>
      <c r="C215" s="34">
        <v>1300</v>
      </c>
      <c r="D215" s="24">
        <v>52.3</v>
      </c>
      <c r="F215" s="24">
        <v>42</v>
      </c>
      <c r="G215" s="24">
        <v>10.299999999999997</v>
      </c>
      <c r="H215" s="24">
        <v>55.461293743372217</v>
      </c>
      <c r="I215" t="s">
        <v>53</v>
      </c>
    </row>
    <row r="216" spans="1:9" x14ac:dyDescent="0.2">
      <c r="A216" t="s">
        <v>72</v>
      </c>
      <c r="B216" s="38">
        <v>40009</v>
      </c>
      <c r="C216" s="34">
        <v>1300</v>
      </c>
      <c r="D216" s="24">
        <v>57.3</v>
      </c>
      <c r="F216" s="24">
        <v>38.799999999999997</v>
      </c>
      <c r="G216" s="24">
        <v>18.5</v>
      </c>
      <c r="H216" s="24">
        <v>59.625390218522377</v>
      </c>
    </row>
    <row r="217" spans="1:9" x14ac:dyDescent="0.2">
      <c r="A217" t="s">
        <v>72</v>
      </c>
      <c r="B217" s="38">
        <v>40071</v>
      </c>
      <c r="C217" s="34">
        <v>1300</v>
      </c>
      <c r="D217" s="24">
        <v>52.8</v>
      </c>
      <c r="F217" s="24">
        <v>42.7</v>
      </c>
      <c r="G217" s="24">
        <v>10.099999999999994</v>
      </c>
      <c r="H217" s="24">
        <v>55.287958115183244</v>
      </c>
      <c r="I217" t="s">
        <v>53</v>
      </c>
    </row>
    <row r="218" spans="1:9" x14ac:dyDescent="0.2">
      <c r="A218" t="s">
        <v>72</v>
      </c>
      <c r="B218" s="38">
        <v>40094</v>
      </c>
      <c r="C218" s="34">
        <v>1300</v>
      </c>
      <c r="D218" s="24">
        <v>46.2</v>
      </c>
      <c r="F218" s="24">
        <v>46.2</v>
      </c>
      <c r="G218" s="24">
        <v>0</v>
      </c>
      <c r="H218" s="24">
        <v>50</v>
      </c>
      <c r="I218" t="s">
        <v>53</v>
      </c>
    </row>
    <row r="219" spans="1:9" x14ac:dyDescent="0.2">
      <c r="A219" t="s">
        <v>72</v>
      </c>
      <c r="B219" s="38">
        <v>40132</v>
      </c>
      <c r="C219" s="34">
        <v>1300</v>
      </c>
      <c r="D219" s="24">
        <v>50.8</v>
      </c>
      <c r="F219" s="24">
        <v>44.3</v>
      </c>
      <c r="G219" s="24">
        <v>6.5</v>
      </c>
      <c r="H219" s="24">
        <v>53.417455310199792</v>
      </c>
    </row>
    <row r="220" spans="1:9" x14ac:dyDescent="0.2">
      <c r="A220" t="s">
        <v>72</v>
      </c>
      <c r="B220" s="38">
        <v>40162</v>
      </c>
      <c r="C220" s="34">
        <v>1300</v>
      </c>
      <c r="D220" s="24">
        <v>46.7</v>
      </c>
      <c r="F220" s="24">
        <v>44.8</v>
      </c>
      <c r="G220" s="24">
        <v>1.9000000000000057</v>
      </c>
      <c r="H220" s="24">
        <v>51.038251366120221</v>
      </c>
      <c r="I220" t="s">
        <v>53</v>
      </c>
    </row>
    <row r="221" spans="1:9" x14ac:dyDescent="0.2">
      <c r="A221" t="s">
        <v>72</v>
      </c>
      <c r="B221" s="38">
        <v>40224</v>
      </c>
      <c r="C221" s="34">
        <v>1300</v>
      </c>
      <c r="D221" s="24">
        <v>42.6</v>
      </c>
      <c r="F221" s="24">
        <v>53</v>
      </c>
      <c r="G221" s="24">
        <v>-10.399999999999999</v>
      </c>
      <c r="H221" s="24">
        <v>44.560669456066947</v>
      </c>
      <c r="I221" t="s">
        <v>53</v>
      </c>
    </row>
    <row r="222" spans="1:9" x14ac:dyDescent="0.2">
      <c r="A222" t="s">
        <v>72</v>
      </c>
      <c r="B222" s="38">
        <v>40283</v>
      </c>
      <c r="C222" s="34">
        <v>1300</v>
      </c>
      <c r="D222" s="24">
        <v>44.4</v>
      </c>
      <c r="F222" s="24">
        <v>51</v>
      </c>
      <c r="G222" s="24">
        <v>-6.6000000000000014</v>
      </c>
      <c r="H222" s="24">
        <v>46.540880503144649</v>
      </c>
      <c r="I222" t="s">
        <v>53</v>
      </c>
    </row>
    <row r="223" spans="1:9" x14ac:dyDescent="0.2">
      <c r="A223" t="s">
        <v>72</v>
      </c>
      <c r="B223" s="38">
        <v>40313</v>
      </c>
      <c r="C223" s="34">
        <v>1300</v>
      </c>
      <c r="D223" s="24">
        <v>48</v>
      </c>
      <c r="F223" s="24">
        <v>48</v>
      </c>
      <c r="G223" s="24">
        <v>0</v>
      </c>
      <c r="H223" s="24">
        <v>50</v>
      </c>
      <c r="I223" t="s">
        <v>53</v>
      </c>
    </row>
    <row r="224" spans="1:9" x14ac:dyDescent="0.2">
      <c r="A224" t="s">
        <v>72</v>
      </c>
      <c r="B224" s="38">
        <v>40344</v>
      </c>
      <c r="C224" s="34">
        <v>1300</v>
      </c>
      <c r="D224" s="24">
        <v>47</v>
      </c>
      <c r="F224" s="24">
        <v>50</v>
      </c>
      <c r="G224" s="24">
        <v>-3</v>
      </c>
      <c r="H224" s="24">
        <v>48.453608247422679</v>
      </c>
      <c r="I224" t="s">
        <v>53</v>
      </c>
    </row>
    <row r="225" spans="1:9" x14ac:dyDescent="0.2">
      <c r="A225" t="s">
        <v>72</v>
      </c>
      <c r="B225" s="38">
        <v>40405</v>
      </c>
      <c r="C225" s="34">
        <v>1300</v>
      </c>
      <c r="D225" s="24">
        <v>44.7</v>
      </c>
      <c r="F225" s="24">
        <v>52</v>
      </c>
      <c r="G225" s="24">
        <v>-7.2999999999999972</v>
      </c>
      <c r="H225" s="24">
        <v>46.225439503619441</v>
      </c>
      <c r="I225" t="s">
        <v>53</v>
      </c>
    </row>
    <row r="226" spans="1:9" x14ac:dyDescent="0.2">
      <c r="A226" t="s">
        <v>72</v>
      </c>
      <c r="B226" s="38">
        <v>40436</v>
      </c>
      <c r="C226" s="34">
        <v>1300</v>
      </c>
      <c r="D226" s="24">
        <v>45.3</v>
      </c>
      <c r="F226" s="24">
        <v>50.3</v>
      </c>
      <c r="G226" s="24">
        <v>-5</v>
      </c>
      <c r="H226" s="24">
        <v>47.384937238493727</v>
      </c>
    </row>
    <row r="227" spans="1:9" x14ac:dyDescent="0.2">
      <c r="A227" t="s">
        <v>72</v>
      </c>
      <c r="B227" s="38">
        <v>40497</v>
      </c>
      <c r="C227" s="34">
        <v>1300</v>
      </c>
      <c r="D227" s="24">
        <v>47.7</v>
      </c>
      <c r="F227" s="24">
        <v>49.9</v>
      </c>
      <c r="G227" s="24">
        <v>-2.1999999999999957</v>
      </c>
      <c r="H227" s="24">
        <v>48.872950819672141</v>
      </c>
    </row>
    <row r="228" spans="1:9" x14ac:dyDescent="0.2">
      <c r="A228" t="s">
        <v>72</v>
      </c>
      <c r="B228" s="38">
        <v>40527</v>
      </c>
      <c r="C228" s="34">
        <v>1300</v>
      </c>
      <c r="D228" s="24">
        <v>53.9</v>
      </c>
      <c r="F228" s="24">
        <v>44.3</v>
      </c>
      <c r="G228" s="24">
        <v>9.6000000000000014</v>
      </c>
      <c r="H228" s="24">
        <v>54.887983706720981</v>
      </c>
    </row>
    <row r="229" spans="1:9" x14ac:dyDescent="0.2">
      <c r="A229" t="s">
        <v>72</v>
      </c>
      <c r="B229" s="38">
        <v>40589</v>
      </c>
      <c r="C229" s="34">
        <v>1300</v>
      </c>
      <c r="D229" s="24">
        <v>54.6</v>
      </c>
      <c r="F229" s="24">
        <v>41.9</v>
      </c>
      <c r="G229" s="24">
        <v>12.700000000000003</v>
      </c>
      <c r="H229" s="24">
        <v>56.580310880829018</v>
      </c>
    </row>
    <row r="230" spans="1:9" x14ac:dyDescent="0.2">
      <c r="A230" t="s">
        <v>72</v>
      </c>
      <c r="B230" s="38">
        <v>40648</v>
      </c>
      <c r="C230" s="34">
        <v>1300</v>
      </c>
      <c r="D230" s="24">
        <v>52.4</v>
      </c>
      <c r="F230" s="24">
        <v>44.7</v>
      </c>
      <c r="G230" s="24">
        <v>7.6999999999999957</v>
      </c>
      <c r="H230" s="24">
        <v>53.964984552008247</v>
      </c>
    </row>
    <row r="231" spans="1:9" x14ac:dyDescent="0.2">
      <c r="A231" t="s">
        <v>72</v>
      </c>
      <c r="B231" s="38">
        <v>40678</v>
      </c>
      <c r="C231" s="34">
        <v>1300</v>
      </c>
      <c r="D231" s="24">
        <v>49.3</v>
      </c>
      <c r="F231" s="24">
        <v>46.4</v>
      </c>
      <c r="G231" s="24">
        <v>2.8999999999999986</v>
      </c>
      <c r="H231" s="24">
        <v>51.515151515151516</v>
      </c>
    </row>
    <row r="232" spans="1:9" x14ac:dyDescent="0.2">
      <c r="A232" t="s">
        <v>72</v>
      </c>
      <c r="B232" s="38">
        <v>40709</v>
      </c>
      <c r="C232" s="34">
        <v>1300</v>
      </c>
      <c r="D232" s="24">
        <v>51.9</v>
      </c>
      <c r="F232" s="24">
        <v>42.3</v>
      </c>
      <c r="G232" s="24">
        <v>9.6000000000000014</v>
      </c>
      <c r="H232" s="24">
        <v>55.095541401273898</v>
      </c>
    </row>
    <row r="233" spans="1:9" x14ac:dyDescent="0.2">
      <c r="A233" t="s">
        <v>72</v>
      </c>
      <c r="B233" s="38">
        <v>40739</v>
      </c>
      <c r="C233" s="34">
        <v>1300</v>
      </c>
      <c r="D233" s="24">
        <v>50.4</v>
      </c>
      <c r="F233" s="24">
        <v>45.5</v>
      </c>
      <c r="G233" s="24">
        <v>4.8999999999999986</v>
      </c>
      <c r="H233" s="24">
        <v>52.554744525547434</v>
      </c>
    </row>
    <row r="234" spans="1:9" x14ac:dyDescent="0.2">
      <c r="A234" t="s">
        <v>72</v>
      </c>
      <c r="B234" s="38">
        <v>40770</v>
      </c>
      <c r="C234" s="34">
        <v>1300</v>
      </c>
      <c r="D234" s="24">
        <v>48.6</v>
      </c>
      <c r="F234" s="24">
        <v>44.2</v>
      </c>
      <c r="G234" s="24">
        <v>4.3999999999999986</v>
      </c>
      <c r="H234" s="24">
        <v>52.370689655172406</v>
      </c>
    </row>
    <row r="235" spans="1:9" x14ac:dyDescent="0.2">
      <c r="A235" t="s">
        <v>72</v>
      </c>
      <c r="B235" s="38">
        <v>40801</v>
      </c>
      <c r="C235" s="34">
        <v>1300</v>
      </c>
      <c r="D235" s="24">
        <v>58.9</v>
      </c>
      <c r="F235" s="24">
        <v>36.5</v>
      </c>
      <c r="G235" s="24">
        <v>22.4</v>
      </c>
      <c r="H235" s="24">
        <v>61.740041928721169</v>
      </c>
    </row>
    <row r="236" spans="1:9" x14ac:dyDescent="0.2">
      <c r="A236" t="s">
        <v>72</v>
      </c>
      <c r="B236" s="38">
        <v>40831</v>
      </c>
      <c r="C236" s="34">
        <v>1300</v>
      </c>
      <c r="D236" s="24">
        <v>53.1</v>
      </c>
      <c r="F236" s="24">
        <v>42.9</v>
      </c>
      <c r="G236" s="24">
        <v>10.200000000000003</v>
      </c>
      <c r="H236" s="24">
        <v>55.3125</v>
      </c>
    </row>
    <row r="237" spans="1:9" x14ac:dyDescent="0.2">
      <c r="A237" t="s">
        <v>72</v>
      </c>
      <c r="B237" s="38">
        <v>40862</v>
      </c>
      <c r="C237" s="34">
        <v>1300</v>
      </c>
      <c r="D237" s="24">
        <v>51</v>
      </c>
      <c r="F237" s="24">
        <v>44.6</v>
      </c>
      <c r="G237" s="24">
        <v>6.3999999999999986</v>
      </c>
      <c r="H237" s="24">
        <v>53.347280334728033</v>
      </c>
    </row>
    <row r="238" spans="1:9" x14ac:dyDescent="0.2">
      <c r="A238" t="s">
        <v>72</v>
      </c>
      <c r="B238" s="38">
        <v>40877</v>
      </c>
      <c r="C238" s="34">
        <v>1300</v>
      </c>
      <c r="D238" s="24">
        <v>52.9</v>
      </c>
      <c r="F238" s="24">
        <v>42.8</v>
      </c>
      <c r="G238" s="24">
        <v>10.100000000000001</v>
      </c>
      <c r="H238" s="24">
        <v>55.27690700104494</v>
      </c>
    </row>
    <row r="239" spans="1:9" x14ac:dyDescent="0.2">
      <c r="A239" t="s">
        <v>72</v>
      </c>
      <c r="B239" s="38">
        <v>40892</v>
      </c>
      <c r="C239" s="34">
        <v>1300</v>
      </c>
      <c r="D239" s="24">
        <v>56</v>
      </c>
      <c r="F239" s="24">
        <v>40.5</v>
      </c>
      <c r="G239" s="24">
        <v>15.5</v>
      </c>
      <c r="H239" s="24">
        <v>58.031088082901547</v>
      </c>
    </row>
    <row r="240" spans="1:9" x14ac:dyDescent="0.2">
      <c r="A240" t="s">
        <v>72</v>
      </c>
      <c r="B240" s="38">
        <v>40954</v>
      </c>
      <c r="C240" s="34">
        <v>1300</v>
      </c>
      <c r="D240" s="24">
        <v>58.8</v>
      </c>
      <c r="F240" s="24">
        <v>39</v>
      </c>
      <c r="G240" s="24">
        <v>19.799999999999997</v>
      </c>
      <c r="H240" s="24">
        <v>60.122699386503065</v>
      </c>
    </row>
    <row r="241" spans="1:9" x14ac:dyDescent="0.2">
      <c r="A241" t="s">
        <v>72</v>
      </c>
      <c r="B241" s="38">
        <v>40983</v>
      </c>
      <c r="C241" s="34">
        <v>1300</v>
      </c>
      <c r="D241" s="24">
        <v>64.7</v>
      </c>
      <c r="F241" s="24">
        <v>31.8</v>
      </c>
      <c r="G241" s="24">
        <v>32.900000000000006</v>
      </c>
      <c r="H241" s="24">
        <v>67.046632124352328</v>
      </c>
    </row>
    <row r="242" spans="1:9" x14ac:dyDescent="0.2">
      <c r="A242" t="s">
        <v>72</v>
      </c>
      <c r="B242" s="38">
        <v>41014</v>
      </c>
      <c r="C242" s="34">
        <v>1300</v>
      </c>
      <c r="D242" s="24">
        <v>65</v>
      </c>
      <c r="F242" s="24">
        <v>29.2</v>
      </c>
      <c r="G242" s="24">
        <v>35.799999999999997</v>
      </c>
      <c r="H242" s="24">
        <v>69.002123142250525</v>
      </c>
    </row>
    <row r="243" spans="1:9" x14ac:dyDescent="0.2">
      <c r="A243" t="s">
        <v>72</v>
      </c>
      <c r="B243" s="38">
        <v>41075</v>
      </c>
      <c r="C243" s="34">
        <v>1300</v>
      </c>
      <c r="D243" s="24">
        <v>62.4</v>
      </c>
      <c r="F243" s="24">
        <v>29.4</v>
      </c>
      <c r="G243" s="24">
        <v>33</v>
      </c>
      <c r="H243" s="24">
        <v>67.973856209150327</v>
      </c>
    </row>
    <row r="244" spans="1:9" x14ac:dyDescent="0.2">
      <c r="A244" t="s">
        <v>72</v>
      </c>
      <c r="B244" s="38">
        <v>41105</v>
      </c>
      <c r="C244" s="34">
        <v>1300</v>
      </c>
      <c r="D244" s="24">
        <v>61.6</v>
      </c>
      <c r="F244" s="24">
        <v>32.6</v>
      </c>
      <c r="G244" s="24">
        <v>29</v>
      </c>
      <c r="H244" s="24">
        <v>65.392781316348191</v>
      </c>
    </row>
    <row r="245" spans="1:9" x14ac:dyDescent="0.2">
      <c r="A245" t="s">
        <v>72</v>
      </c>
      <c r="B245" s="38">
        <v>41136</v>
      </c>
      <c r="C245" s="34">
        <v>1300</v>
      </c>
      <c r="D245" s="24">
        <v>55.8</v>
      </c>
      <c r="F245" s="24">
        <v>33.9</v>
      </c>
      <c r="G245" s="24">
        <v>21.9</v>
      </c>
      <c r="H245" s="24">
        <v>62.207357859531776</v>
      </c>
    </row>
    <row r="246" spans="1:9" x14ac:dyDescent="0.2">
      <c r="A246" t="s">
        <v>72</v>
      </c>
      <c r="B246" s="38">
        <v>41167</v>
      </c>
      <c r="C246" s="34">
        <v>1300</v>
      </c>
      <c r="D246" s="24">
        <v>60.8</v>
      </c>
      <c r="F246" s="24">
        <v>32.5</v>
      </c>
      <c r="G246" s="24">
        <v>28.299999999999997</v>
      </c>
      <c r="H246" s="24">
        <v>65.166130760986064</v>
      </c>
    </row>
    <row r="247" spans="1:9" x14ac:dyDescent="0.2">
      <c r="A247" t="s">
        <v>72</v>
      </c>
      <c r="B247" s="38">
        <v>41194</v>
      </c>
      <c r="C247" s="34">
        <v>1300</v>
      </c>
      <c r="D247" s="24">
        <v>68</v>
      </c>
      <c r="F247" s="24">
        <v>27.5</v>
      </c>
      <c r="G247" s="24">
        <v>40.5</v>
      </c>
      <c r="H247" s="24">
        <v>71.204188481675388</v>
      </c>
    </row>
    <row r="248" spans="1:9" x14ac:dyDescent="0.2">
      <c r="A248" t="s">
        <v>72</v>
      </c>
      <c r="B248" s="38">
        <v>40983</v>
      </c>
      <c r="C248" s="34">
        <v>1300</v>
      </c>
      <c r="D248" s="24">
        <v>59.8</v>
      </c>
      <c r="F248" s="24">
        <v>28.7</v>
      </c>
      <c r="G248" s="24">
        <v>31.099999999999998</v>
      </c>
      <c r="H248" s="24">
        <v>67.570621468926547</v>
      </c>
    </row>
    <row r="249" spans="1:9" x14ac:dyDescent="0.2">
      <c r="A249" t="s">
        <v>72</v>
      </c>
      <c r="B249" s="38">
        <v>40999</v>
      </c>
      <c r="C249" s="34">
        <v>1300</v>
      </c>
      <c r="D249" s="24">
        <v>57.8</v>
      </c>
      <c r="F249" s="24">
        <v>32.5</v>
      </c>
      <c r="G249" s="24">
        <v>25.299999999999997</v>
      </c>
      <c r="H249" s="24">
        <v>64.008859357696565</v>
      </c>
    </row>
    <row r="250" spans="1:9" x14ac:dyDescent="0.2">
      <c r="A250" t="s">
        <v>72</v>
      </c>
      <c r="B250" s="38">
        <v>41014</v>
      </c>
      <c r="C250" s="34">
        <v>1300</v>
      </c>
      <c r="D250" s="24">
        <v>71.599999999999994</v>
      </c>
      <c r="F250" s="24">
        <v>22.5</v>
      </c>
      <c r="G250" s="24">
        <v>49.099999999999994</v>
      </c>
      <c r="H250" s="24">
        <v>76.089266737513285</v>
      </c>
      <c r="I250" t="s">
        <v>233</v>
      </c>
    </row>
    <row r="251" spans="1:9" x14ac:dyDescent="0.2">
      <c r="A251" t="s">
        <v>72</v>
      </c>
      <c r="B251" s="38">
        <v>41320</v>
      </c>
      <c r="C251" s="34">
        <v>1294</v>
      </c>
      <c r="D251" s="24">
        <v>49.4</v>
      </c>
      <c r="F251" s="24">
        <v>34.5</v>
      </c>
      <c r="G251" s="24">
        <v>14.899999999999999</v>
      </c>
      <c r="H251" s="24">
        <v>58.879618593563762</v>
      </c>
      <c r="I251" t="s">
        <v>233</v>
      </c>
    </row>
    <row r="252" spans="1:9" x14ac:dyDescent="0.2">
      <c r="A252" t="s">
        <v>72</v>
      </c>
      <c r="B252" s="38">
        <v>41348</v>
      </c>
      <c r="C252" s="34">
        <v>1300</v>
      </c>
      <c r="D252" s="24">
        <v>44.7</v>
      </c>
      <c r="F252" s="24">
        <v>43.2</v>
      </c>
      <c r="G252" s="24">
        <v>1.5</v>
      </c>
      <c r="H252" s="24">
        <v>50.853242320819113</v>
      </c>
      <c r="I252" t="s">
        <v>233</v>
      </c>
    </row>
    <row r="253" spans="1:9" x14ac:dyDescent="0.2">
      <c r="A253" t="s">
        <v>72</v>
      </c>
      <c r="B253" s="38">
        <v>41379</v>
      </c>
      <c r="C253" s="34">
        <v>1289</v>
      </c>
      <c r="D253" s="24">
        <v>55.2</v>
      </c>
      <c r="F253" s="24">
        <v>34.299999999999997</v>
      </c>
      <c r="G253" s="24">
        <v>20.900000000000006</v>
      </c>
      <c r="H253" s="24">
        <v>61.675977653631286</v>
      </c>
      <c r="I253" t="s">
        <v>233</v>
      </c>
    </row>
    <row r="254" spans="1:9" x14ac:dyDescent="0.2">
      <c r="A254" t="s">
        <v>72</v>
      </c>
      <c r="B254" s="38">
        <v>41394</v>
      </c>
      <c r="C254" s="34">
        <v>800</v>
      </c>
      <c r="D254" s="24">
        <v>48.3</v>
      </c>
      <c r="F254" s="24">
        <v>40.4</v>
      </c>
      <c r="G254" s="24">
        <v>7.8999999999999986</v>
      </c>
      <c r="H254" s="24">
        <v>54.453213077790309</v>
      </c>
      <c r="I254" t="s">
        <v>233</v>
      </c>
    </row>
    <row r="255" spans="1:9" x14ac:dyDescent="0.2">
      <c r="A255" t="s">
        <v>72</v>
      </c>
      <c r="B255" s="38">
        <v>41409</v>
      </c>
      <c r="C255" s="34">
        <v>1300</v>
      </c>
      <c r="D255" s="24">
        <v>50.6</v>
      </c>
      <c r="F255" s="24">
        <v>43.4</v>
      </c>
      <c r="G255" s="24">
        <v>7.2000000000000028</v>
      </c>
      <c r="H255" s="24">
        <v>53.829787234042556</v>
      </c>
      <c r="I255" t="s">
        <v>215</v>
      </c>
    </row>
    <row r="256" spans="1:9" x14ac:dyDescent="0.2">
      <c r="A256" t="s">
        <v>72</v>
      </c>
      <c r="B256" s="38">
        <v>41440</v>
      </c>
      <c r="C256" s="34">
        <v>1300</v>
      </c>
      <c r="D256" s="24">
        <v>48.8</v>
      </c>
      <c r="F256" s="24">
        <v>47.8</v>
      </c>
      <c r="G256" s="24">
        <v>1</v>
      </c>
      <c r="H256" s="24">
        <v>50.5175983436853</v>
      </c>
      <c r="I256" t="s">
        <v>215</v>
      </c>
    </row>
    <row r="257" spans="1:9" x14ac:dyDescent="0.2">
      <c r="A257" t="s">
        <v>72</v>
      </c>
      <c r="B257" s="38">
        <v>41470</v>
      </c>
      <c r="C257" s="34">
        <v>1300</v>
      </c>
      <c r="D257" s="24">
        <v>48</v>
      </c>
      <c r="F257" s="24">
        <v>47.9</v>
      </c>
      <c r="G257" s="24">
        <v>0.10000000000000142</v>
      </c>
      <c r="H257" s="24">
        <v>50.052137643378515</v>
      </c>
      <c r="I257" t="s">
        <v>215</v>
      </c>
    </row>
    <row r="258" spans="1:9" x14ac:dyDescent="0.2">
      <c r="A258" t="s">
        <v>72</v>
      </c>
      <c r="B258" s="38">
        <v>41501</v>
      </c>
      <c r="C258" s="34">
        <v>1300</v>
      </c>
      <c r="D258" s="24">
        <v>46.7</v>
      </c>
      <c r="F258" s="24">
        <v>49</v>
      </c>
      <c r="G258" s="24">
        <v>-2.2999999999999972</v>
      </c>
      <c r="H258" s="24">
        <v>48.798328108672941</v>
      </c>
      <c r="I258" t="s">
        <v>215</v>
      </c>
    </row>
    <row r="259" spans="1:9" x14ac:dyDescent="0.2">
      <c r="A259" t="s">
        <v>72</v>
      </c>
      <c r="B259" s="38">
        <v>41532</v>
      </c>
      <c r="C259" s="34">
        <v>1300</v>
      </c>
      <c r="D259" s="24">
        <v>40.9</v>
      </c>
      <c r="F259" s="24">
        <v>54.9</v>
      </c>
      <c r="G259" s="24">
        <v>-14</v>
      </c>
      <c r="H259" s="24">
        <v>42.693110647181626</v>
      </c>
      <c r="I259" t="s">
        <v>215</v>
      </c>
    </row>
    <row r="260" spans="1:9" x14ac:dyDescent="0.2">
      <c r="A260" t="s">
        <v>72</v>
      </c>
      <c r="B260" s="38">
        <v>41593</v>
      </c>
      <c r="C260" s="34">
        <v>1298</v>
      </c>
      <c r="D260" s="24">
        <v>50.4</v>
      </c>
      <c r="F260" s="24">
        <v>44.6</v>
      </c>
      <c r="G260" s="24">
        <v>5.7999999999999972</v>
      </c>
      <c r="H260" s="24">
        <v>53.052631578947363</v>
      </c>
      <c r="I260" t="s">
        <v>215</v>
      </c>
    </row>
    <row r="261" spans="1:9" x14ac:dyDescent="0.2">
      <c r="A261" t="s">
        <v>72</v>
      </c>
      <c r="B261" s="38">
        <v>41685</v>
      </c>
      <c r="C261" s="34">
        <v>1300</v>
      </c>
      <c r="D261" s="24">
        <v>46.8</v>
      </c>
      <c r="F261" s="24">
        <v>49.8</v>
      </c>
      <c r="G261" s="24">
        <v>-3</v>
      </c>
      <c r="H261" s="24">
        <v>48.447204968944099</v>
      </c>
      <c r="I261" t="s">
        <v>215</v>
      </c>
    </row>
    <row r="262" spans="1:9" x14ac:dyDescent="0.2">
      <c r="A262" t="s">
        <v>72</v>
      </c>
      <c r="B262" s="38">
        <v>41713</v>
      </c>
      <c r="C262" s="34">
        <v>1300</v>
      </c>
      <c r="D262" s="24">
        <v>41.5</v>
      </c>
      <c r="F262" s="24">
        <v>55.6</v>
      </c>
      <c r="G262" s="24">
        <v>-14.100000000000001</v>
      </c>
      <c r="H262" s="24">
        <v>42.739443872296604</v>
      </c>
      <c r="I262" t="s">
        <v>215</v>
      </c>
    </row>
    <row r="263" spans="1:9" x14ac:dyDescent="0.2">
      <c r="A263" t="s">
        <v>72</v>
      </c>
      <c r="B263" s="38">
        <v>41744</v>
      </c>
      <c r="C263" s="34">
        <v>1300</v>
      </c>
      <c r="D263" s="24">
        <v>37</v>
      </c>
      <c r="F263" s="24">
        <v>59.2</v>
      </c>
      <c r="G263" s="24">
        <v>-22.200000000000003</v>
      </c>
      <c r="H263" s="24">
        <v>38.46153846153846</v>
      </c>
      <c r="I263" t="s">
        <v>215</v>
      </c>
    </row>
    <row r="264" spans="1:9" x14ac:dyDescent="0.2">
      <c r="A264" t="s">
        <v>72</v>
      </c>
      <c r="B264" s="38">
        <v>41774</v>
      </c>
      <c r="C264" s="34">
        <v>1300</v>
      </c>
      <c r="D264" s="24">
        <v>38.9</v>
      </c>
      <c r="F264" s="24">
        <v>58.6</v>
      </c>
      <c r="G264" s="24">
        <v>-19.700000000000003</v>
      </c>
      <c r="H264" s="24">
        <v>39.897435897435898</v>
      </c>
      <c r="I264" t="s">
        <v>215</v>
      </c>
    </row>
    <row r="265" spans="1:9" x14ac:dyDescent="0.2">
      <c r="A265" t="s">
        <v>72</v>
      </c>
      <c r="B265" s="38">
        <v>41805</v>
      </c>
      <c r="C265" s="34">
        <v>1300</v>
      </c>
      <c r="D265" s="24">
        <v>37</v>
      </c>
      <c r="I265" t="s">
        <v>231</v>
      </c>
    </row>
    <row r="266" spans="1:9" x14ac:dyDescent="0.2">
      <c r="A266" t="s">
        <v>72</v>
      </c>
      <c r="B266" s="38">
        <v>41846</v>
      </c>
      <c r="C266" s="34">
        <v>1298</v>
      </c>
      <c r="D266" s="24">
        <v>35.4</v>
      </c>
      <c r="F266" s="24">
        <v>62.3</v>
      </c>
      <c r="G266" s="24">
        <v>-26.9</v>
      </c>
      <c r="H266" s="24">
        <v>36.233367451381781</v>
      </c>
      <c r="I266" t="s">
        <v>215</v>
      </c>
    </row>
    <row r="267" spans="1:9" x14ac:dyDescent="0.2">
      <c r="A267" t="s">
        <v>72</v>
      </c>
      <c r="B267" s="38">
        <v>41912</v>
      </c>
      <c r="C267" s="34">
        <v>1293</v>
      </c>
      <c r="D267" s="24">
        <v>30.2</v>
      </c>
      <c r="F267" s="24">
        <v>67.5</v>
      </c>
      <c r="G267" s="24">
        <v>-37.299999999999997</v>
      </c>
      <c r="H267" s="24">
        <v>30.910951893551687</v>
      </c>
      <c r="I267" t="s">
        <v>215</v>
      </c>
    </row>
    <row r="268" spans="1:9" x14ac:dyDescent="0.2">
      <c r="A268" t="s">
        <v>72</v>
      </c>
      <c r="B268" s="38">
        <v>41927</v>
      </c>
      <c r="C268" s="34">
        <v>1293</v>
      </c>
      <c r="D268" s="24">
        <v>24.5</v>
      </c>
      <c r="F268" s="24">
        <v>72.2</v>
      </c>
      <c r="G268" s="24">
        <v>-47.7</v>
      </c>
      <c r="H268" s="24">
        <v>25.336091003102378</v>
      </c>
      <c r="I268" t="s">
        <v>215</v>
      </c>
    </row>
    <row r="269" spans="1:9" x14ac:dyDescent="0.2">
      <c r="A269" t="s">
        <v>72</v>
      </c>
      <c r="B269" s="38">
        <v>41958</v>
      </c>
      <c r="C269" s="34">
        <v>1300</v>
      </c>
      <c r="D269" s="24">
        <v>22.8</v>
      </c>
      <c r="F269" s="24">
        <v>74</v>
      </c>
      <c r="G269" s="24">
        <v>-51.2</v>
      </c>
      <c r="H269" s="24">
        <v>23.553719008264466</v>
      </c>
      <c r="I269" t="s">
        <v>215</v>
      </c>
    </row>
    <row r="270" spans="1:9" x14ac:dyDescent="0.2">
      <c r="A270" t="s">
        <v>72</v>
      </c>
      <c r="B270" s="38">
        <v>42019</v>
      </c>
      <c r="C270" s="34">
        <v>1300</v>
      </c>
      <c r="D270" s="24">
        <v>22</v>
      </c>
      <c r="I270" t="s">
        <v>231</v>
      </c>
    </row>
    <row r="271" spans="1:9" x14ac:dyDescent="0.2">
      <c r="A271" t="s">
        <v>72</v>
      </c>
      <c r="B271" s="38">
        <v>42050</v>
      </c>
      <c r="C271" s="34">
        <v>1300</v>
      </c>
      <c r="D271" s="24">
        <v>23.3</v>
      </c>
      <c r="F271" s="24">
        <v>72.7</v>
      </c>
      <c r="G271" s="24">
        <v>-49.400000000000006</v>
      </c>
      <c r="H271" s="24">
        <v>24.270833333333332</v>
      </c>
      <c r="I271" t="s">
        <v>215</v>
      </c>
    </row>
    <row r="272" spans="1:9" x14ac:dyDescent="0.2">
      <c r="A272" t="s">
        <v>72</v>
      </c>
      <c r="B272" s="38">
        <v>42089</v>
      </c>
      <c r="D272" s="24">
        <v>28.2</v>
      </c>
      <c r="I272" t="s">
        <v>216</v>
      </c>
    </row>
    <row r="273" spans="1:9" x14ac:dyDescent="0.2">
      <c r="A273" t="s">
        <v>72</v>
      </c>
      <c r="B273" s="38">
        <v>42109</v>
      </c>
      <c r="D273" s="24">
        <v>28</v>
      </c>
      <c r="I273" t="s">
        <v>217</v>
      </c>
    </row>
    <row r="274" spans="1:9" x14ac:dyDescent="0.2">
      <c r="A274" t="s">
        <v>72</v>
      </c>
      <c r="B274" s="38">
        <v>42154</v>
      </c>
      <c r="C274" s="34">
        <v>1000</v>
      </c>
      <c r="D274" s="24">
        <v>25.8</v>
      </c>
      <c r="I274" t="s">
        <v>217</v>
      </c>
    </row>
    <row r="275" spans="1:9" x14ac:dyDescent="0.2">
      <c r="A275" t="s">
        <v>72</v>
      </c>
      <c r="B275" s="38">
        <v>42170</v>
      </c>
      <c r="D275" s="24">
        <v>24</v>
      </c>
      <c r="I275" t="s">
        <v>231</v>
      </c>
    </row>
    <row r="276" spans="1:9" x14ac:dyDescent="0.2">
      <c r="A276" t="s">
        <v>72</v>
      </c>
      <c r="B276" s="38">
        <v>42208</v>
      </c>
      <c r="D276" s="24">
        <v>24.3</v>
      </c>
      <c r="F276" s="24">
        <v>70.400000000000006</v>
      </c>
      <c r="G276" s="24">
        <v>-46.100000000000009</v>
      </c>
      <c r="H276" s="24">
        <v>25.659978880675823</v>
      </c>
      <c r="I276" t="s">
        <v>218</v>
      </c>
    </row>
    <row r="277" spans="1:9" x14ac:dyDescent="0.2">
      <c r="A277" t="s">
        <v>72</v>
      </c>
      <c r="B277" s="38">
        <v>42231</v>
      </c>
      <c r="D277" s="24">
        <v>24</v>
      </c>
      <c r="I277" t="s">
        <v>231</v>
      </c>
    </row>
    <row r="278" spans="1:9" x14ac:dyDescent="0.2">
      <c r="A278" t="s">
        <v>72</v>
      </c>
      <c r="B278" s="38">
        <v>42323</v>
      </c>
      <c r="D278" s="24">
        <v>32</v>
      </c>
      <c r="I278" t="s">
        <v>225</v>
      </c>
    </row>
    <row r="279" spans="1:9" x14ac:dyDescent="0.2">
      <c r="A279" t="s">
        <v>209</v>
      </c>
      <c r="B279" s="38">
        <v>33637</v>
      </c>
      <c r="C279" s="34">
        <v>22.25</v>
      </c>
      <c r="D279" s="24">
        <v>30.5</v>
      </c>
      <c r="F279" s="24">
        <v>51</v>
      </c>
      <c r="G279" s="24">
        <v>2.25</v>
      </c>
      <c r="H279" s="24">
        <v>400</v>
      </c>
      <c r="I279">
        <v>8.25</v>
      </c>
    </row>
    <row r="280" spans="1:9" x14ac:dyDescent="0.2">
      <c r="A280" t="s">
        <v>209</v>
      </c>
      <c r="B280" s="38">
        <v>33752</v>
      </c>
      <c r="C280" s="34">
        <v>27.25</v>
      </c>
      <c r="D280" s="24">
        <v>26.75</v>
      </c>
      <c r="F280" s="24">
        <v>48.8</v>
      </c>
      <c r="G280" s="24">
        <v>4</v>
      </c>
      <c r="H280" s="24">
        <v>400</v>
      </c>
      <c r="I280">
        <v>-0.5</v>
      </c>
    </row>
    <row r="281" spans="1:9" x14ac:dyDescent="0.2">
      <c r="A281" t="s">
        <v>209</v>
      </c>
      <c r="B281" s="38">
        <v>33844</v>
      </c>
      <c r="C281" s="34">
        <v>28.75</v>
      </c>
      <c r="D281" s="24">
        <v>23.75</v>
      </c>
      <c r="F281" s="24">
        <v>52.8</v>
      </c>
      <c r="G281" s="24">
        <v>2.75</v>
      </c>
      <c r="H281" s="24">
        <v>400</v>
      </c>
      <c r="I281">
        <v>-5</v>
      </c>
    </row>
    <row r="282" spans="1:9" x14ac:dyDescent="0.2">
      <c r="A282" t="s">
        <v>209</v>
      </c>
      <c r="B282" s="38">
        <v>33910</v>
      </c>
      <c r="C282" s="34">
        <v>35</v>
      </c>
      <c r="D282" s="24">
        <v>24.75</v>
      </c>
      <c r="F282" s="24">
        <v>48.5</v>
      </c>
      <c r="G282" s="24">
        <v>1.5</v>
      </c>
      <c r="H282" s="24">
        <v>402</v>
      </c>
      <c r="I282">
        <v>-10.25</v>
      </c>
    </row>
    <row r="283" spans="1:9" x14ac:dyDescent="0.2">
      <c r="A283" t="s">
        <v>195</v>
      </c>
      <c r="B283" s="38">
        <v>41451</v>
      </c>
      <c r="C283" s="34">
        <v>1600</v>
      </c>
      <c r="D283" s="24">
        <v>56.2</v>
      </c>
      <c r="I283" t="s">
        <v>197</v>
      </c>
    </row>
    <row r="284" spans="1:9" x14ac:dyDescent="0.2">
      <c r="A284" t="s">
        <v>195</v>
      </c>
      <c r="B284" s="38">
        <v>41475</v>
      </c>
      <c r="C284" s="34">
        <v>1600</v>
      </c>
      <c r="D284" s="24">
        <v>65</v>
      </c>
    </row>
    <row r="285" spans="1:9" x14ac:dyDescent="0.2">
      <c r="A285" t="s">
        <v>195</v>
      </c>
      <c r="B285" s="38">
        <v>41714</v>
      </c>
      <c r="C285" s="34">
        <v>1400</v>
      </c>
      <c r="D285" s="24">
        <v>63.3</v>
      </c>
      <c r="I285" t="s">
        <v>271</v>
      </c>
    </row>
    <row r="286" spans="1:9" x14ac:dyDescent="0.2">
      <c r="A286" t="s">
        <v>195</v>
      </c>
      <c r="B286" s="38">
        <v>41798</v>
      </c>
      <c r="C286" s="34">
        <v>1400</v>
      </c>
      <c r="D286" s="24">
        <v>61.6</v>
      </c>
      <c r="F286" s="24">
        <v>36</v>
      </c>
      <c r="G286" s="24">
        <v>25.6</v>
      </c>
      <c r="H286" s="24">
        <v>63.114754098360656</v>
      </c>
      <c r="I286" t="s">
        <v>270</v>
      </c>
    </row>
    <row r="287" spans="1:9" x14ac:dyDescent="0.2">
      <c r="A287" t="s">
        <v>195</v>
      </c>
      <c r="B287" s="38">
        <v>41938</v>
      </c>
      <c r="C287" s="34">
        <v>1378</v>
      </c>
      <c r="D287" s="24">
        <v>53.2</v>
      </c>
      <c r="F287" s="24">
        <v>41.13</v>
      </c>
      <c r="G287" s="24">
        <v>12.07</v>
      </c>
      <c r="H287" s="24">
        <v>56.397752570762215</v>
      </c>
      <c r="I287" t="s">
        <v>226</v>
      </c>
    </row>
    <row r="288" spans="1:9" x14ac:dyDescent="0.2">
      <c r="A288" t="s">
        <v>211</v>
      </c>
      <c r="B288" s="38">
        <v>41394</v>
      </c>
      <c r="C288" s="34">
        <v>1000</v>
      </c>
      <c r="D288" s="24">
        <v>38</v>
      </c>
      <c r="F288" s="24">
        <v>57</v>
      </c>
      <c r="G288" s="24">
        <v>-19</v>
      </c>
      <c r="H288" s="24">
        <v>40</v>
      </c>
    </row>
    <row r="289" spans="1:8" x14ac:dyDescent="0.2">
      <c r="A289" t="s">
        <v>211</v>
      </c>
      <c r="B289" s="38">
        <v>41424</v>
      </c>
      <c r="C289" s="34">
        <v>1000</v>
      </c>
      <c r="D289" s="24">
        <v>38</v>
      </c>
      <c r="F289" s="24">
        <v>52</v>
      </c>
      <c r="G289" s="24">
        <v>-14</v>
      </c>
      <c r="H289" s="24">
        <v>42.222222222222221</v>
      </c>
    </row>
    <row r="290" spans="1:8" x14ac:dyDescent="0.2">
      <c r="A290" t="s">
        <v>211</v>
      </c>
      <c r="B290" s="38">
        <v>41455</v>
      </c>
      <c r="C290" s="34">
        <v>1000</v>
      </c>
      <c r="D290" s="24">
        <v>38.909999999999997</v>
      </c>
      <c r="F290" s="24">
        <v>52.24</v>
      </c>
      <c r="G290" s="24">
        <v>-13.330000000000005</v>
      </c>
      <c r="H290" s="24">
        <v>42.687877125617106</v>
      </c>
    </row>
    <row r="291" spans="1:8" x14ac:dyDescent="0.2">
      <c r="A291" t="s">
        <v>211</v>
      </c>
      <c r="B291" s="38">
        <v>41485</v>
      </c>
      <c r="C291" s="34">
        <v>1000</v>
      </c>
      <c r="D291" s="24">
        <v>39.270000000000003</v>
      </c>
      <c r="F291" s="24">
        <v>49.84</v>
      </c>
      <c r="G291" s="24">
        <v>-10.57</v>
      </c>
      <c r="H291" s="24">
        <v>44.069128043990567</v>
      </c>
    </row>
    <row r="292" spans="1:8" x14ac:dyDescent="0.2">
      <c r="A292" t="s">
        <v>96</v>
      </c>
      <c r="B292" s="38">
        <v>38317</v>
      </c>
      <c r="C292" s="34">
        <v>403</v>
      </c>
      <c r="D292" s="24">
        <v>29</v>
      </c>
      <c r="F292" s="24">
        <v>34</v>
      </c>
      <c r="G292" s="24">
        <v>-5</v>
      </c>
      <c r="H292" s="24">
        <v>46.031746031746032</v>
      </c>
    </row>
    <row r="293" spans="1:8" x14ac:dyDescent="0.2">
      <c r="A293" t="s">
        <v>79</v>
      </c>
      <c r="B293" s="38">
        <v>36234</v>
      </c>
      <c r="C293" s="34">
        <v>1200</v>
      </c>
      <c r="D293" s="24">
        <v>84</v>
      </c>
      <c r="F293" s="24">
        <v>11</v>
      </c>
      <c r="G293" s="24">
        <v>73</v>
      </c>
      <c r="H293" s="24">
        <v>88.421052631578945</v>
      </c>
    </row>
    <row r="294" spans="1:8" x14ac:dyDescent="0.2">
      <c r="A294" t="s">
        <v>79</v>
      </c>
      <c r="B294" s="38">
        <v>36326</v>
      </c>
      <c r="C294" s="34">
        <v>1200</v>
      </c>
      <c r="D294" s="24">
        <v>78</v>
      </c>
      <c r="F294" s="24">
        <v>17</v>
      </c>
      <c r="G294" s="24">
        <v>61</v>
      </c>
      <c r="H294" s="24">
        <v>82.10526315789474</v>
      </c>
    </row>
    <row r="295" spans="1:8" x14ac:dyDescent="0.2">
      <c r="A295" t="s">
        <v>79</v>
      </c>
      <c r="B295" s="38">
        <v>36509</v>
      </c>
      <c r="C295" s="34">
        <v>1200</v>
      </c>
      <c r="D295" s="24">
        <v>71</v>
      </c>
      <c r="F295" s="24">
        <v>23</v>
      </c>
      <c r="G295" s="24">
        <v>48</v>
      </c>
      <c r="H295" s="24">
        <v>75.531914893617028</v>
      </c>
    </row>
    <row r="296" spans="1:8" x14ac:dyDescent="0.2">
      <c r="A296" t="s">
        <v>79</v>
      </c>
      <c r="B296" s="38">
        <v>36692</v>
      </c>
      <c r="C296" s="34">
        <v>1200</v>
      </c>
      <c r="D296" s="24">
        <v>63</v>
      </c>
      <c r="F296" s="24">
        <v>33</v>
      </c>
      <c r="G296" s="24">
        <v>30</v>
      </c>
      <c r="H296" s="24">
        <v>65.625</v>
      </c>
    </row>
    <row r="297" spans="1:8" x14ac:dyDescent="0.2">
      <c r="A297" t="s">
        <v>79</v>
      </c>
      <c r="B297" s="38">
        <v>36784</v>
      </c>
      <c r="C297" s="34">
        <v>1200</v>
      </c>
      <c r="D297" s="24">
        <v>60</v>
      </c>
      <c r="F297" s="24">
        <v>33</v>
      </c>
      <c r="G297" s="24">
        <v>27</v>
      </c>
      <c r="H297" s="24">
        <v>64.516129032258064</v>
      </c>
    </row>
    <row r="298" spans="1:8" x14ac:dyDescent="0.2">
      <c r="A298" t="s">
        <v>79</v>
      </c>
      <c r="B298" s="38">
        <v>36965</v>
      </c>
      <c r="C298" s="34">
        <v>1200</v>
      </c>
      <c r="D298" s="24">
        <v>68</v>
      </c>
      <c r="F298" s="24">
        <v>25</v>
      </c>
      <c r="G298" s="24">
        <v>43</v>
      </c>
      <c r="H298" s="24">
        <v>73.118279569892479</v>
      </c>
    </row>
    <row r="299" spans="1:8" x14ac:dyDescent="0.2">
      <c r="A299" t="s">
        <v>79</v>
      </c>
      <c r="B299" s="38">
        <v>37149</v>
      </c>
      <c r="C299" s="34">
        <v>1200</v>
      </c>
      <c r="D299" s="24">
        <v>46</v>
      </c>
      <c r="F299" s="24">
        <v>46</v>
      </c>
      <c r="G299" s="24">
        <v>0</v>
      </c>
      <c r="H299" s="24">
        <v>50</v>
      </c>
    </row>
    <row r="300" spans="1:8" x14ac:dyDescent="0.2">
      <c r="A300" t="s">
        <v>79</v>
      </c>
      <c r="B300" s="38">
        <v>37240</v>
      </c>
      <c r="C300" s="34">
        <v>1200</v>
      </c>
      <c r="D300" s="24">
        <v>33</v>
      </c>
      <c r="F300" s="24">
        <v>58</v>
      </c>
      <c r="G300" s="24">
        <v>-25</v>
      </c>
      <c r="H300" s="24">
        <v>36.263736263736263</v>
      </c>
    </row>
    <row r="301" spans="1:8" x14ac:dyDescent="0.2">
      <c r="A301" t="s">
        <v>79</v>
      </c>
      <c r="B301" s="38">
        <v>37330</v>
      </c>
      <c r="C301" s="34">
        <v>1200</v>
      </c>
      <c r="D301" s="24">
        <v>31</v>
      </c>
      <c r="F301" s="24">
        <v>57</v>
      </c>
      <c r="G301" s="24">
        <v>-26</v>
      </c>
      <c r="H301" s="24">
        <v>35.227272727272727</v>
      </c>
    </row>
    <row r="302" spans="1:8" x14ac:dyDescent="0.2">
      <c r="A302" t="s">
        <v>79</v>
      </c>
      <c r="B302" s="38">
        <v>37422</v>
      </c>
      <c r="C302" s="34">
        <v>1200</v>
      </c>
      <c r="D302" s="24">
        <v>35</v>
      </c>
      <c r="F302" s="24">
        <v>50</v>
      </c>
      <c r="G302" s="24">
        <v>-15</v>
      </c>
      <c r="H302" s="24">
        <v>41.17647058823529</v>
      </c>
    </row>
    <row r="303" spans="1:8" x14ac:dyDescent="0.2">
      <c r="A303" t="s">
        <v>79</v>
      </c>
      <c r="B303" s="38">
        <v>37514</v>
      </c>
      <c r="C303" s="34">
        <v>1200</v>
      </c>
      <c r="D303" s="24">
        <v>33</v>
      </c>
      <c r="F303" s="24">
        <v>53</v>
      </c>
      <c r="G303" s="24">
        <v>-20</v>
      </c>
      <c r="H303" s="24">
        <v>38.372093023255815</v>
      </c>
    </row>
    <row r="304" spans="1:8" x14ac:dyDescent="0.2">
      <c r="A304" t="s">
        <v>79</v>
      </c>
      <c r="B304" s="38">
        <v>37605</v>
      </c>
      <c r="C304" s="34">
        <v>1200</v>
      </c>
      <c r="D304" s="24">
        <v>36</v>
      </c>
      <c r="F304" s="24">
        <v>54</v>
      </c>
      <c r="G304" s="24">
        <v>-18</v>
      </c>
      <c r="H304" s="24">
        <v>40</v>
      </c>
    </row>
    <row r="305" spans="1:8" x14ac:dyDescent="0.2">
      <c r="A305" t="s">
        <v>79</v>
      </c>
      <c r="B305" s="38">
        <v>37787</v>
      </c>
      <c r="C305" s="34">
        <v>1200</v>
      </c>
      <c r="D305" s="24">
        <v>43</v>
      </c>
      <c r="F305" s="24">
        <v>53</v>
      </c>
      <c r="G305" s="24">
        <v>-10</v>
      </c>
      <c r="H305" s="24">
        <v>44.791666666666671</v>
      </c>
    </row>
    <row r="306" spans="1:8" x14ac:dyDescent="0.2">
      <c r="A306" t="s">
        <v>79</v>
      </c>
      <c r="B306" s="38">
        <v>37879</v>
      </c>
      <c r="C306" s="34">
        <v>1200</v>
      </c>
      <c r="D306" s="24">
        <v>31</v>
      </c>
      <c r="F306" s="24">
        <v>61</v>
      </c>
      <c r="G306" s="24">
        <v>-30</v>
      </c>
      <c r="H306" s="24">
        <v>33.695652173913047</v>
      </c>
    </row>
    <row r="307" spans="1:8" x14ac:dyDescent="0.2">
      <c r="A307" t="s">
        <v>79</v>
      </c>
      <c r="B307" s="38">
        <v>37970</v>
      </c>
      <c r="C307" s="34">
        <v>1200</v>
      </c>
      <c r="D307" s="24">
        <v>40</v>
      </c>
      <c r="F307" s="24">
        <v>49</v>
      </c>
      <c r="G307" s="24">
        <v>-9</v>
      </c>
      <c r="H307" s="24">
        <v>44.943820224719097</v>
      </c>
    </row>
    <row r="308" spans="1:8" x14ac:dyDescent="0.2">
      <c r="A308" t="s">
        <v>79</v>
      </c>
      <c r="B308" s="38">
        <v>38153</v>
      </c>
      <c r="C308" s="34">
        <v>1200</v>
      </c>
      <c r="D308" s="24">
        <v>46</v>
      </c>
      <c r="F308" s="24">
        <v>43</v>
      </c>
      <c r="G308" s="24">
        <v>3</v>
      </c>
      <c r="H308" s="24">
        <v>51.68539325842697</v>
      </c>
    </row>
    <row r="309" spans="1:8" x14ac:dyDescent="0.2">
      <c r="A309" t="s">
        <v>79</v>
      </c>
      <c r="B309" s="38">
        <v>38245</v>
      </c>
      <c r="C309" s="34">
        <v>1200</v>
      </c>
      <c r="D309" s="24">
        <v>50</v>
      </c>
      <c r="F309" s="24">
        <v>37</v>
      </c>
      <c r="G309" s="24">
        <v>13</v>
      </c>
      <c r="H309" s="24">
        <v>57.47126436781609</v>
      </c>
    </row>
    <row r="310" spans="1:8" x14ac:dyDescent="0.2">
      <c r="A310" t="s">
        <v>79</v>
      </c>
      <c r="B310" s="38">
        <v>38426</v>
      </c>
      <c r="C310" s="34">
        <v>1200</v>
      </c>
      <c r="D310" s="24">
        <v>69</v>
      </c>
      <c r="F310" s="24">
        <v>22</v>
      </c>
      <c r="G310" s="24">
        <v>47</v>
      </c>
      <c r="H310" s="24">
        <v>75.824175824175825</v>
      </c>
    </row>
    <row r="311" spans="1:8" x14ac:dyDescent="0.2">
      <c r="A311" t="s">
        <v>79</v>
      </c>
      <c r="B311" s="38">
        <v>38518</v>
      </c>
      <c r="C311" s="34">
        <v>1200</v>
      </c>
      <c r="D311" s="24">
        <v>61</v>
      </c>
      <c r="F311" s="24">
        <v>28</v>
      </c>
      <c r="G311" s="24">
        <v>33</v>
      </c>
      <c r="H311" s="24">
        <v>68.539325842696627</v>
      </c>
    </row>
    <row r="312" spans="1:8" x14ac:dyDescent="0.2">
      <c r="A312" t="s">
        <v>79</v>
      </c>
      <c r="B312" s="38">
        <v>38610</v>
      </c>
      <c r="C312" s="34">
        <v>1200</v>
      </c>
      <c r="D312" s="24">
        <v>61</v>
      </c>
      <c r="F312" s="24">
        <v>30</v>
      </c>
      <c r="G312" s="24">
        <v>31</v>
      </c>
      <c r="H312" s="24">
        <v>67.032967032967022</v>
      </c>
    </row>
    <row r="313" spans="1:8" x14ac:dyDescent="0.2">
      <c r="A313" t="s">
        <v>79</v>
      </c>
      <c r="B313" s="38">
        <v>38701</v>
      </c>
      <c r="C313" s="34">
        <v>1200</v>
      </c>
      <c r="D313" s="24">
        <v>66</v>
      </c>
      <c r="F313" s="24">
        <v>26</v>
      </c>
      <c r="G313" s="24">
        <v>40</v>
      </c>
      <c r="H313" s="24">
        <v>71.739130434782609</v>
      </c>
    </row>
    <row r="314" spans="1:8" x14ac:dyDescent="0.2">
      <c r="A314" t="s">
        <v>79</v>
      </c>
      <c r="B314" s="38">
        <v>38791</v>
      </c>
      <c r="C314" s="34">
        <v>1200</v>
      </c>
      <c r="D314" s="24">
        <v>65</v>
      </c>
      <c r="F314" s="24">
        <v>28</v>
      </c>
      <c r="G314" s="24">
        <v>37</v>
      </c>
      <c r="H314" s="24">
        <v>69.892473118279568</v>
      </c>
    </row>
    <row r="315" spans="1:8" x14ac:dyDescent="0.2">
      <c r="A315" t="s">
        <v>79</v>
      </c>
      <c r="B315" s="38">
        <v>38883</v>
      </c>
      <c r="C315" s="34">
        <v>1200</v>
      </c>
      <c r="D315" s="24">
        <v>64</v>
      </c>
      <c r="F315" s="24">
        <v>30</v>
      </c>
      <c r="G315" s="24">
        <v>34</v>
      </c>
      <c r="H315" s="24">
        <v>68.085106382978722</v>
      </c>
    </row>
    <row r="316" spans="1:8" x14ac:dyDescent="0.2">
      <c r="A316" t="s">
        <v>79</v>
      </c>
      <c r="B316" s="38">
        <v>38975</v>
      </c>
      <c r="C316" s="34">
        <v>1200</v>
      </c>
      <c r="D316" s="24">
        <v>61</v>
      </c>
      <c r="F316" s="24">
        <v>35</v>
      </c>
      <c r="G316" s="24">
        <v>26</v>
      </c>
      <c r="H316" s="24">
        <v>63.541666666666664</v>
      </c>
    </row>
    <row r="317" spans="1:8" x14ac:dyDescent="0.2">
      <c r="A317" t="s">
        <v>79</v>
      </c>
      <c r="B317" s="38">
        <v>39066</v>
      </c>
      <c r="C317" s="34">
        <v>1200</v>
      </c>
      <c r="D317" s="24">
        <v>60</v>
      </c>
      <c r="F317" s="24">
        <v>37</v>
      </c>
      <c r="G317" s="24">
        <v>23</v>
      </c>
      <c r="H317" s="24">
        <v>61.855670103092784</v>
      </c>
    </row>
    <row r="318" spans="1:8" x14ac:dyDescent="0.2">
      <c r="A318" t="s">
        <v>79</v>
      </c>
      <c r="B318" s="38">
        <v>39156</v>
      </c>
      <c r="C318" s="34">
        <v>1200</v>
      </c>
      <c r="D318" s="24">
        <v>60</v>
      </c>
      <c r="F318" s="24">
        <v>35</v>
      </c>
      <c r="G318" s="24">
        <v>25</v>
      </c>
      <c r="H318" s="24">
        <v>63.157894736842103</v>
      </c>
    </row>
    <row r="319" spans="1:8" x14ac:dyDescent="0.2">
      <c r="A319" t="s">
        <v>79</v>
      </c>
      <c r="B319" s="38">
        <v>39248</v>
      </c>
      <c r="C319" s="34">
        <v>1200</v>
      </c>
      <c r="D319" s="24">
        <v>59</v>
      </c>
      <c r="F319" s="24">
        <v>34</v>
      </c>
      <c r="G319" s="24">
        <v>25</v>
      </c>
      <c r="H319" s="24">
        <v>63.44086021505376</v>
      </c>
    </row>
    <row r="320" spans="1:8" x14ac:dyDescent="0.2">
      <c r="A320" t="s">
        <v>79</v>
      </c>
      <c r="B320" s="38">
        <v>39345</v>
      </c>
      <c r="C320" s="34">
        <v>1200</v>
      </c>
      <c r="D320" s="24">
        <v>57</v>
      </c>
      <c r="F320" s="24">
        <v>35</v>
      </c>
      <c r="G320" s="24">
        <v>22</v>
      </c>
      <c r="H320" s="24">
        <v>61.95652173913043</v>
      </c>
    </row>
    <row r="321" spans="1:9" x14ac:dyDescent="0.2">
      <c r="A321" t="s">
        <v>79</v>
      </c>
      <c r="B321" s="38">
        <v>39431</v>
      </c>
      <c r="C321" s="34">
        <v>1200</v>
      </c>
      <c r="D321" s="24">
        <v>49</v>
      </c>
      <c r="F321" s="24">
        <v>43</v>
      </c>
      <c r="G321" s="24">
        <v>6</v>
      </c>
      <c r="H321" s="24">
        <v>53.260869565217398</v>
      </c>
    </row>
    <row r="322" spans="1:9" x14ac:dyDescent="0.2">
      <c r="A322" t="s">
        <v>79</v>
      </c>
      <c r="B322" s="38">
        <v>39522</v>
      </c>
      <c r="C322" s="34">
        <v>1200</v>
      </c>
      <c r="D322" s="24">
        <v>47</v>
      </c>
      <c r="F322" s="24">
        <v>44</v>
      </c>
      <c r="G322" s="24">
        <v>3</v>
      </c>
      <c r="H322" s="24">
        <v>51.648351648351657</v>
      </c>
    </row>
    <row r="323" spans="1:9" x14ac:dyDescent="0.2">
      <c r="A323" t="s">
        <v>79</v>
      </c>
      <c r="B323" s="38">
        <v>39603</v>
      </c>
      <c r="C323" s="34">
        <v>1200</v>
      </c>
      <c r="D323" s="24">
        <v>47</v>
      </c>
      <c r="F323" s="24">
        <v>45</v>
      </c>
      <c r="G323" s="24">
        <v>2</v>
      </c>
      <c r="H323" s="24">
        <v>51.086956521739133</v>
      </c>
      <c r="I323" t="s">
        <v>42</v>
      </c>
    </row>
    <row r="324" spans="1:9" x14ac:dyDescent="0.2">
      <c r="A324" t="s">
        <v>79</v>
      </c>
      <c r="B324" s="38">
        <v>39706</v>
      </c>
      <c r="C324" s="34">
        <v>1200</v>
      </c>
      <c r="D324" s="24">
        <v>47</v>
      </c>
      <c r="F324" s="24">
        <v>41</v>
      </c>
      <c r="G324" s="24">
        <v>6</v>
      </c>
      <c r="H324" s="24">
        <v>53.409090909090907</v>
      </c>
    </row>
    <row r="325" spans="1:9" x14ac:dyDescent="0.2">
      <c r="A325" t="s">
        <v>79</v>
      </c>
      <c r="B325" s="38">
        <v>39797</v>
      </c>
      <c r="C325" s="34">
        <v>1200</v>
      </c>
      <c r="D325" s="24">
        <v>52</v>
      </c>
      <c r="F325" s="24">
        <v>41</v>
      </c>
      <c r="G325" s="24">
        <v>11</v>
      </c>
      <c r="H325" s="24">
        <v>55.913978494623649</v>
      </c>
    </row>
    <row r="326" spans="1:9" x14ac:dyDescent="0.2">
      <c r="A326" t="s">
        <v>79</v>
      </c>
      <c r="B326" s="38">
        <v>39887</v>
      </c>
      <c r="C326" s="34">
        <v>1200</v>
      </c>
      <c r="D326" s="24">
        <v>56</v>
      </c>
      <c r="F326" s="24">
        <v>36</v>
      </c>
      <c r="G326" s="24">
        <v>20</v>
      </c>
      <c r="H326" s="24">
        <v>60.869565217391312</v>
      </c>
    </row>
    <row r="327" spans="1:9" x14ac:dyDescent="0.2">
      <c r="A327" t="s">
        <v>79</v>
      </c>
      <c r="B327" s="38">
        <v>39979</v>
      </c>
      <c r="C327" s="34">
        <v>1200</v>
      </c>
      <c r="D327" s="24">
        <v>50</v>
      </c>
      <c r="F327" s="24">
        <v>42</v>
      </c>
      <c r="G327" s="24">
        <v>8</v>
      </c>
      <c r="H327" s="24">
        <v>54.347826086956516</v>
      </c>
    </row>
    <row r="328" spans="1:9" x14ac:dyDescent="0.2">
      <c r="A328" t="s">
        <v>79</v>
      </c>
      <c r="B328" s="38">
        <v>40071</v>
      </c>
      <c r="C328" s="34">
        <v>1200</v>
      </c>
      <c r="D328" s="24">
        <v>45</v>
      </c>
      <c r="F328" s="24">
        <v>45</v>
      </c>
      <c r="G328" s="24">
        <v>0</v>
      </c>
      <c r="H328" s="24">
        <v>50</v>
      </c>
    </row>
    <row r="329" spans="1:9" x14ac:dyDescent="0.2">
      <c r="A329" t="s">
        <v>79</v>
      </c>
      <c r="B329" s="38">
        <v>40162</v>
      </c>
      <c r="C329" s="34">
        <v>1200</v>
      </c>
      <c r="D329" s="24">
        <v>49</v>
      </c>
      <c r="F329" s="24">
        <v>41</v>
      </c>
      <c r="G329" s="24">
        <v>8</v>
      </c>
      <c r="H329" s="24">
        <v>54.444444444444443</v>
      </c>
    </row>
    <row r="330" spans="1:9" x14ac:dyDescent="0.2">
      <c r="A330" t="s">
        <v>79</v>
      </c>
      <c r="B330" s="38">
        <v>40250</v>
      </c>
      <c r="C330" s="34">
        <v>1200</v>
      </c>
      <c r="D330" s="24">
        <v>43</v>
      </c>
      <c r="F330" s="24">
        <v>49</v>
      </c>
      <c r="G330" s="24">
        <v>-6</v>
      </c>
      <c r="H330" s="24">
        <v>46.739130434782609</v>
      </c>
    </row>
    <row r="331" spans="1:9" x14ac:dyDescent="0.2">
      <c r="A331" t="s">
        <v>79</v>
      </c>
      <c r="B331" s="38">
        <v>40313</v>
      </c>
      <c r="C331" s="34">
        <v>1200</v>
      </c>
      <c r="D331" s="24">
        <v>41</v>
      </c>
      <c r="I331" t="s">
        <v>20</v>
      </c>
    </row>
    <row r="332" spans="1:9" x14ac:dyDescent="0.2">
      <c r="A332" t="s">
        <v>79</v>
      </c>
      <c r="B332" s="38">
        <v>40798</v>
      </c>
      <c r="C332" s="34">
        <v>1200</v>
      </c>
      <c r="D332" s="24">
        <v>57</v>
      </c>
      <c r="F332" s="24">
        <v>37</v>
      </c>
      <c r="G332" s="24">
        <v>20</v>
      </c>
      <c r="H332" s="24">
        <v>60.638297872340431</v>
      </c>
      <c r="I332" t="s">
        <v>269</v>
      </c>
    </row>
    <row r="333" spans="1:9" x14ac:dyDescent="0.2">
      <c r="A333" t="s">
        <v>79</v>
      </c>
      <c r="B333" s="38">
        <v>40866</v>
      </c>
      <c r="C333" s="34">
        <v>1200</v>
      </c>
      <c r="D333" s="24">
        <v>50</v>
      </c>
      <c r="F333" s="24">
        <v>44</v>
      </c>
      <c r="G333" s="24">
        <v>6</v>
      </c>
      <c r="H333" s="24">
        <v>53.191489361702125</v>
      </c>
    </row>
    <row r="334" spans="1:9" x14ac:dyDescent="0.2">
      <c r="A334" t="s">
        <v>79</v>
      </c>
      <c r="B334" s="38">
        <v>41348</v>
      </c>
      <c r="C334" s="34">
        <v>1200</v>
      </c>
      <c r="D334" s="24">
        <v>53</v>
      </c>
      <c r="I334" t="s">
        <v>241</v>
      </c>
    </row>
    <row r="335" spans="1:9" x14ac:dyDescent="0.2">
      <c r="A335" t="s">
        <v>79</v>
      </c>
      <c r="B335" s="38">
        <v>41440</v>
      </c>
      <c r="C335" s="34">
        <v>1200</v>
      </c>
      <c r="D335" s="24">
        <v>44</v>
      </c>
      <c r="I335" t="s">
        <v>241</v>
      </c>
    </row>
    <row r="336" spans="1:9" x14ac:dyDescent="0.2">
      <c r="A336" t="s">
        <v>79</v>
      </c>
      <c r="B336" s="38">
        <v>41518</v>
      </c>
      <c r="C336" s="34">
        <v>1200</v>
      </c>
      <c r="D336" s="24">
        <v>43</v>
      </c>
      <c r="I336" t="s">
        <v>241</v>
      </c>
    </row>
    <row r="337" spans="1:9" x14ac:dyDescent="0.2">
      <c r="A337" t="s">
        <v>79</v>
      </c>
      <c r="B337" s="38">
        <v>41623</v>
      </c>
      <c r="C337" s="34">
        <v>1200</v>
      </c>
      <c r="D337" s="24">
        <v>41</v>
      </c>
      <c r="I337" t="s">
        <v>241</v>
      </c>
    </row>
    <row r="338" spans="1:9" x14ac:dyDescent="0.2">
      <c r="A338" t="s">
        <v>79</v>
      </c>
      <c r="B338" s="38">
        <v>41712</v>
      </c>
      <c r="C338" s="34">
        <v>1200</v>
      </c>
      <c r="D338" s="24">
        <v>39</v>
      </c>
      <c r="I338" t="s">
        <v>241</v>
      </c>
    </row>
    <row r="339" spans="1:9" x14ac:dyDescent="0.2">
      <c r="A339" t="s">
        <v>79</v>
      </c>
      <c r="B339" s="38">
        <v>41783</v>
      </c>
      <c r="C339" s="34">
        <v>1200</v>
      </c>
      <c r="D339" s="24">
        <v>40</v>
      </c>
      <c r="F339" s="24">
        <v>60</v>
      </c>
      <c r="G339" s="24">
        <v>-20</v>
      </c>
      <c r="H339" s="24">
        <v>40</v>
      </c>
      <c r="I339" t="s">
        <v>234</v>
      </c>
    </row>
    <row r="340" spans="1:9" x14ac:dyDescent="0.2">
      <c r="A340" t="s">
        <v>79</v>
      </c>
      <c r="B340" s="38">
        <v>41882</v>
      </c>
      <c r="C340" s="34">
        <v>1200</v>
      </c>
      <c r="D340" s="24">
        <v>33</v>
      </c>
      <c r="E340" s="24" t="s">
        <v>255</v>
      </c>
      <c r="I340" t="s">
        <v>241</v>
      </c>
    </row>
    <row r="341" spans="1:9" x14ac:dyDescent="0.2">
      <c r="A341" t="s">
        <v>79</v>
      </c>
      <c r="B341" s="38">
        <v>42076</v>
      </c>
      <c r="C341" s="34">
        <v>1200</v>
      </c>
      <c r="D341" s="24">
        <v>29</v>
      </c>
      <c r="F341" s="24">
        <v>62</v>
      </c>
      <c r="G341" s="24">
        <v>-33</v>
      </c>
      <c r="H341" s="24">
        <v>31.868131868131865</v>
      </c>
      <c r="I341" t="s">
        <v>249</v>
      </c>
    </row>
    <row r="342" spans="1:9" x14ac:dyDescent="0.2">
      <c r="A342" t="s">
        <v>79</v>
      </c>
      <c r="B342" s="38">
        <v>42170</v>
      </c>
      <c r="C342" s="34">
        <v>1200</v>
      </c>
      <c r="D342" s="24">
        <v>27</v>
      </c>
      <c r="I342" t="s">
        <v>241</v>
      </c>
    </row>
    <row r="343" spans="1:9" x14ac:dyDescent="0.2">
      <c r="A343" t="s">
        <v>79</v>
      </c>
      <c r="B343" s="38">
        <v>42252</v>
      </c>
      <c r="C343" s="34">
        <v>1200</v>
      </c>
      <c r="D343" s="24">
        <v>24</v>
      </c>
    </row>
    <row r="344" spans="1:9" x14ac:dyDescent="0.2">
      <c r="A344" t="s">
        <v>79</v>
      </c>
      <c r="B344" s="38">
        <v>42323</v>
      </c>
      <c r="C344" s="34">
        <v>1200</v>
      </c>
      <c r="D344" s="24">
        <v>25</v>
      </c>
      <c r="I344" t="s">
        <v>241</v>
      </c>
    </row>
    <row r="345" spans="1:9" x14ac:dyDescent="0.2">
      <c r="A345" t="s">
        <v>79</v>
      </c>
      <c r="B345" s="38">
        <v>42432</v>
      </c>
      <c r="C345" s="34">
        <v>1200</v>
      </c>
      <c r="D345" s="24">
        <v>8</v>
      </c>
      <c r="F345" s="24">
        <v>92</v>
      </c>
      <c r="G345" s="24">
        <v>-84</v>
      </c>
      <c r="H345" s="24">
        <v>8</v>
      </c>
    </row>
    <row r="346" spans="1:9" x14ac:dyDescent="0.2">
      <c r="A346" t="s">
        <v>34</v>
      </c>
      <c r="B346" s="38">
        <v>38424</v>
      </c>
      <c r="C346" s="34">
        <v>1500</v>
      </c>
      <c r="D346" s="24">
        <v>53</v>
      </c>
      <c r="F346" s="24">
        <v>38</v>
      </c>
      <c r="G346" s="24">
        <v>15</v>
      </c>
      <c r="H346" s="24">
        <v>58.241758241758248</v>
      </c>
    </row>
    <row r="347" spans="1:9" x14ac:dyDescent="0.2">
      <c r="A347" t="s">
        <v>34</v>
      </c>
      <c r="B347" s="38">
        <v>39036</v>
      </c>
      <c r="D347" s="24">
        <v>54</v>
      </c>
      <c r="F347" s="24">
        <v>36</v>
      </c>
      <c r="G347" s="24">
        <v>18</v>
      </c>
      <c r="H347" s="24">
        <v>60</v>
      </c>
      <c r="I347" t="s">
        <v>38</v>
      </c>
    </row>
    <row r="348" spans="1:9" x14ac:dyDescent="0.2">
      <c r="A348" t="s">
        <v>34</v>
      </c>
      <c r="B348" s="38">
        <v>39128</v>
      </c>
      <c r="D348" s="24">
        <v>45</v>
      </c>
      <c r="F348" s="24">
        <v>41</v>
      </c>
      <c r="G348" s="24">
        <v>4</v>
      </c>
      <c r="H348" s="24">
        <v>52.325581395348841</v>
      </c>
      <c r="I348" t="s">
        <v>38</v>
      </c>
    </row>
    <row r="349" spans="1:9" x14ac:dyDescent="0.2">
      <c r="A349" t="s">
        <v>34</v>
      </c>
      <c r="B349" s="38">
        <v>39217</v>
      </c>
      <c r="D349" s="24">
        <v>35</v>
      </c>
      <c r="F349" s="24">
        <v>50</v>
      </c>
      <c r="G349" s="24">
        <v>-15</v>
      </c>
      <c r="H349" s="24">
        <v>41.17647058823529</v>
      </c>
      <c r="I349" t="s">
        <v>38</v>
      </c>
    </row>
    <row r="350" spans="1:9" x14ac:dyDescent="0.2">
      <c r="A350" t="s">
        <v>34</v>
      </c>
      <c r="B350" s="38">
        <v>39257</v>
      </c>
      <c r="D350" s="24">
        <v>37</v>
      </c>
      <c r="E350" s="24">
        <v>9</v>
      </c>
      <c r="F350" s="24">
        <v>43</v>
      </c>
      <c r="G350" s="24">
        <v>-6</v>
      </c>
      <c r="H350" s="24">
        <v>46.25</v>
      </c>
      <c r="I350" t="s">
        <v>268</v>
      </c>
    </row>
    <row r="351" spans="1:9" x14ac:dyDescent="0.2">
      <c r="A351" t="s">
        <v>34</v>
      </c>
      <c r="B351" s="38">
        <v>39287</v>
      </c>
      <c r="C351" s="34">
        <v>1148</v>
      </c>
      <c r="D351" s="24">
        <v>45</v>
      </c>
      <c r="E351" s="24">
        <v>12</v>
      </c>
      <c r="F351" s="24">
        <v>38</v>
      </c>
      <c r="G351" s="24">
        <v>7</v>
      </c>
      <c r="H351" s="24">
        <v>54.216867469879517</v>
      </c>
      <c r="I351" t="s">
        <v>38</v>
      </c>
    </row>
    <row r="352" spans="1:9" x14ac:dyDescent="0.2">
      <c r="A352" t="s">
        <v>34</v>
      </c>
      <c r="B352" s="38">
        <v>41136</v>
      </c>
      <c r="D352" s="24">
        <v>67</v>
      </c>
      <c r="F352" s="24">
        <v>31</v>
      </c>
      <c r="G352" s="24">
        <v>36</v>
      </c>
      <c r="H352" s="24">
        <v>68.367346938775512</v>
      </c>
      <c r="I352" t="s">
        <v>0</v>
      </c>
    </row>
    <row r="353" spans="1:9" x14ac:dyDescent="0.2">
      <c r="A353" t="s">
        <v>34</v>
      </c>
      <c r="B353" s="38">
        <v>41250</v>
      </c>
      <c r="D353" s="24">
        <v>64</v>
      </c>
      <c r="I353" t="s">
        <v>1</v>
      </c>
    </row>
    <row r="354" spans="1:9" x14ac:dyDescent="0.2">
      <c r="A354" t="s">
        <v>34</v>
      </c>
      <c r="B354" s="38">
        <v>41314</v>
      </c>
      <c r="D354" s="24">
        <v>65</v>
      </c>
      <c r="I354" t="s">
        <v>2</v>
      </c>
    </row>
    <row r="355" spans="1:9" x14ac:dyDescent="0.2">
      <c r="A355" t="s">
        <v>34</v>
      </c>
      <c r="B355" s="38">
        <v>41492</v>
      </c>
      <c r="D355" s="24">
        <v>58</v>
      </c>
      <c r="I355" t="s">
        <v>219</v>
      </c>
    </row>
    <row r="356" spans="1:9" x14ac:dyDescent="0.2">
      <c r="A356" t="s">
        <v>34</v>
      </c>
      <c r="B356" s="38">
        <v>41615</v>
      </c>
      <c r="D356" s="24">
        <v>64</v>
      </c>
      <c r="I356" t="s">
        <v>220</v>
      </c>
    </row>
    <row r="357" spans="1:9" x14ac:dyDescent="0.2">
      <c r="A357" t="s">
        <v>34</v>
      </c>
      <c r="B357" s="38">
        <v>41685</v>
      </c>
      <c r="D357" s="24">
        <v>43</v>
      </c>
      <c r="I357" t="s">
        <v>221</v>
      </c>
    </row>
    <row r="358" spans="1:9" x14ac:dyDescent="0.2">
      <c r="A358" t="s">
        <v>34</v>
      </c>
      <c r="B358" s="38">
        <v>41709</v>
      </c>
      <c r="C358" s="34">
        <v>1200</v>
      </c>
      <c r="D358" s="24">
        <v>57</v>
      </c>
      <c r="I358" t="s">
        <v>221</v>
      </c>
    </row>
    <row r="359" spans="1:9" x14ac:dyDescent="0.2">
      <c r="A359" t="s">
        <v>34</v>
      </c>
      <c r="B359" s="38">
        <v>41736</v>
      </c>
      <c r="C359" s="34">
        <v>1200</v>
      </c>
      <c r="D359" s="24">
        <v>51</v>
      </c>
      <c r="I359" t="s">
        <v>222</v>
      </c>
    </row>
    <row r="360" spans="1:9" x14ac:dyDescent="0.2">
      <c r="A360" t="s">
        <v>34</v>
      </c>
      <c r="B360" s="38">
        <v>41866</v>
      </c>
      <c r="D360" s="24">
        <v>60</v>
      </c>
      <c r="I360" t="s">
        <v>223</v>
      </c>
    </row>
    <row r="361" spans="1:9" x14ac:dyDescent="0.2">
      <c r="A361" t="s">
        <v>34</v>
      </c>
      <c r="B361" s="38">
        <v>42042</v>
      </c>
      <c r="D361" s="24">
        <v>27</v>
      </c>
      <c r="I361" t="s">
        <v>224</v>
      </c>
    </row>
    <row r="362" spans="1:9" x14ac:dyDescent="0.2">
      <c r="A362" t="s">
        <v>82</v>
      </c>
      <c r="B362" s="38">
        <v>39859</v>
      </c>
      <c r="D362" s="24">
        <v>52</v>
      </c>
      <c r="I362" t="s">
        <v>69</v>
      </c>
    </row>
    <row r="363" spans="1:9" x14ac:dyDescent="0.2">
      <c r="A363" t="s">
        <v>82</v>
      </c>
      <c r="B363" s="38">
        <v>39965</v>
      </c>
      <c r="D363" s="24">
        <v>41</v>
      </c>
      <c r="I363" t="s">
        <v>69</v>
      </c>
    </row>
    <row r="364" spans="1:9" x14ac:dyDescent="0.2">
      <c r="A364" t="s">
        <v>82</v>
      </c>
      <c r="B364" s="38">
        <v>40057</v>
      </c>
      <c r="C364" s="34">
        <v>1300</v>
      </c>
      <c r="D364" s="24">
        <v>29</v>
      </c>
      <c r="E364" s="24">
        <v>34</v>
      </c>
      <c r="G364" s="24">
        <v>-5</v>
      </c>
      <c r="H364" s="24">
        <v>46.031746031746032</v>
      </c>
    </row>
    <row r="365" spans="1:9" x14ac:dyDescent="0.2">
      <c r="A365" t="s">
        <v>82</v>
      </c>
      <c r="B365" s="38">
        <v>40101</v>
      </c>
      <c r="C365" s="34">
        <v>1300</v>
      </c>
      <c r="D365" s="24">
        <v>40</v>
      </c>
      <c r="E365" s="24">
        <v>50</v>
      </c>
      <c r="G365" s="24">
        <v>-10</v>
      </c>
      <c r="H365" s="24">
        <v>44.444444444444443</v>
      </c>
    </row>
    <row r="366" spans="1:9" x14ac:dyDescent="0.2">
      <c r="A366" t="s">
        <v>82</v>
      </c>
      <c r="B366" s="38">
        <v>40139</v>
      </c>
      <c r="C366" s="34">
        <v>1396</v>
      </c>
      <c r="D366" s="24">
        <v>39</v>
      </c>
      <c r="E366" s="24">
        <v>55</v>
      </c>
      <c r="G366" s="24">
        <v>-16</v>
      </c>
      <c r="H366" s="24">
        <v>41.48936170212766</v>
      </c>
      <c r="I366" t="s">
        <v>89</v>
      </c>
    </row>
    <row r="367" spans="1:9" x14ac:dyDescent="0.2">
      <c r="A367" t="s">
        <v>82</v>
      </c>
      <c r="B367" s="38">
        <v>40252</v>
      </c>
      <c r="D367" s="24">
        <v>39</v>
      </c>
    </row>
    <row r="368" spans="1:9" x14ac:dyDescent="0.2">
      <c r="A368" t="s">
        <v>82</v>
      </c>
      <c r="B368" s="38">
        <v>40283</v>
      </c>
      <c r="D368" s="24">
        <v>41</v>
      </c>
    </row>
    <row r="369" spans="1:9" x14ac:dyDescent="0.2">
      <c r="A369" t="s">
        <v>82</v>
      </c>
      <c r="B369" s="38">
        <v>40313</v>
      </c>
      <c r="D369" s="24">
        <v>44</v>
      </c>
      <c r="I369" t="s">
        <v>39</v>
      </c>
    </row>
    <row r="370" spans="1:9" x14ac:dyDescent="0.2">
      <c r="A370" t="s">
        <v>82</v>
      </c>
      <c r="B370" s="38">
        <v>40342</v>
      </c>
      <c r="C370" s="34">
        <v>1269</v>
      </c>
      <c r="D370" s="24">
        <v>41</v>
      </c>
      <c r="E370" s="24">
        <v>55</v>
      </c>
      <c r="F370" s="24">
        <v>4</v>
      </c>
      <c r="G370" s="24">
        <v>-14</v>
      </c>
      <c r="H370" s="24">
        <v>42.708333333333329</v>
      </c>
      <c r="I370" t="s">
        <v>39</v>
      </c>
    </row>
    <row r="371" spans="1:9" x14ac:dyDescent="0.2">
      <c r="A371" t="s">
        <v>82</v>
      </c>
      <c r="B371" s="38">
        <v>40422</v>
      </c>
      <c r="D371" s="24">
        <v>46</v>
      </c>
      <c r="E371" s="24">
        <v>51</v>
      </c>
      <c r="G371" s="24">
        <v>-5</v>
      </c>
      <c r="H371" s="24">
        <v>47.422680412371129</v>
      </c>
      <c r="I371" t="s">
        <v>51</v>
      </c>
    </row>
    <row r="372" spans="1:9" x14ac:dyDescent="0.2">
      <c r="A372" t="s">
        <v>82</v>
      </c>
      <c r="B372" s="38">
        <v>40497</v>
      </c>
      <c r="D372" s="24">
        <v>42</v>
      </c>
      <c r="I372" t="s">
        <v>32</v>
      </c>
    </row>
    <row r="373" spans="1:9" x14ac:dyDescent="0.2">
      <c r="A373" t="s">
        <v>82</v>
      </c>
      <c r="B373" s="38">
        <v>40527</v>
      </c>
      <c r="D373" s="24">
        <v>49</v>
      </c>
      <c r="I373" t="s">
        <v>32</v>
      </c>
    </row>
    <row r="374" spans="1:9" x14ac:dyDescent="0.2">
      <c r="A374" t="s">
        <v>82</v>
      </c>
      <c r="B374" s="38">
        <v>40575</v>
      </c>
      <c r="D374" s="24">
        <v>49</v>
      </c>
      <c r="I374" t="s">
        <v>33</v>
      </c>
    </row>
    <row r="375" spans="1:9" x14ac:dyDescent="0.2">
      <c r="A375" t="s">
        <v>82</v>
      </c>
      <c r="B375" s="38">
        <v>40801</v>
      </c>
      <c r="D375" s="24">
        <v>58</v>
      </c>
      <c r="I375" t="s">
        <v>16</v>
      </c>
    </row>
    <row r="376" spans="1:9" x14ac:dyDescent="0.2">
      <c r="A376" t="s">
        <v>82</v>
      </c>
      <c r="B376" s="38">
        <v>40923</v>
      </c>
      <c r="D376" s="24">
        <v>64</v>
      </c>
      <c r="I376" t="s">
        <v>17</v>
      </c>
    </row>
    <row r="377" spans="1:9" x14ac:dyDescent="0.2">
      <c r="A377" t="s">
        <v>82</v>
      </c>
      <c r="B377" s="38">
        <v>41014</v>
      </c>
      <c r="D377" s="24">
        <v>66</v>
      </c>
      <c r="I377" t="s">
        <v>41</v>
      </c>
    </row>
    <row r="378" spans="1:9" x14ac:dyDescent="0.2">
      <c r="A378" t="s">
        <v>82</v>
      </c>
      <c r="B378" s="38">
        <v>39736</v>
      </c>
      <c r="D378" s="24">
        <v>61</v>
      </c>
      <c r="E378" s="24">
        <v>31</v>
      </c>
      <c r="F378" s="24">
        <v>5</v>
      </c>
      <c r="G378" s="24">
        <v>30</v>
      </c>
      <c r="H378" s="24">
        <v>66.304347826086953</v>
      </c>
      <c r="I378" t="s">
        <v>67</v>
      </c>
    </row>
    <row r="379" spans="1:9" x14ac:dyDescent="0.2">
      <c r="A379" t="s">
        <v>82</v>
      </c>
      <c r="B379" s="38">
        <v>40313</v>
      </c>
      <c r="D379" s="24">
        <v>64</v>
      </c>
      <c r="E379" s="24">
        <v>34</v>
      </c>
      <c r="F379" s="24">
        <v>5</v>
      </c>
      <c r="G379" s="24">
        <v>30</v>
      </c>
      <c r="H379" s="24">
        <v>65.306122448979593</v>
      </c>
      <c r="I379" t="s">
        <v>50</v>
      </c>
    </row>
    <row r="380" spans="1:9" x14ac:dyDescent="0.2">
      <c r="A380" t="s">
        <v>242</v>
      </c>
      <c r="B380" s="38">
        <v>39614</v>
      </c>
      <c r="D380" s="24">
        <v>57.3</v>
      </c>
      <c r="E380" s="24">
        <v>19</v>
      </c>
      <c r="F380" s="24">
        <v>21.4</v>
      </c>
      <c r="G380" s="24">
        <v>35.9</v>
      </c>
      <c r="H380" s="24">
        <v>75.098296199213635</v>
      </c>
    </row>
    <row r="381" spans="1:9" x14ac:dyDescent="0.2">
      <c r="A381" t="s">
        <v>242</v>
      </c>
      <c r="B381" s="38">
        <v>39644</v>
      </c>
      <c r="D381" s="24">
        <v>55.5</v>
      </c>
      <c r="E381" s="24">
        <v>22.1</v>
      </c>
      <c r="F381" s="24">
        <v>21.1</v>
      </c>
      <c r="G381" s="24">
        <v>34.4</v>
      </c>
      <c r="H381" s="24">
        <v>71.520618556701038</v>
      </c>
    </row>
    <row r="382" spans="1:9" x14ac:dyDescent="0.2">
      <c r="A382" t="s">
        <v>242</v>
      </c>
      <c r="B382" s="38">
        <v>39701</v>
      </c>
      <c r="D382" s="24">
        <v>52.4</v>
      </c>
      <c r="E382" s="24">
        <v>20.6</v>
      </c>
      <c r="F382" s="24">
        <v>25.8</v>
      </c>
      <c r="G382" s="24">
        <v>26.599999999999998</v>
      </c>
      <c r="H382" s="24">
        <v>71.780821917808211</v>
      </c>
    </row>
    <row r="383" spans="1:9" x14ac:dyDescent="0.2">
      <c r="A383" t="s">
        <v>242</v>
      </c>
      <c r="B383" s="38">
        <v>39731</v>
      </c>
      <c r="D383" s="24">
        <v>57</v>
      </c>
      <c r="E383" s="24">
        <v>17.899999999999999</v>
      </c>
      <c r="F383" s="24">
        <v>23.9</v>
      </c>
      <c r="G383" s="24">
        <v>33.1</v>
      </c>
      <c r="H383" s="24">
        <v>76.101468624833103</v>
      </c>
    </row>
    <row r="384" spans="1:9" x14ac:dyDescent="0.2">
      <c r="A384" t="s">
        <v>242</v>
      </c>
      <c r="B384" s="38">
        <v>39797</v>
      </c>
      <c r="D384" s="24">
        <v>56.2</v>
      </c>
      <c r="E384" s="24">
        <v>19.8</v>
      </c>
      <c r="F384" s="24">
        <v>22.4</v>
      </c>
      <c r="G384" s="24">
        <v>33.800000000000004</v>
      </c>
      <c r="H384" s="24">
        <v>73.947368421052644</v>
      </c>
    </row>
    <row r="385" spans="1:9" x14ac:dyDescent="0.2">
      <c r="A385" t="s">
        <v>242</v>
      </c>
      <c r="B385" s="38">
        <v>39828</v>
      </c>
      <c r="D385" s="24">
        <v>53.8</v>
      </c>
      <c r="E385" s="24">
        <v>20</v>
      </c>
      <c r="F385" s="24">
        <v>25.1</v>
      </c>
      <c r="G385" s="24">
        <v>28.699999999999996</v>
      </c>
      <c r="H385" s="24">
        <v>72.899728997289969</v>
      </c>
    </row>
    <row r="386" spans="1:9" x14ac:dyDescent="0.2">
      <c r="A386" t="s">
        <v>242</v>
      </c>
      <c r="B386" s="38">
        <v>39943</v>
      </c>
      <c r="D386" s="24">
        <v>56.3</v>
      </c>
      <c r="E386" s="24">
        <v>18.399999999999999</v>
      </c>
    </row>
    <row r="387" spans="1:9" x14ac:dyDescent="0.2">
      <c r="A387" t="s">
        <v>242</v>
      </c>
      <c r="B387" s="38">
        <v>40071</v>
      </c>
      <c r="D387" s="24">
        <v>55.6</v>
      </c>
      <c r="E387" s="24">
        <v>18.3</v>
      </c>
      <c r="F387" s="24">
        <v>24</v>
      </c>
      <c r="G387" s="24">
        <v>31.6</v>
      </c>
      <c r="H387" s="24">
        <v>75.236806495263863</v>
      </c>
      <c r="I387" t="s">
        <v>19</v>
      </c>
    </row>
    <row r="388" spans="1:9" x14ac:dyDescent="0.2">
      <c r="A388" t="s">
        <v>242</v>
      </c>
      <c r="B388" s="38">
        <v>40132</v>
      </c>
      <c r="D388" s="24">
        <v>44.1</v>
      </c>
      <c r="E388" s="24">
        <v>22.1</v>
      </c>
      <c r="F388" s="24">
        <v>30.7</v>
      </c>
      <c r="G388" s="24">
        <v>13.400000000000002</v>
      </c>
      <c r="H388" s="24">
        <v>66.616314199395759</v>
      </c>
    </row>
    <row r="389" spans="1:9" x14ac:dyDescent="0.2">
      <c r="A389" t="s">
        <v>242</v>
      </c>
      <c r="B389" s="38">
        <v>40162</v>
      </c>
      <c r="D389" s="24">
        <v>47.2</v>
      </c>
      <c r="E389" s="24">
        <v>20.5</v>
      </c>
      <c r="F389" s="24">
        <v>30.4</v>
      </c>
      <c r="G389" s="24">
        <v>16.800000000000004</v>
      </c>
      <c r="H389" s="24">
        <v>69.719350073855253</v>
      </c>
    </row>
    <row r="390" spans="1:9" x14ac:dyDescent="0.2">
      <c r="A390" t="s">
        <v>242</v>
      </c>
      <c r="B390" s="38">
        <v>40219</v>
      </c>
      <c r="D390" s="24">
        <v>37.700000000000003</v>
      </c>
      <c r="E390" s="24">
        <v>20.5</v>
      </c>
      <c r="F390" s="24">
        <v>39.700000000000003</v>
      </c>
      <c r="G390" s="24">
        <v>-2</v>
      </c>
      <c r="H390" s="24">
        <v>64.776632302405503</v>
      </c>
    </row>
    <row r="391" spans="1:9" x14ac:dyDescent="0.2">
      <c r="A391" t="s">
        <v>242</v>
      </c>
      <c r="B391" s="38">
        <v>40252</v>
      </c>
      <c r="D391" s="24">
        <v>43</v>
      </c>
      <c r="E391" s="24">
        <v>21.4</v>
      </c>
      <c r="F391" s="24">
        <v>33.200000000000003</v>
      </c>
      <c r="G391" s="24">
        <v>9.7999999999999972</v>
      </c>
      <c r="H391" s="24">
        <v>66.770186335403722</v>
      </c>
    </row>
    <row r="392" spans="1:9" x14ac:dyDescent="0.2">
      <c r="A392" t="s">
        <v>242</v>
      </c>
      <c r="B392" s="38">
        <v>40313</v>
      </c>
      <c r="C392" s="34">
        <v>2500</v>
      </c>
      <c r="D392" s="24">
        <v>42.4</v>
      </c>
      <c r="E392" s="24">
        <v>23.9</v>
      </c>
      <c r="F392" s="24">
        <v>31.8</v>
      </c>
      <c r="G392" s="24">
        <v>10.599999999999998</v>
      </c>
      <c r="H392" s="24">
        <v>63.951734539969841</v>
      </c>
    </row>
    <row r="393" spans="1:9" x14ac:dyDescent="0.2">
      <c r="A393" t="s">
        <v>242</v>
      </c>
      <c r="B393" s="38">
        <v>40347</v>
      </c>
      <c r="C393" s="34">
        <v>2499</v>
      </c>
      <c r="D393" s="24">
        <v>47.9</v>
      </c>
      <c r="E393" s="24">
        <v>22.2</v>
      </c>
      <c r="F393" s="24">
        <v>27.8</v>
      </c>
      <c r="G393" s="24">
        <v>20.099999999999998</v>
      </c>
      <c r="H393" s="24">
        <v>68.330955777460773</v>
      </c>
      <c r="I393" t="s">
        <v>18</v>
      </c>
    </row>
    <row r="394" spans="1:9" x14ac:dyDescent="0.2">
      <c r="A394" t="s">
        <v>242</v>
      </c>
      <c r="B394" s="38">
        <v>40386</v>
      </c>
      <c r="C394" s="34">
        <v>2501</v>
      </c>
      <c r="D394" s="24">
        <v>46.6</v>
      </c>
      <c r="E394" s="24">
        <v>21.4</v>
      </c>
      <c r="F394" s="24">
        <v>30.8</v>
      </c>
      <c r="G394" s="24">
        <v>15.8</v>
      </c>
      <c r="H394" s="24">
        <v>68.529411764705884</v>
      </c>
    </row>
    <row r="395" spans="1:9" x14ac:dyDescent="0.2">
      <c r="A395" t="s">
        <v>242</v>
      </c>
      <c r="B395" s="38">
        <v>40425</v>
      </c>
      <c r="C395" s="34">
        <v>2500</v>
      </c>
      <c r="D395" s="24">
        <v>49.2</v>
      </c>
      <c r="E395" s="24">
        <v>23.6</v>
      </c>
      <c r="F395" s="24">
        <v>25.8</v>
      </c>
      <c r="G395" s="24">
        <v>23.400000000000002</v>
      </c>
      <c r="H395" s="24">
        <v>67.582417582417577</v>
      </c>
      <c r="I395" t="s">
        <v>156</v>
      </c>
    </row>
    <row r="396" spans="1:9" x14ac:dyDescent="0.2">
      <c r="A396" t="s">
        <v>242</v>
      </c>
      <c r="B396" s="38">
        <v>40441</v>
      </c>
      <c r="D396" s="24">
        <v>48.7</v>
      </c>
      <c r="E396" s="24">
        <v>22</v>
      </c>
      <c r="F396" s="24">
        <v>27.4</v>
      </c>
      <c r="G396" s="24">
        <v>21.300000000000004</v>
      </c>
      <c r="H396" s="24">
        <v>68.882602545968879</v>
      </c>
    </row>
    <row r="397" spans="1:9" x14ac:dyDescent="0.2">
      <c r="A397" t="s">
        <v>242</v>
      </c>
      <c r="B397" s="38">
        <v>40471</v>
      </c>
      <c r="C397" s="34">
        <v>2500</v>
      </c>
      <c r="D397" s="24">
        <v>53.1</v>
      </c>
      <c r="E397" s="24">
        <v>21.6</v>
      </c>
      <c r="F397" s="24">
        <v>23.5</v>
      </c>
      <c r="G397" s="24">
        <v>29.6</v>
      </c>
      <c r="H397" s="24">
        <v>71.084337349397586</v>
      </c>
      <c r="I397" t="s">
        <v>156</v>
      </c>
    </row>
    <row r="398" spans="1:9" x14ac:dyDescent="0.2">
      <c r="A398" t="s">
        <v>242</v>
      </c>
      <c r="B398" s="38">
        <v>40558</v>
      </c>
      <c r="D398" s="24">
        <v>54.7</v>
      </c>
      <c r="E398" s="24">
        <v>21.6</v>
      </c>
      <c r="F398" s="24">
        <v>26.5</v>
      </c>
      <c r="G398" s="24">
        <v>28.200000000000003</v>
      </c>
      <c r="H398" s="24">
        <v>71.690694626474439</v>
      </c>
      <c r="I398" t="s">
        <v>29</v>
      </c>
    </row>
    <row r="399" spans="1:9" x14ac:dyDescent="0.2">
      <c r="A399" t="s">
        <v>272</v>
      </c>
      <c r="B399" s="38">
        <v>40597</v>
      </c>
      <c r="C399" s="34">
        <v>1000</v>
      </c>
      <c r="D399" s="24">
        <v>57</v>
      </c>
      <c r="E399" s="24">
        <v>22</v>
      </c>
      <c r="F399" s="24">
        <v>20</v>
      </c>
      <c r="G399" s="24">
        <v>37</v>
      </c>
      <c r="H399" s="24">
        <v>72.151898734177209</v>
      </c>
      <c r="I399" t="s">
        <v>68</v>
      </c>
    </row>
    <row r="400" spans="1:9" x14ac:dyDescent="0.2">
      <c r="A400" t="s">
        <v>272</v>
      </c>
      <c r="B400" s="38">
        <v>40619</v>
      </c>
      <c r="C400" s="34">
        <v>2500</v>
      </c>
      <c r="D400" s="24">
        <v>51</v>
      </c>
      <c r="E400" s="24">
        <v>21</v>
      </c>
      <c r="F400" s="24">
        <v>26</v>
      </c>
      <c r="G400" s="24">
        <v>25</v>
      </c>
      <c r="H400" s="24">
        <v>70.833333333333343</v>
      </c>
      <c r="I400" t="s">
        <v>136</v>
      </c>
    </row>
    <row r="401" spans="1:9" x14ac:dyDescent="0.2">
      <c r="A401" t="s">
        <v>272</v>
      </c>
      <c r="B401" s="38">
        <v>40667</v>
      </c>
      <c r="C401" s="34">
        <v>2500</v>
      </c>
      <c r="D401" s="24">
        <v>52</v>
      </c>
      <c r="E401" s="24">
        <v>21</v>
      </c>
      <c r="F401" s="24">
        <v>26</v>
      </c>
      <c r="G401" s="24">
        <v>26</v>
      </c>
      <c r="H401" s="24">
        <v>71.232876712328761</v>
      </c>
    </row>
    <row r="402" spans="1:9" x14ac:dyDescent="0.2">
      <c r="A402" t="s">
        <v>272</v>
      </c>
      <c r="B402" s="38">
        <v>40687</v>
      </c>
      <c r="C402" s="34">
        <v>1500</v>
      </c>
      <c r="D402" s="24">
        <v>53.3</v>
      </c>
      <c r="E402" s="24">
        <v>24.1</v>
      </c>
      <c r="F402" s="24">
        <v>21.5</v>
      </c>
      <c r="G402" s="24">
        <v>31.799999999999997</v>
      </c>
      <c r="H402" s="24">
        <v>68.863049095607238</v>
      </c>
      <c r="I402" t="s">
        <v>137</v>
      </c>
    </row>
    <row r="403" spans="1:9" x14ac:dyDescent="0.2">
      <c r="A403" t="s">
        <v>272</v>
      </c>
      <c r="B403" s="38">
        <v>40727</v>
      </c>
      <c r="C403" s="34">
        <v>2500</v>
      </c>
      <c r="D403" s="24">
        <v>55</v>
      </c>
      <c r="E403" s="24">
        <v>22</v>
      </c>
      <c r="F403" s="24">
        <v>23</v>
      </c>
      <c r="G403" s="24">
        <v>32</v>
      </c>
      <c r="H403" s="24">
        <v>71.428571428571431</v>
      </c>
    </row>
    <row r="404" spans="1:9" x14ac:dyDescent="0.2">
      <c r="A404" t="s">
        <v>272</v>
      </c>
      <c r="B404" s="38">
        <v>40784</v>
      </c>
      <c r="C404" s="34">
        <v>2500</v>
      </c>
      <c r="D404" s="24">
        <v>59</v>
      </c>
      <c r="E404" s="24">
        <v>22</v>
      </c>
      <c r="F404" s="24">
        <v>18</v>
      </c>
      <c r="G404" s="24">
        <v>41</v>
      </c>
      <c r="H404" s="24">
        <v>72.839506172839506</v>
      </c>
      <c r="I404" t="s">
        <v>112</v>
      </c>
    </row>
    <row r="405" spans="1:9" x14ac:dyDescent="0.2">
      <c r="A405" t="s">
        <v>272</v>
      </c>
      <c r="B405" s="38">
        <v>40813</v>
      </c>
      <c r="C405" s="34">
        <v>2500</v>
      </c>
      <c r="D405" s="24">
        <v>61</v>
      </c>
      <c r="E405" s="24">
        <v>20</v>
      </c>
      <c r="F405" s="24">
        <v>19</v>
      </c>
      <c r="G405" s="24">
        <v>42</v>
      </c>
      <c r="H405" s="24">
        <v>75.308641975308646</v>
      </c>
      <c r="I405" t="s">
        <v>113</v>
      </c>
    </row>
    <row r="406" spans="1:9" x14ac:dyDescent="0.2">
      <c r="A406" t="s">
        <v>272</v>
      </c>
      <c r="B406" s="38">
        <v>40852</v>
      </c>
      <c r="C406" s="34">
        <v>2500</v>
      </c>
      <c r="D406" s="24">
        <v>62</v>
      </c>
      <c r="E406" s="24">
        <v>18</v>
      </c>
      <c r="F406" s="24">
        <v>19</v>
      </c>
      <c r="G406" s="24">
        <v>43</v>
      </c>
      <c r="H406" s="24">
        <v>77.5</v>
      </c>
    </row>
    <row r="407" spans="1:9" x14ac:dyDescent="0.2">
      <c r="A407" t="s">
        <v>272</v>
      </c>
      <c r="B407" s="38">
        <v>40887</v>
      </c>
      <c r="C407" s="34">
        <v>2500</v>
      </c>
      <c r="D407" s="24">
        <v>60</v>
      </c>
      <c r="E407" s="24">
        <v>20</v>
      </c>
      <c r="F407" s="24">
        <v>20</v>
      </c>
      <c r="G407" s="24">
        <v>40</v>
      </c>
      <c r="H407" s="24">
        <v>75</v>
      </c>
    </row>
    <row r="408" spans="1:9" x14ac:dyDescent="0.2">
      <c r="A408" t="s">
        <v>272</v>
      </c>
      <c r="B408" s="38">
        <v>40929</v>
      </c>
      <c r="C408" s="34">
        <v>1500</v>
      </c>
      <c r="D408" s="24">
        <v>61</v>
      </c>
      <c r="E408" s="24">
        <v>19</v>
      </c>
      <c r="F408" s="24">
        <v>19</v>
      </c>
      <c r="G408" s="24">
        <v>42</v>
      </c>
      <c r="H408" s="24">
        <v>76.25</v>
      </c>
    </row>
    <row r="409" spans="1:9" x14ac:dyDescent="0.2">
      <c r="A409" t="s">
        <v>272</v>
      </c>
      <c r="B409" s="38">
        <v>40973</v>
      </c>
      <c r="C409" s="34">
        <v>2500</v>
      </c>
      <c r="D409" s="24">
        <v>63</v>
      </c>
      <c r="E409" s="24">
        <v>19</v>
      </c>
      <c r="F409" s="24">
        <v>17</v>
      </c>
      <c r="G409" s="24">
        <v>46</v>
      </c>
      <c r="H409" s="24">
        <v>76.829268292682926</v>
      </c>
    </row>
    <row r="410" spans="1:9" x14ac:dyDescent="0.2">
      <c r="A410" t="s">
        <v>272</v>
      </c>
      <c r="B410" s="38">
        <v>41034</v>
      </c>
      <c r="C410" s="34">
        <v>9300</v>
      </c>
      <c r="D410" s="24">
        <v>66</v>
      </c>
      <c r="E410" s="24">
        <v>18</v>
      </c>
      <c r="F410" s="24">
        <v>15</v>
      </c>
      <c r="G410" s="24">
        <v>51</v>
      </c>
      <c r="H410" s="24">
        <v>78.571428571428569</v>
      </c>
    </row>
    <row r="411" spans="1:9" x14ac:dyDescent="0.2">
      <c r="A411" t="s">
        <v>272</v>
      </c>
      <c r="B411" s="38">
        <v>41065</v>
      </c>
      <c r="C411" s="34">
        <v>2500</v>
      </c>
      <c r="D411" s="24">
        <v>63</v>
      </c>
      <c r="E411" s="24">
        <v>17</v>
      </c>
      <c r="F411" s="24">
        <v>19</v>
      </c>
      <c r="G411" s="24">
        <v>44</v>
      </c>
      <c r="H411" s="24">
        <v>78.75</v>
      </c>
    </row>
    <row r="412" spans="1:9" x14ac:dyDescent="0.2">
      <c r="A412" t="s">
        <v>272</v>
      </c>
      <c r="B412" s="38">
        <v>41123</v>
      </c>
      <c r="C412" s="34">
        <v>2500</v>
      </c>
      <c r="D412" s="24">
        <v>64</v>
      </c>
      <c r="E412" s="24">
        <v>14</v>
      </c>
      <c r="F412" s="24">
        <v>20</v>
      </c>
      <c r="G412" s="24">
        <v>44</v>
      </c>
      <c r="H412" s="24">
        <v>82.051282051282044</v>
      </c>
    </row>
    <row r="413" spans="1:9" x14ac:dyDescent="0.2">
      <c r="A413" t="s">
        <v>272</v>
      </c>
      <c r="B413" s="38">
        <v>41218</v>
      </c>
      <c r="C413" s="34">
        <v>2500</v>
      </c>
      <c r="D413" s="24">
        <v>60</v>
      </c>
      <c r="E413" s="24">
        <v>19</v>
      </c>
      <c r="F413" s="24">
        <v>19</v>
      </c>
      <c r="G413" s="24">
        <v>41</v>
      </c>
      <c r="H413" s="24">
        <v>75.949367088607602</v>
      </c>
    </row>
    <row r="414" spans="1:9" x14ac:dyDescent="0.2">
      <c r="A414" t="s">
        <v>272</v>
      </c>
      <c r="B414" s="38">
        <v>41250</v>
      </c>
      <c r="C414" s="34">
        <v>1500</v>
      </c>
      <c r="D414" s="24">
        <v>60</v>
      </c>
      <c r="E414" s="24">
        <v>20</v>
      </c>
      <c r="F414" s="24">
        <v>18</v>
      </c>
      <c r="G414" s="24">
        <v>42</v>
      </c>
      <c r="H414" s="24">
        <v>75</v>
      </c>
    </row>
    <row r="415" spans="1:9" x14ac:dyDescent="0.2">
      <c r="A415" t="s">
        <v>272</v>
      </c>
      <c r="B415" s="38">
        <v>41297</v>
      </c>
      <c r="C415" s="34">
        <v>2500</v>
      </c>
      <c r="D415" s="24">
        <v>70</v>
      </c>
      <c r="E415" s="24">
        <v>15</v>
      </c>
      <c r="F415" s="24">
        <v>14</v>
      </c>
      <c r="G415" s="24">
        <v>56</v>
      </c>
      <c r="H415" s="24">
        <v>82.35294117647058</v>
      </c>
    </row>
    <row r="416" spans="1:9" x14ac:dyDescent="0.2">
      <c r="A416" t="s">
        <v>7</v>
      </c>
      <c r="B416" s="38">
        <v>40235</v>
      </c>
      <c r="C416" s="34">
        <v>1300</v>
      </c>
      <c r="D416" s="24">
        <v>43</v>
      </c>
      <c r="F416" s="24">
        <v>47</v>
      </c>
      <c r="G416" s="24">
        <v>-4</v>
      </c>
      <c r="H416" s="24">
        <v>47.777777777777779</v>
      </c>
      <c r="I416" t="s">
        <v>43</v>
      </c>
    </row>
    <row r="417" spans="1:9" x14ac:dyDescent="0.2">
      <c r="A417" t="s">
        <v>7</v>
      </c>
      <c r="B417" s="38">
        <v>40326</v>
      </c>
      <c r="C417" s="34">
        <v>1300</v>
      </c>
      <c r="D417" s="24">
        <v>46</v>
      </c>
      <c r="F417" s="24">
        <v>47</v>
      </c>
      <c r="G417" s="24">
        <v>-1</v>
      </c>
      <c r="H417" s="24">
        <v>49.462365591397848</v>
      </c>
      <c r="I417" t="s">
        <v>46</v>
      </c>
    </row>
    <row r="418" spans="1:9" x14ac:dyDescent="0.2">
      <c r="A418" t="s">
        <v>7</v>
      </c>
      <c r="B418" s="38">
        <v>40595</v>
      </c>
      <c r="D418" s="24">
        <v>46</v>
      </c>
      <c r="F418" s="24">
        <v>53</v>
      </c>
      <c r="G418" s="24">
        <v>-7</v>
      </c>
      <c r="H418" s="24">
        <v>46.464646464646464</v>
      </c>
      <c r="I418" t="s">
        <v>23</v>
      </c>
    </row>
    <row r="419" spans="1:9" x14ac:dyDescent="0.2">
      <c r="A419" t="s">
        <v>7</v>
      </c>
      <c r="B419" s="38">
        <v>41348</v>
      </c>
      <c r="D419" s="24">
        <v>51</v>
      </c>
      <c r="F419" s="24">
        <v>42</v>
      </c>
      <c r="G419" s="24">
        <v>9</v>
      </c>
      <c r="H419" s="24">
        <v>54.838709677419352</v>
      </c>
      <c r="I419" t="s">
        <v>264</v>
      </c>
    </row>
    <row r="420" spans="1:9" x14ac:dyDescent="0.2">
      <c r="A420" t="s">
        <v>7</v>
      </c>
      <c r="B420" s="38">
        <v>41410</v>
      </c>
      <c r="C420" s="34">
        <v>2000</v>
      </c>
      <c r="D420" s="24">
        <v>46.8</v>
      </c>
      <c r="F420" s="24">
        <v>48.8</v>
      </c>
      <c r="G420" s="24">
        <v>-2</v>
      </c>
      <c r="H420" s="24">
        <v>48.953974895397486</v>
      </c>
      <c r="I420" t="s">
        <v>114</v>
      </c>
    </row>
    <row r="421" spans="1:9" x14ac:dyDescent="0.2">
      <c r="A421" t="s">
        <v>7</v>
      </c>
      <c r="B421" s="38">
        <v>41461</v>
      </c>
      <c r="C421" s="34">
        <v>2000</v>
      </c>
      <c r="D421" s="24">
        <v>44.9</v>
      </c>
      <c r="F421" s="24">
        <v>48.3</v>
      </c>
      <c r="G421" s="24">
        <v>-3.3999999999999986</v>
      </c>
      <c r="H421" s="24">
        <v>48.175965665236056</v>
      </c>
      <c r="I421" t="s">
        <v>264</v>
      </c>
    </row>
    <row r="422" spans="1:9" x14ac:dyDescent="0.2">
      <c r="A422" t="s">
        <v>4</v>
      </c>
      <c r="B422" s="38">
        <v>40235</v>
      </c>
      <c r="D422" s="24">
        <v>40</v>
      </c>
      <c r="F422" s="24">
        <v>14</v>
      </c>
      <c r="G422" s="24">
        <v>-6</v>
      </c>
      <c r="H422" s="24">
        <v>46.511627906976742</v>
      </c>
      <c r="I422" t="s">
        <v>55</v>
      </c>
    </row>
    <row r="423" spans="1:9" x14ac:dyDescent="0.2">
      <c r="A423" t="s">
        <v>4</v>
      </c>
      <c r="B423" s="38">
        <v>40326</v>
      </c>
      <c r="C423" s="34">
        <v>1300</v>
      </c>
      <c r="D423" s="24">
        <v>41</v>
      </c>
      <c r="F423" s="24">
        <v>16</v>
      </c>
      <c r="G423" s="24">
        <v>-6</v>
      </c>
      <c r="H423" s="24">
        <v>46.590909090909086</v>
      </c>
      <c r="I423" t="s">
        <v>46</v>
      </c>
    </row>
    <row r="424" spans="1:9" x14ac:dyDescent="0.2">
      <c r="A424" t="s">
        <v>4</v>
      </c>
      <c r="B424" s="38">
        <v>40594</v>
      </c>
      <c r="D424" s="24">
        <v>43</v>
      </c>
      <c r="F424" s="24">
        <v>8</v>
      </c>
      <c r="G424" s="24">
        <v>-6</v>
      </c>
      <c r="H424" s="24">
        <v>46.739130434782609</v>
      </c>
      <c r="I424" t="s">
        <v>23</v>
      </c>
    </row>
    <row r="425" spans="1:9" x14ac:dyDescent="0.2">
      <c r="A425" t="s">
        <v>4</v>
      </c>
      <c r="B425" s="38">
        <v>41002</v>
      </c>
      <c r="C425" s="34">
        <v>1900</v>
      </c>
      <c r="D425" s="24">
        <v>46.2</v>
      </c>
      <c r="F425" s="24">
        <v>0.1</v>
      </c>
      <c r="G425" s="24">
        <v>1.5</v>
      </c>
      <c r="H425" s="24">
        <v>50.82508250825083</v>
      </c>
    </row>
    <row r="426" spans="1:9" x14ac:dyDescent="0.2">
      <c r="A426" t="s">
        <v>4</v>
      </c>
      <c r="B426" s="38">
        <v>41348</v>
      </c>
      <c r="D426" s="24">
        <v>50</v>
      </c>
      <c r="F426" s="24">
        <v>9</v>
      </c>
      <c r="G426" s="24">
        <v>9</v>
      </c>
      <c r="H426" s="24">
        <v>54.945054945054949</v>
      </c>
      <c r="I426" t="s">
        <v>264</v>
      </c>
    </row>
    <row r="427" spans="1:9" x14ac:dyDescent="0.2">
      <c r="A427" t="s">
        <v>4</v>
      </c>
      <c r="B427" s="38">
        <v>41409</v>
      </c>
      <c r="D427" s="24">
        <v>42.4</v>
      </c>
      <c r="F427" s="24">
        <v>8.8000000000000007</v>
      </c>
      <c r="I427" t="s">
        <v>264</v>
      </c>
    </row>
    <row r="428" spans="1:9" x14ac:dyDescent="0.2">
      <c r="A428" t="s">
        <v>4</v>
      </c>
      <c r="B428" s="38">
        <v>41461</v>
      </c>
      <c r="C428" s="34">
        <v>2000</v>
      </c>
      <c r="D428" s="24">
        <v>40.6</v>
      </c>
      <c r="F428" s="24">
        <v>9</v>
      </c>
      <c r="G428" s="24">
        <v>-8.6999999999999957</v>
      </c>
      <c r="H428" s="24">
        <v>45.161290322580641</v>
      </c>
      <c r="I428" t="s">
        <v>264</v>
      </c>
    </row>
    <row r="429" spans="1:9" x14ac:dyDescent="0.2">
      <c r="A429" t="s">
        <v>207</v>
      </c>
      <c r="B429" s="38">
        <v>36875</v>
      </c>
      <c r="C429" s="34">
        <v>400</v>
      </c>
      <c r="D429" s="24">
        <v>41</v>
      </c>
    </row>
    <row r="430" spans="1:9" x14ac:dyDescent="0.2">
      <c r="A430" t="s">
        <v>207</v>
      </c>
      <c r="B430" s="38">
        <v>37057</v>
      </c>
      <c r="C430" s="34">
        <v>400</v>
      </c>
      <c r="D430" s="24">
        <v>38</v>
      </c>
    </row>
    <row r="431" spans="1:9" x14ac:dyDescent="0.2">
      <c r="A431" t="s">
        <v>207</v>
      </c>
      <c r="B431" s="38">
        <v>37879</v>
      </c>
      <c r="C431" s="34">
        <v>300</v>
      </c>
      <c r="D431" s="24">
        <v>10</v>
      </c>
    </row>
    <row r="432" spans="1:9" x14ac:dyDescent="0.2">
      <c r="A432" t="s">
        <v>207</v>
      </c>
      <c r="B432" s="38">
        <v>38122</v>
      </c>
      <c r="C432" s="34">
        <v>500</v>
      </c>
      <c r="D432" s="24">
        <v>25</v>
      </c>
    </row>
    <row r="433" spans="1:9" x14ac:dyDescent="0.2">
      <c r="A433" t="s">
        <v>207</v>
      </c>
      <c r="B433" s="38">
        <v>38487</v>
      </c>
      <c r="C433" s="34">
        <v>500</v>
      </c>
      <c r="D433" s="24">
        <v>65</v>
      </c>
    </row>
    <row r="434" spans="1:9" x14ac:dyDescent="0.2">
      <c r="A434" t="s">
        <v>207</v>
      </c>
      <c r="B434" s="38">
        <v>38791</v>
      </c>
      <c r="C434" s="34">
        <v>510</v>
      </c>
      <c r="D434" s="24">
        <v>67</v>
      </c>
    </row>
    <row r="435" spans="1:9" x14ac:dyDescent="0.2">
      <c r="A435" t="s">
        <v>207</v>
      </c>
      <c r="B435" s="38">
        <v>39248</v>
      </c>
      <c r="C435" s="34">
        <v>1000</v>
      </c>
      <c r="D435" s="24">
        <v>59</v>
      </c>
    </row>
    <row r="436" spans="1:9" x14ac:dyDescent="0.2">
      <c r="A436" t="s">
        <v>207</v>
      </c>
      <c r="B436" s="38">
        <v>39614</v>
      </c>
      <c r="C436" s="34">
        <v>820</v>
      </c>
      <c r="D436" s="24">
        <v>54</v>
      </c>
    </row>
    <row r="437" spans="1:9" x14ac:dyDescent="0.2">
      <c r="A437" t="s">
        <v>207</v>
      </c>
      <c r="B437" s="38">
        <v>39918</v>
      </c>
      <c r="C437" s="34">
        <v>800</v>
      </c>
      <c r="D437" s="24">
        <v>61</v>
      </c>
    </row>
    <row r="438" spans="1:9" x14ac:dyDescent="0.2">
      <c r="A438" t="s">
        <v>207</v>
      </c>
      <c r="B438" s="38">
        <v>40313</v>
      </c>
      <c r="C438" s="34">
        <v>800</v>
      </c>
      <c r="D438" s="24">
        <v>57</v>
      </c>
    </row>
    <row r="439" spans="1:9" x14ac:dyDescent="0.2">
      <c r="A439" t="s">
        <v>207</v>
      </c>
      <c r="B439" s="38">
        <v>40648</v>
      </c>
      <c r="C439" s="34">
        <v>500</v>
      </c>
      <c r="D439" s="24">
        <v>42</v>
      </c>
    </row>
    <row r="440" spans="1:9" x14ac:dyDescent="0.2">
      <c r="A440" t="s">
        <v>206</v>
      </c>
      <c r="B440" s="38">
        <v>37390</v>
      </c>
      <c r="C440" s="34">
        <v>100</v>
      </c>
      <c r="D440" s="24">
        <v>5</v>
      </c>
    </row>
    <row r="441" spans="1:9" x14ac:dyDescent="0.2">
      <c r="A441" t="s">
        <v>206</v>
      </c>
      <c r="B441" s="38">
        <v>37635</v>
      </c>
      <c r="C441" s="34">
        <v>301</v>
      </c>
      <c r="D441" s="24">
        <v>21</v>
      </c>
    </row>
    <row r="442" spans="1:9" x14ac:dyDescent="0.2">
      <c r="A442" t="s">
        <v>206</v>
      </c>
      <c r="B442" s="38">
        <v>37848</v>
      </c>
      <c r="C442" s="34">
        <v>300</v>
      </c>
      <c r="D442" s="24">
        <v>10</v>
      </c>
      <c r="I442" t="s">
        <v>151</v>
      </c>
    </row>
    <row r="443" spans="1:9" x14ac:dyDescent="0.2">
      <c r="A443" t="s">
        <v>206</v>
      </c>
      <c r="B443" s="38">
        <v>38122</v>
      </c>
      <c r="C443" s="34">
        <v>300</v>
      </c>
      <c r="D443" s="24">
        <v>24</v>
      </c>
    </row>
    <row r="444" spans="1:9" x14ac:dyDescent="0.2">
      <c r="A444" t="s">
        <v>206</v>
      </c>
      <c r="B444" s="38">
        <v>38457</v>
      </c>
      <c r="C444" s="34">
        <v>500</v>
      </c>
      <c r="D444" s="24">
        <v>57</v>
      </c>
    </row>
    <row r="445" spans="1:9" x14ac:dyDescent="0.2">
      <c r="A445" t="s">
        <v>206</v>
      </c>
      <c r="B445" s="38">
        <v>38791</v>
      </c>
      <c r="C445" s="34">
        <v>510</v>
      </c>
      <c r="D445" s="24">
        <v>57</v>
      </c>
    </row>
    <row r="446" spans="1:9" x14ac:dyDescent="0.2">
      <c r="A446" t="s">
        <v>206</v>
      </c>
      <c r="B446" s="38">
        <v>39248</v>
      </c>
      <c r="C446" s="34">
        <v>1000</v>
      </c>
      <c r="D446" s="24">
        <v>54</v>
      </c>
    </row>
    <row r="447" spans="1:9" x14ac:dyDescent="0.2">
      <c r="A447" t="s">
        <v>206</v>
      </c>
      <c r="B447" s="38">
        <v>39614</v>
      </c>
      <c r="C447" s="34">
        <v>820</v>
      </c>
      <c r="D447" s="24">
        <v>47</v>
      </c>
    </row>
    <row r="448" spans="1:9" x14ac:dyDescent="0.2">
      <c r="A448" t="s">
        <v>206</v>
      </c>
      <c r="B448" s="38">
        <v>39887</v>
      </c>
      <c r="C448" s="34">
        <v>891</v>
      </c>
      <c r="D448" s="24">
        <v>48</v>
      </c>
      <c r="I448" t="s">
        <v>48</v>
      </c>
    </row>
    <row r="449" spans="1:9" x14ac:dyDescent="0.2">
      <c r="A449" t="s">
        <v>206</v>
      </c>
      <c r="B449" s="38">
        <v>40252</v>
      </c>
      <c r="C449" s="34">
        <v>959</v>
      </c>
      <c r="D449" s="24">
        <v>52</v>
      </c>
      <c r="I449" t="s">
        <v>49</v>
      </c>
    </row>
    <row r="450" spans="1:9" x14ac:dyDescent="0.2">
      <c r="A450" t="s">
        <v>206</v>
      </c>
      <c r="B450" s="38">
        <v>40648</v>
      </c>
      <c r="C450" s="34">
        <v>500</v>
      </c>
      <c r="D450" s="24">
        <v>38</v>
      </c>
      <c r="I450" t="s">
        <v>62</v>
      </c>
    </row>
    <row r="451" spans="1:9" x14ac:dyDescent="0.2">
      <c r="A451" t="s">
        <v>8</v>
      </c>
      <c r="B451" s="38">
        <v>39706</v>
      </c>
      <c r="D451" s="24">
        <v>32</v>
      </c>
      <c r="E451" s="24">
        <v>37</v>
      </c>
      <c r="F451" s="24">
        <v>32</v>
      </c>
      <c r="G451" s="24">
        <v>0</v>
      </c>
      <c r="H451" s="24">
        <v>50</v>
      </c>
    </row>
    <row r="452" spans="1:9" x14ac:dyDescent="0.2">
      <c r="A452" t="s">
        <v>8</v>
      </c>
      <c r="B452" s="38">
        <v>39850</v>
      </c>
      <c r="C452" s="34">
        <v>1197</v>
      </c>
      <c r="D452" s="24">
        <v>32</v>
      </c>
      <c r="E452" s="24">
        <v>18</v>
      </c>
      <c r="F452" s="24">
        <v>48</v>
      </c>
      <c r="G452" s="24">
        <v>-16</v>
      </c>
      <c r="H452" s="24">
        <v>40</v>
      </c>
    </row>
    <row r="453" spans="1:9" x14ac:dyDescent="0.2">
      <c r="A453" t="s">
        <v>75</v>
      </c>
      <c r="B453" s="38">
        <v>38001</v>
      </c>
      <c r="D453" s="24">
        <v>54</v>
      </c>
      <c r="I453" t="s">
        <v>74</v>
      </c>
    </row>
    <row r="454" spans="1:9" x14ac:dyDescent="0.2">
      <c r="A454" t="s">
        <v>120</v>
      </c>
      <c r="B454" s="38">
        <v>37909</v>
      </c>
      <c r="C454" s="34">
        <v>1000</v>
      </c>
      <c r="D454" s="24">
        <v>44</v>
      </c>
      <c r="F454" s="24">
        <v>51</v>
      </c>
      <c r="G454" s="24">
        <v>-7</v>
      </c>
      <c r="H454" s="24">
        <v>46.315789473684212</v>
      </c>
    </row>
    <row r="455" spans="1:9" x14ac:dyDescent="0.2">
      <c r="A455" t="s">
        <v>120</v>
      </c>
      <c r="B455" s="38">
        <v>38068</v>
      </c>
      <c r="C455" s="34">
        <v>1000</v>
      </c>
      <c r="D455" s="24">
        <v>36</v>
      </c>
      <c r="F455" s="24">
        <v>60</v>
      </c>
      <c r="G455" s="24">
        <v>-24</v>
      </c>
      <c r="H455" s="24">
        <v>37.5</v>
      </c>
    </row>
    <row r="456" spans="1:9" x14ac:dyDescent="0.2">
      <c r="A456" t="s">
        <v>94</v>
      </c>
      <c r="B456" s="38">
        <v>38190</v>
      </c>
      <c r="C456" s="34">
        <v>2000</v>
      </c>
      <c r="D456" s="24">
        <v>45</v>
      </c>
      <c r="E456" s="24">
        <v>17</v>
      </c>
      <c r="F456" s="24">
        <v>38</v>
      </c>
      <c r="G456" s="24">
        <v>7</v>
      </c>
      <c r="H456" s="24">
        <v>54.216867469879517</v>
      </c>
    </row>
    <row r="457" spans="1:9" x14ac:dyDescent="0.2">
      <c r="A457" t="s">
        <v>94</v>
      </c>
      <c r="B457" s="38">
        <v>39024</v>
      </c>
      <c r="C457" s="34">
        <v>2000</v>
      </c>
      <c r="D457" s="24">
        <v>53</v>
      </c>
      <c r="E457" s="24">
        <v>12</v>
      </c>
      <c r="F457" s="24">
        <v>37</v>
      </c>
      <c r="G457" s="24">
        <v>16</v>
      </c>
      <c r="H457" s="24">
        <v>58.888888888888893</v>
      </c>
    </row>
    <row r="458" spans="1:9" x14ac:dyDescent="0.2">
      <c r="A458" t="s">
        <v>83</v>
      </c>
      <c r="B458" s="38">
        <v>38153</v>
      </c>
      <c r="D458" s="24">
        <v>43</v>
      </c>
      <c r="I458" t="s">
        <v>152</v>
      </c>
    </row>
    <row r="459" spans="1:9" x14ac:dyDescent="0.2">
      <c r="A459" t="s">
        <v>83</v>
      </c>
      <c r="B459" s="38">
        <v>39431</v>
      </c>
      <c r="D459" s="24">
        <v>61</v>
      </c>
      <c r="I459" t="s">
        <v>74</v>
      </c>
    </row>
    <row r="460" spans="1:9" x14ac:dyDescent="0.2">
      <c r="A460" t="s">
        <v>76</v>
      </c>
      <c r="B460" s="38">
        <v>38061</v>
      </c>
      <c r="D460" s="24">
        <v>25</v>
      </c>
    </row>
    <row r="461" spans="1:9" x14ac:dyDescent="0.2">
      <c r="A461" t="s">
        <v>115</v>
      </c>
      <c r="B461" s="38">
        <v>37892</v>
      </c>
      <c r="C461" s="34">
        <v>1010</v>
      </c>
      <c r="D461" s="24">
        <v>39</v>
      </c>
      <c r="F461" s="24">
        <v>59</v>
      </c>
      <c r="G461" s="24">
        <v>-20</v>
      </c>
      <c r="H461" s="24">
        <v>39.795918367346935</v>
      </c>
    </row>
    <row r="462" spans="1:9" x14ac:dyDescent="0.2">
      <c r="A462" t="s">
        <v>227</v>
      </c>
      <c r="B462" s="38">
        <v>41685</v>
      </c>
      <c r="D462" s="24">
        <v>35</v>
      </c>
      <c r="F462" s="24">
        <v>60</v>
      </c>
      <c r="G462" s="24">
        <v>-25</v>
      </c>
      <c r="H462" s="24">
        <v>36.84210526315789</v>
      </c>
      <c r="I462" t="s">
        <v>230</v>
      </c>
    </row>
    <row r="463" spans="1:9" x14ac:dyDescent="0.2">
      <c r="A463" t="s">
        <v>227</v>
      </c>
      <c r="B463" s="38">
        <v>41744</v>
      </c>
      <c r="D463" s="24">
        <v>33</v>
      </c>
      <c r="F463" s="24">
        <v>66</v>
      </c>
      <c r="G463" s="24">
        <v>-33</v>
      </c>
      <c r="H463" s="24">
        <v>33.333333333333329</v>
      </c>
      <c r="I463" t="s">
        <v>228</v>
      </c>
    </row>
    <row r="464" spans="1:9" x14ac:dyDescent="0.2">
      <c r="A464" t="s">
        <v>227</v>
      </c>
      <c r="B464" s="38">
        <v>41883</v>
      </c>
      <c r="C464" s="34">
        <v>1304</v>
      </c>
      <c r="D464" s="24">
        <v>31</v>
      </c>
      <c r="F464" s="24">
        <v>68</v>
      </c>
      <c r="G464" s="24">
        <v>-37</v>
      </c>
      <c r="H464" s="24">
        <v>31.313131313131315</v>
      </c>
      <c r="I464" t="s">
        <v>237</v>
      </c>
    </row>
    <row r="465" spans="1:9" x14ac:dyDescent="0.2">
      <c r="A465" t="s">
        <v>227</v>
      </c>
      <c r="B465" s="38">
        <v>42050</v>
      </c>
      <c r="D465" s="24">
        <v>24</v>
      </c>
      <c r="F465" s="24">
        <v>74</v>
      </c>
      <c r="G465" s="24">
        <v>-50</v>
      </c>
      <c r="H465" s="24">
        <v>24.489795918367346</v>
      </c>
      <c r="I465" t="s">
        <v>230</v>
      </c>
    </row>
    <row r="466" spans="1:9" x14ac:dyDescent="0.2">
      <c r="A466" t="s">
        <v>227</v>
      </c>
      <c r="B466" s="38">
        <v>42139</v>
      </c>
      <c r="C466" s="34">
        <v>1200</v>
      </c>
      <c r="D466" s="24">
        <v>22</v>
      </c>
      <c r="F466" s="24">
        <v>76</v>
      </c>
      <c r="G466" s="24">
        <v>-54</v>
      </c>
      <c r="H466" s="24">
        <v>22.448979591836736</v>
      </c>
      <c r="I466" t="s">
        <v>230</v>
      </c>
    </row>
    <row r="467" spans="1:9" x14ac:dyDescent="0.2">
      <c r="A467" t="s">
        <v>227</v>
      </c>
      <c r="B467" s="38">
        <v>42211</v>
      </c>
      <c r="C467" s="34">
        <v>1200</v>
      </c>
      <c r="D467" s="24">
        <v>21</v>
      </c>
      <c r="F467" s="24">
        <v>77</v>
      </c>
      <c r="G467" s="24">
        <v>-56</v>
      </c>
      <c r="H467" s="24">
        <v>21.428571428571427</v>
      </c>
      <c r="I467" t="s">
        <v>230</v>
      </c>
    </row>
    <row r="468" spans="1:9" x14ac:dyDescent="0.2">
      <c r="A468" t="s">
        <v>238</v>
      </c>
      <c r="B468" s="38">
        <v>41379</v>
      </c>
      <c r="D468" s="24">
        <v>37.9</v>
      </c>
      <c r="F468" s="24">
        <v>58.5</v>
      </c>
      <c r="G468" s="24">
        <v>-20.6</v>
      </c>
      <c r="H468" s="24">
        <v>39.315352697095427</v>
      </c>
      <c r="I468" t="s">
        <v>248</v>
      </c>
    </row>
    <row r="469" spans="1:9" x14ac:dyDescent="0.2">
      <c r="A469" t="s">
        <v>238</v>
      </c>
      <c r="B469" s="38">
        <v>41405</v>
      </c>
      <c r="C469" s="34">
        <v>1300</v>
      </c>
      <c r="D469" s="24">
        <v>44.5</v>
      </c>
      <c r="F469" s="24">
        <v>49.6</v>
      </c>
      <c r="G469" s="24">
        <v>-5.1000000000000014</v>
      </c>
      <c r="H469" s="24">
        <v>47.290116896918178</v>
      </c>
      <c r="I469" t="s">
        <v>257</v>
      </c>
    </row>
    <row r="470" spans="1:9" x14ac:dyDescent="0.2">
      <c r="A470" t="s">
        <v>238</v>
      </c>
      <c r="B470" s="38">
        <v>41440</v>
      </c>
      <c r="D470" s="24">
        <v>43.9</v>
      </c>
      <c r="F470" s="24">
        <v>49.6</v>
      </c>
      <c r="G470" s="24">
        <v>-5.7000000000000028</v>
      </c>
      <c r="H470" s="24">
        <v>46.951871657754005</v>
      </c>
      <c r="I470" t="s">
        <v>263</v>
      </c>
    </row>
    <row r="471" spans="1:9" x14ac:dyDescent="0.2">
      <c r="A471" t="s">
        <v>238</v>
      </c>
      <c r="B471" s="38">
        <v>41480</v>
      </c>
      <c r="C471" s="34">
        <v>1200</v>
      </c>
      <c r="D471" s="24">
        <v>35.5</v>
      </c>
      <c r="F471" s="24">
        <v>60.9</v>
      </c>
      <c r="G471" s="24">
        <v>-25.4</v>
      </c>
      <c r="H471" s="24">
        <v>36.825726141078832</v>
      </c>
      <c r="I471" t="s">
        <v>248</v>
      </c>
    </row>
    <row r="472" spans="1:9" x14ac:dyDescent="0.2">
      <c r="A472" t="s">
        <v>238</v>
      </c>
      <c r="B472" s="38">
        <v>41537</v>
      </c>
      <c r="C472" s="34">
        <v>1200</v>
      </c>
      <c r="D472" s="24">
        <v>31</v>
      </c>
      <c r="F472" s="24">
        <v>65</v>
      </c>
      <c r="G472" s="24">
        <v>-34</v>
      </c>
      <c r="H472" s="24">
        <v>32.291666666666671</v>
      </c>
      <c r="I472" t="s">
        <v>263</v>
      </c>
    </row>
    <row r="473" spans="1:9" x14ac:dyDescent="0.2">
      <c r="A473" t="s">
        <v>238</v>
      </c>
      <c r="B473" s="38">
        <v>41576</v>
      </c>
      <c r="C473" s="34">
        <v>1000</v>
      </c>
      <c r="D473" s="24">
        <v>31.3</v>
      </c>
      <c r="F473" s="24">
        <v>61.7</v>
      </c>
      <c r="G473" s="24">
        <v>-30.400000000000002</v>
      </c>
      <c r="H473" s="24">
        <v>33.655913978494624</v>
      </c>
      <c r="I473" t="s">
        <v>248</v>
      </c>
    </row>
    <row r="474" spans="1:9" x14ac:dyDescent="0.2">
      <c r="A474" t="s">
        <v>238</v>
      </c>
      <c r="B474" s="38">
        <v>41623</v>
      </c>
      <c r="D474" s="24">
        <v>37</v>
      </c>
      <c r="F474" s="24">
        <v>60</v>
      </c>
      <c r="G474" s="24">
        <v>-23</v>
      </c>
      <c r="H474" s="24">
        <v>38.144329896907216</v>
      </c>
      <c r="I474" t="s">
        <v>248</v>
      </c>
    </row>
    <row r="475" spans="1:9" x14ac:dyDescent="0.2">
      <c r="A475" t="s">
        <v>238</v>
      </c>
      <c r="B475" s="38">
        <v>41654</v>
      </c>
      <c r="D475" s="24">
        <v>36.6</v>
      </c>
      <c r="F475" s="24">
        <v>61.2</v>
      </c>
      <c r="G475" s="24">
        <v>-24.6</v>
      </c>
      <c r="H475" s="24">
        <v>37.423312883435578</v>
      </c>
      <c r="I475" t="s">
        <v>248</v>
      </c>
    </row>
    <row r="476" spans="1:9" x14ac:dyDescent="0.2">
      <c r="A476" t="s">
        <v>238</v>
      </c>
      <c r="B476" s="38">
        <v>41725</v>
      </c>
      <c r="C476" s="34">
        <v>1200</v>
      </c>
      <c r="D476" s="24">
        <v>29.8</v>
      </c>
      <c r="F476" s="24">
        <v>67.5</v>
      </c>
      <c r="G476" s="24">
        <v>-37.700000000000003</v>
      </c>
      <c r="H476" s="24">
        <v>30.62692702980473</v>
      </c>
      <c r="I476" t="s">
        <v>248</v>
      </c>
    </row>
    <row r="477" spans="1:9" x14ac:dyDescent="0.2">
      <c r="A477" t="s">
        <v>238</v>
      </c>
      <c r="B477" s="38">
        <v>41802</v>
      </c>
      <c r="C477" s="34">
        <v>1200</v>
      </c>
      <c r="D477" s="24">
        <v>26.5</v>
      </c>
      <c r="F477" s="24">
        <v>71.099999999999994</v>
      </c>
      <c r="G477" s="24">
        <v>-44.599999999999994</v>
      </c>
      <c r="H477" s="24">
        <v>27.151639344262296</v>
      </c>
      <c r="I477" t="s">
        <v>248</v>
      </c>
    </row>
    <row r="478" spans="1:9" x14ac:dyDescent="0.2">
      <c r="A478" t="s">
        <v>238</v>
      </c>
      <c r="B478" s="38">
        <v>41858</v>
      </c>
      <c r="D478" s="24">
        <v>25.4</v>
      </c>
      <c r="F478" s="24">
        <v>72.400000000000006</v>
      </c>
      <c r="G478" s="24">
        <v>-47.000000000000007</v>
      </c>
      <c r="H478" s="24">
        <v>25.971370143149279</v>
      </c>
      <c r="I478" t="s">
        <v>248</v>
      </c>
    </row>
    <row r="479" spans="1:9" x14ac:dyDescent="0.2">
      <c r="A479" t="s">
        <v>238</v>
      </c>
      <c r="B479" s="38">
        <v>41968</v>
      </c>
      <c r="D479" s="24">
        <v>22.1</v>
      </c>
      <c r="F479" s="24">
        <v>75.599999999999994</v>
      </c>
      <c r="G479" s="24">
        <v>-53.499999999999993</v>
      </c>
      <c r="H479" s="24">
        <v>22.620266120777895</v>
      </c>
      <c r="I479" t="s">
        <v>248</v>
      </c>
    </row>
    <row r="480" spans="1:9" x14ac:dyDescent="0.2">
      <c r="A480" t="s">
        <v>238</v>
      </c>
      <c r="B480" s="38">
        <v>42019</v>
      </c>
      <c r="D480" s="24">
        <v>20.9</v>
      </c>
      <c r="F480" s="24">
        <v>77.099999999999994</v>
      </c>
      <c r="G480" s="24">
        <v>-56.199999999999996</v>
      </c>
      <c r="H480" s="24">
        <v>21.326530612244895</v>
      </c>
      <c r="I480" t="s">
        <v>248</v>
      </c>
    </row>
    <row r="481" spans="1:9" x14ac:dyDescent="0.2">
      <c r="A481" t="s">
        <v>238</v>
      </c>
      <c r="B481" s="38">
        <v>42078</v>
      </c>
      <c r="D481" s="24">
        <v>24.1</v>
      </c>
      <c r="F481" s="24">
        <v>74.099999999999994</v>
      </c>
      <c r="G481" s="24">
        <v>-49.999999999999993</v>
      </c>
      <c r="H481" s="24">
        <v>24.541751527494913</v>
      </c>
      <c r="I481" t="s">
        <v>248</v>
      </c>
    </row>
    <row r="482" spans="1:9" x14ac:dyDescent="0.2">
      <c r="A482" t="s">
        <v>238</v>
      </c>
      <c r="B482" s="38">
        <v>42182</v>
      </c>
      <c r="D482" s="24">
        <v>18</v>
      </c>
      <c r="F482" s="24">
        <v>80.5</v>
      </c>
      <c r="G482" s="24">
        <v>-62.5</v>
      </c>
      <c r="H482" s="24">
        <v>18.274111675126903</v>
      </c>
      <c r="I482" t="s">
        <v>248</v>
      </c>
    </row>
    <row r="483" spans="1:9" x14ac:dyDescent="0.2">
      <c r="A483" t="s">
        <v>238</v>
      </c>
      <c r="B483" s="38">
        <v>42267</v>
      </c>
      <c r="C483" s="34">
        <v>1200</v>
      </c>
      <c r="D483" s="24">
        <v>16.7</v>
      </c>
      <c r="F483" s="24">
        <v>82.7</v>
      </c>
      <c r="G483" s="24">
        <v>-66</v>
      </c>
      <c r="H483" s="24">
        <v>16.800804828973842</v>
      </c>
      <c r="I483" t="s">
        <v>248</v>
      </c>
    </row>
    <row r="484" spans="1:9" x14ac:dyDescent="0.2">
      <c r="A484" t="s">
        <v>238</v>
      </c>
      <c r="B484" s="38">
        <v>42333</v>
      </c>
      <c r="D484" s="24">
        <v>14</v>
      </c>
      <c r="F484" s="24">
        <v>84.2</v>
      </c>
      <c r="G484" s="24">
        <v>-70.2</v>
      </c>
      <c r="H484" s="24">
        <v>14.256619144602849</v>
      </c>
      <c r="I484" t="s">
        <v>247</v>
      </c>
    </row>
    <row r="485" spans="1:9" x14ac:dyDescent="0.2">
      <c r="A485" t="s">
        <v>238</v>
      </c>
      <c r="B485" s="38">
        <v>42410</v>
      </c>
      <c r="C485" s="34">
        <v>1600</v>
      </c>
      <c r="D485" s="24">
        <v>14</v>
      </c>
      <c r="F485" s="24">
        <v>84.4</v>
      </c>
      <c r="G485" s="24">
        <v>-70.400000000000006</v>
      </c>
      <c r="H485" s="24">
        <v>14.227642276422763</v>
      </c>
      <c r="I485" t="s">
        <v>267</v>
      </c>
    </row>
    <row r="486" spans="1:9" x14ac:dyDescent="0.2">
      <c r="B486" s="38"/>
    </row>
    <row r="487" spans="1:9" x14ac:dyDescent="0.2">
      <c r="B487" s="38"/>
    </row>
    <row r="488" spans="1:9" x14ac:dyDescent="0.2">
      <c r="B488" s="38"/>
    </row>
    <row r="489" spans="1:9" x14ac:dyDescent="0.2">
      <c r="B489" s="38"/>
    </row>
    <row r="490" spans="1:9" x14ac:dyDescent="0.2">
      <c r="B490" s="38"/>
    </row>
    <row r="491" spans="1:9" x14ac:dyDescent="0.2">
      <c r="B491" s="38"/>
    </row>
    <row r="492" spans="1:9" x14ac:dyDescent="0.2">
      <c r="B492" s="38"/>
    </row>
    <row r="493" spans="1:9" x14ac:dyDescent="0.2">
      <c r="B493" s="38"/>
    </row>
    <row r="494" spans="1:9" x14ac:dyDescent="0.2">
      <c r="B494" s="38"/>
    </row>
    <row r="495" spans="1:9" x14ac:dyDescent="0.2">
      <c r="B495" s="38"/>
    </row>
    <row r="496" spans="1:9" x14ac:dyDescent="0.2">
      <c r="B496" s="38"/>
    </row>
    <row r="497" spans="2:2" x14ac:dyDescent="0.2">
      <c r="B497" s="38"/>
    </row>
    <row r="498" spans="2:2" x14ac:dyDescent="0.2">
      <c r="B498" s="38"/>
    </row>
    <row r="499" spans="2:2" x14ac:dyDescent="0.2">
      <c r="B499" s="38"/>
    </row>
    <row r="500" spans="2:2" x14ac:dyDescent="0.2">
      <c r="B500" s="38"/>
    </row>
    <row r="501" spans="2:2" x14ac:dyDescent="0.2">
      <c r="B501" s="38"/>
    </row>
    <row r="502" spans="2:2" x14ac:dyDescent="0.2">
      <c r="B502" s="38"/>
    </row>
    <row r="503" spans="2:2" x14ac:dyDescent="0.2">
      <c r="B503" s="38"/>
    </row>
    <row r="504" spans="2:2" x14ac:dyDescent="0.2">
      <c r="B504" s="38"/>
    </row>
    <row r="505" spans="2:2" x14ac:dyDescent="0.2">
      <c r="B505" s="38"/>
    </row>
    <row r="506" spans="2:2" x14ac:dyDescent="0.2">
      <c r="B506" s="38"/>
    </row>
    <row r="507" spans="2:2" x14ac:dyDescent="0.2">
      <c r="B507" s="38"/>
    </row>
    <row r="508" spans="2:2" x14ac:dyDescent="0.2">
      <c r="B508" s="38"/>
    </row>
    <row r="509" spans="2:2" x14ac:dyDescent="0.2">
      <c r="B509" s="38"/>
    </row>
    <row r="510" spans="2:2" x14ac:dyDescent="0.2">
      <c r="B510" s="38"/>
    </row>
    <row r="511" spans="2:2" x14ac:dyDescent="0.2">
      <c r="B511" s="38"/>
    </row>
    <row r="512" spans="2:2" x14ac:dyDescent="0.2">
      <c r="B512" s="38"/>
    </row>
    <row r="513" spans="2:2" x14ac:dyDescent="0.2">
      <c r="B513" s="38"/>
    </row>
    <row r="514" spans="2:2" x14ac:dyDescent="0.2">
      <c r="B514" s="38"/>
    </row>
    <row r="515" spans="2:2" x14ac:dyDescent="0.2">
      <c r="B515" s="38"/>
    </row>
    <row r="516" spans="2:2" x14ac:dyDescent="0.2">
      <c r="B516" s="38"/>
    </row>
    <row r="517" spans="2:2" x14ac:dyDescent="0.2">
      <c r="B517" s="38"/>
    </row>
    <row r="518" spans="2:2" x14ac:dyDescent="0.2">
      <c r="B518" s="38"/>
    </row>
    <row r="519" spans="2:2" x14ac:dyDescent="0.2">
      <c r="B519" s="38"/>
    </row>
    <row r="520" spans="2:2" x14ac:dyDescent="0.2">
      <c r="B520" s="38"/>
    </row>
    <row r="521" spans="2:2" x14ac:dyDescent="0.2">
      <c r="B521" s="38"/>
    </row>
    <row r="522" spans="2:2" x14ac:dyDescent="0.2">
      <c r="B522" s="38"/>
    </row>
    <row r="523" spans="2:2" x14ac:dyDescent="0.2">
      <c r="B523" s="38"/>
    </row>
    <row r="524" spans="2:2" x14ac:dyDescent="0.2">
      <c r="B524" s="38"/>
    </row>
    <row r="525" spans="2:2" x14ac:dyDescent="0.2">
      <c r="B525" s="38"/>
    </row>
    <row r="526" spans="2:2" x14ac:dyDescent="0.2">
      <c r="B526" s="38"/>
    </row>
    <row r="527" spans="2:2" x14ac:dyDescent="0.2">
      <c r="B527" s="38"/>
    </row>
    <row r="528" spans="2:2" x14ac:dyDescent="0.2">
      <c r="B528" s="38"/>
    </row>
    <row r="529" spans="2:2" x14ac:dyDescent="0.2">
      <c r="B529" s="38"/>
    </row>
    <row r="530" spans="2:2" x14ac:dyDescent="0.2">
      <c r="B530" s="38"/>
    </row>
    <row r="531" spans="2:2" x14ac:dyDescent="0.2">
      <c r="B531" s="38"/>
    </row>
    <row r="532" spans="2:2" x14ac:dyDescent="0.2">
      <c r="B532" s="38"/>
    </row>
    <row r="533" spans="2:2" x14ac:dyDescent="0.2">
      <c r="B533" s="38"/>
    </row>
    <row r="534" spans="2:2" x14ac:dyDescent="0.2">
      <c r="B534" s="38"/>
    </row>
    <row r="535" spans="2:2" x14ac:dyDescent="0.2">
      <c r="B535" s="38"/>
    </row>
    <row r="536" spans="2:2" x14ac:dyDescent="0.2">
      <c r="B536" s="38"/>
    </row>
    <row r="537" spans="2:2" x14ac:dyDescent="0.2">
      <c r="B537" s="38"/>
    </row>
    <row r="538" spans="2:2" x14ac:dyDescent="0.2">
      <c r="B538" s="38"/>
    </row>
    <row r="539" spans="2:2" x14ac:dyDescent="0.2">
      <c r="B539" s="38"/>
    </row>
    <row r="540" spans="2:2" x14ac:dyDescent="0.2">
      <c r="B540" s="38"/>
    </row>
    <row r="541" spans="2:2" x14ac:dyDescent="0.2">
      <c r="B541" s="38"/>
    </row>
    <row r="542" spans="2:2" x14ac:dyDescent="0.2">
      <c r="B542" s="38"/>
    </row>
    <row r="543" spans="2:2" x14ac:dyDescent="0.2">
      <c r="B543" s="38"/>
    </row>
    <row r="544" spans="2:2" x14ac:dyDescent="0.2">
      <c r="B544" s="38"/>
    </row>
    <row r="545" spans="2:2" x14ac:dyDescent="0.2">
      <c r="B545" s="38"/>
    </row>
    <row r="546" spans="2:2" x14ac:dyDescent="0.2">
      <c r="B546" s="38"/>
    </row>
    <row r="547" spans="2:2" x14ac:dyDescent="0.2">
      <c r="B547" s="38"/>
    </row>
    <row r="548" spans="2:2" x14ac:dyDescent="0.2">
      <c r="B548" s="38"/>
    </row>
    <row r="549" spans="2:2" x14ac:dyDescent="0.2">
      <c r="B549" s="38"/>
    </row>
    <row r="550" spans="2:2" x14ac:dyDescent="0.2">
      <c r="B550" s="38"/>
    </row>
    <row r="551" spans="2:2" x14ac:dyDescent="0.2">
      <c r="B551" s="38"/>
    </row>
    <row r="552" spans="2:2" x14ac:dyDescent="0.2">
      <c r="B552" s="38"/>
    </row>
    <row r="553" spans="2:2" x14ac:dyDescent="0.2">
      <c r="B553" s="38"/>
    </row>
    <row r="554" spans="2:2" x14ac:dyDescent="0.2">
      <c r="B554" s="38"/>
    </row>
    <row r="555" spans="2:2" x14ac:dyDescent="0.2">
      <c r="B555" s="38"/>
    </row>
    <row r="556" spans="2:2" x14ac:dyDescent="0.2">
      <c r="B556" s="38"/>
    </row>
    <row r="557" spans="2:2" x14ac:dyDescent="0.2">
      <c r="B557" s="38"/>
    </row>
    <row r="558" spans="2:2" x14ac:dyDescent="0.2">
      <c r="B558" s="38"/>
    </row>
    <row r="559" spans="2:2" x14ac:dyDescent="0.2">
      <c r="B559" s="38"/>
    </row>
    <row r="560" spans="2:2" x14ac:dyDescent="0.2">
      <c r="B560" s="38"/>
    </row>
    <row r="561" spans="2:2" x14ac:dyDescent="0.2">
      <c r="B561" s="38"/>
    </row>
    <row r="562" spans="2:2" x14ac:dyDescent="0.2">
      <c r="B562" s="38"/>
    </row>
    <row r="563" spans="2:2" x14ac:dyDescent="0.2">
      <c r="B563" s="38"/>
    </row>
    <row r="564" spans="2:2" x14ac:dyDescent="0.2">
      <c r="B564" s="38"/>
    </row>
    <row r="565" spans="2:2" x14ac:dyDescent="0.2">
      <c r="B565" s="38"/>
    </row>
    <row r="566" spans="2:2" x14ac:dyDescent="0.2">
      <c r="B566" s="38"/>
    </row>
    <row r="567" spans="2:2" x14ac:dyDescent="0.2">
      <c r="B567" s="38"/>
    </row>
    <row r="568" spans="2:2" x14ac:dyDescent="0.2">
      <c r="B568" s="38"/>
    </row>
    <row r="569" spans="2:2" x14ac:dyDescent="0.2">
      <c r="B569" s="38"/>
    </row>
    <row r="570" spans="2:2" x14ac:dyDescent="0.2">
      <c r="B570" s="38"/>
    </row>
    <row r="571" spans="2:2" x14ac:dyDescent="0.2">
      <c r="B571" s="38"/>
    </row>
    <row r="572" spans="2:2" x14ac:dyDescent="0.2">
      <c r="B572" s="38"/>
    </row>
    <row r="573" spans="2:2" x14ac:dyDescent="0.2">
      <c r="B573" s="38"/>
    </row>
    <row r="574" spans="2:2" x14ac:dyDescent="0.2">
      <c r="B574" s="38"/>
    </row>
    <row r="575" spans="2:2" x14ac:dyDescent="0.2">
      <c r="B575" s="38"/>
    </row>
    <row r="576" spans="2:2" x14ac:dyDescent="0.2">
      <c r="B576" s="38"/>
    </row>
    <row r="577" spans="2:2" x14ac:dyDescent="0.2">
      <c r="B577" s="38"/>
    </row>
    <row r="578" spans="2:2" x14ac:dyDescent="0.2">
      <c r="B578" s="38"/>
    </row>
    <row r="579" spans="2:2" x14ac:dyDescent="0.2">
      <c r="B579" s="38"/>
    </row>
    <row r="580" spans="2:2" x14ac:dyDescent="0.2">
      <c r="B580" s="38"/>
    </row>
    <row r="581" spans="2:2" x14ac:dyDescent="0.2">
      <c r="B581" s="38"/>
    </row>
    <row r="582" spans="2:2" x14ac:dyDescent="0.2">
      <c r="B582" s="38"/>
    </row>
    <row r="583" spans="2:2" x14ac:dyDescent="0.2">
      <c r="B583" s="38"/>
    </row>
    <row r="584" spans="2:2" x14ac:dyDescent="0.2">
      <c r="B584" s="38"/>
    </row>
    <row r="585" spans="2:2" x14ac:dyDescent="0.2">
      <c r="B585" s="38"/>
    </row>
    <row r="586" spans="2:2" x14ac:dyDescent="0.2">
      <c r="B586" s="38"/>
    </row>
    <row r="587" spans="2:2" x14ac:dyDescent="0.2">
      <c r="B587" s="38"/>
    </row>
    <row r="588" spans="2:2" x14ac:dyDescent="0.2">
      <c r="B588" s="38"/>
    </row>
    <row r="589" spans="2:2" x14ac:dyDescent="0.2">
      <c r="B589" s="38"/>
    </row>
    <row r="590" spans="2:2" x14ac:dyDescent="0.2">
      <c r="B590" s="38"/>
    </row>
    <row r="591" spans="2:2" x14ac:dyDescent="0.2">
      <c r="B591" s="38"/>
    </row>
    <row r="592" spans="2:2" x14ac:dyDescent="0.2">
      <c r="B592" s="38"/>
    </row>
    <row r="593" spans="2:2" x14ac:dyDescent="0.2">
      <c r="B593" s="38"/>
    </row>
    <row r="594" spans="2:2" x14ac:dyDescent="0.2">
      <c r="B594" s="38"/>
    </row>
    <row r="595" spans="2:2" x14ac:dyDescent="0.2">
      <c r="B595" s="38"/>
    </row>
    <row r="596" spans="2:2" x14ac:dyDescent="0.2">
      <c r="B596" s="38"/>
    </row>
    <row r="597" spans="2:2" x14ac:dyDescent="0.2">
      <c r="B597" s="38"/>
    </row>
    <row r="598" spans="2:2" x14ac:dyDescent="0.2">
      <c r="B598" s="38"/>
    </row>
    <row r="599" spans="2:2" x14ac:dyDescent="0.2">
      <c r="B599" s="38"/>
    </row>
    <row r="600" spans="2:2" x14ac:dyDescent="0.2">
      <c r="B600" s="38"/>
    </row>
    <row r="601" spans="2:2" x14ac:dyDescent="0.2">
      <c r="B601" s="38"/>
    </row>
    <row r="602" spans="2:2" x14ac:dyDescent="0.2">
      <c r="B602" s="38"/>
    </row>
    <row r="603" spans="2:2" x14ac:dyDescent="0.2">
      <c r="B603" s="38"/>
    </row>
    <row r="604" spans="2:2" x14ac:dyDescent="0.2">
      <c r="B604" s="38"/>
    </row>
    <row r="605" spans="2:2" x14ac:dyDescent="0.2">
      <c r="B605" s="38"/>
    </row>
    <row r="606" spans="2:2" x14ac:dyDescent="0.2">
      <c r="B606" s="38"/>
    </row>
    <row r="607" spans="2:2" x14ac:dyDescent="0.2">
      <c r="B607" s="38"/>
    </row>
    <row r="608" spans="2:2" x14ac:dyDescent="0.2">
      <c r="B608" s="38"/>
    </row>
    <row r="609" spans="2:2" x14ac:dyDescent="0.2">
      <c r="B609" s="38"/>
    </row>
    <row r="610" spans="2:2" x14ac:dyDescent="0.2">
      <c r="B610" s="38"/>
    </row>
    <row r="611" spans="2:2" x14ac:dyDescent="0.2">
      <c r="B611" s="38"/>
    </row>
    <row r="612" spans="2:2" x14ac:dyDescent="0.2">
      <c r="B612" s="38"/>
    </row>
    <row r="613" spans="2:2" x14ac:dyDescent="0.2">
      <c r="B613" s="38"/>
    </row>
    <row r="614" spans="2:2" x14ac:dyDescent="0.2">
      <c r="B614" s="38"/>
    </row>
    <row r="615" spans="2:2" x14ac:dyDescent="0.2">
      <c r="B615" s="38"/>
    </row>
    <row r="616" spans="2:2" x14ac:dyDescent="0.2">
      <c r="B616" s="38"/>
    </row>
    <row r="617" spans="2:2" x14ac:dyDescent="0.2">
      <c r="B617" s="38"/>
    </row>
    <row r="618" spans="2:2" x14ac:dyDescent="0.2">
      <c r="B618" s="38"/>
    </row>
    <row r="619" spans="2:2" x14ac:dyDescent="0.2">
      <c r="B619" s="38"/>
    </row>
    <row r="620" spans="2:2" x14ac:dyDescent="0.2">
      <c r="B620" s="38"/>
    </row>
    <row r="621" spans="2:2" x14ac:dyDescent="0.2">
      <c r="B621" s="38"/>
    </row>
    <row r="622" spans="2:2" x14ac:dyDescent="0.2">
      <c r="B622" s="38"/>
    </row>
    <row r="623" spans="2:2" x14ac:dyDescent="0.2">
      <c r="B623" s="38"/>
    </row>
    <row r="624" spans="2:2" x14ac:dyDescent="0.2">
      <c r="B624" s="38"/>
    </row>
    <row r="625" spans="2:2" x14ac:dyDescent="0.2">
      <c r="B625" s="38"/>
    </row>
    <row r="626" spans="2:2" x14ac:dyDescent="0.2">
      <c r="B626" s="38"/>
    </row>
    <row r="627" spans="2:2" x14ac:dyDescent="0.2">
      <c r="B627" s="38"/>
    </row>
    <row r="628" spans="2:2" x14ac:dyDescent="0.2">
      <c r="B628" s="38"/>
    </row>
    <row r="629" spans="2:2" x14ac:dyDescent="0.2">
      <c r="B629" s="38"/>
    </row>
    <row r="630" spans="2:2" x14ac:dyDescent="0.2">
      <c r="B630" s="38"/>
    </row>
    <row r="631" spans="2:2" x14ac:dyDescent="0.2">
      <c r="B631" s="38"/>
    </row>
    <row r="632" spans="2:2" x14ac:dyDescent="0.2">
      <c r="B632" s="38"/>
    </row>
    <row r="633" spans="2:2" x14ac:dyDescent="0.2">
      <c r="B633" s="38"/>
    </row>
    <row r="634" spans="2:2" x14ac:dyDescent="0.2">
      <c r="B634" s="38"/>
    </row>
    <row r="635" spans="2:2" x14ac:dyDescent="0.2">
      <c r="B635" s="38"/>
    </row>
    <row r="636" spans="2:2" x14ac:dyDescent="0.2">
      <c r="B636" s="38"/>
    </row>
    <row r="637" spans="2:2" x14ac:dyDescent="0.2">
      <c r="B637" s="38"/>
    </row>
    <row r="638" spans="2:2" x14ac:dyDescent="0.2">
      <c r="B638" s="38"/>
    </row>
    <row r="639" spans="2:2" x14ac:dyDescent="0.2">
      <c r="B639" s="38"/>
    </row>
    <row r="640" spans="2:2" x14ac:dyDescent="0.2">
      <c r="B640" s="38"/>
    </row>
    <row r="641" spans="2:2" x14ac:dyDescent="0.2">
      <c r="B641" s="38"/>
    </row>
    <row r="642" spans="2:2" x14ac:dyDescent="0.2">
      <c r="B642" s="38"/>
    </row>
    <row r="643" spans="2:2" x14ac:dyDescent="0.2">
      <c r="B643" s="38"/>
    </row>
    <row r="644" spans="2:2" x14ac:dyDescent="0.2">
      <c r="B644" s="38"/>
    </row>
    <row r="645" spans="2:2" x14ac:dyDescent="0.2">
      <c r="B645" s="38"/>
    </row>
    <row r="646" spans="2:2" x14ac:dyDescent="0.2">
      <c r="B646" s="38"/>
    </row>
    <row r="647" spans="2:2" x14ac:dyDescent="0.2">
      <c r="B647" s="38"/>
    </row>
    <row r="648" spans="2:2" x14ac:dyDescent="0.2">
      <c r="B648" s="38"/>
    </row>
    <row r="649" spans="2:2" x14ac:dyDescent="0.2">
      <c r="B649" s="38"/>
    </row>
    <row r="650" spans="2:2" x14ac:dyDescent="0.2">
      <c r="B650" s="38"/>
    </row>
    <row r="651" spans="2:2" x14ac:dyDescent="0.2">
      <c r="B651" s="38"/>
    </row>
    <row r="652" spans="2:2" x14ac:dyDescent="0.2">
      <c r="B652" s="38"/>
    </row>
    <row r="653" spans="2:2" x14ac:dyDescent="0.2">
      <c r="B653" s="38"/>
    </row>
    <row r="654" spans="2:2" x14ac:dyDescent="0.2">
      <c r="B654" s="38"/>
    </row>
    <row r="655" spans="2:2" x14ac:dyDescent="0.2">
      <c r="B655" s="38"/>
    </row>
    <row r="656" spans="2:2" x14ac:dyDescent="0.2">
      <c r="B656" s="38"/>
    </row>
    <row r="657" spans="2:2" x14ac:dyDescent="0.2">
      <c r="B657" s="38"/>
    </row>
    <row r="658" spans="2:2" x14ac:dyDescent="0.2">
      <c r="B658" s="38"/>
    </row>
    <row r="659" spans="2:2" x14ac:dyDescent="0.2">
      <c r="B659" s="38"/>
    </row>
    <row r="660" spans="2:2" x14ac:dyDescent="0.2">
      <c r="B660" s="38"/>
    </row>
    <row r="661" spans="2:2" x14ac:dyDescent="0.2">
      <c r="B661" s="38"/>
    </row>
    <row r="662" spans="2:2" x14ac:dyDescent="0.2">
      <c r="B662" s="38"/>
    </row>
    <row r="663" spans="2:2" x14ac:dyDescent="0.2">
      <c r="B663" s="38"/>
    </row>
    <row r="664" spans="2:2" x14ac:dyDescent="0.2">
      <c r="B664" s="38"/>
    </row>
    <row r="665" spans="2:2" x14ac:dyDescent="0.2">
      <c r="B665" s="38"/>
    </row>
    <row r="666" spans="2:2" x14ac:dyDescent="0.2">
      <c r="B666" s="38"/>
    </row>
    <row r="667" spans="2:2" x14ac:dyDescent="0.2">
      <c r="B667" s="38"/>
    </row>
    <row r="668" spans="2:2" x14ac:dyDescent="0.2">
      <c r="B668" s="38"/>
    </row>
    <row r="669" spans="2:2" x14ac:dyDescent="0.2">
      <c r="B669" s="38"/>
    </row>
    <row r="670" spans="2:2" x14ac:dyDescent="0.2">
      <c r="B670" s="38"/>
    </row>
    <row r="671" spans="2:2" x14ac:dyDescent="0.2">
      <c r="B671" s="38"/>
    </row>
    <row r="672" spans="2:2" x14ac:dyDescent="0.2">
      <c r="B672" s="38"/>
    </row>
    <row r="673" spans="2:2" x14ac:dyDescent="0.2">
      <c r="B673" s="38"/>
    </row>
    <row r="674" spans="2:2" x14ac:dyDescent="0.2">
      <c r="B674" s="38"/>
    </row>
    <row r="675" spans="2:2" x14ac:dyDescent="0.2">
      <c r="B675" s="38"/>
    </row>
    <row r="676" spans="2:2" x14ac:dyDescent="0.2">
      <c r="B676" s="38"/>
    </row>
    <row r="677" spans="2:2" x14ac:dyDescent="0.2">
      <c r="B677" s="38"/>
    </row>
    <row r="678" spans="2:2" x14ac:dyDescent="0.2">
      <c r="B678" s="38"/>
    </row>
    <row r="679" spans="2:2" x14ac:dyDescent="0.2">
      <c r="B679" s="38"/>
    </row>
    <row r="680" spans="2:2" x14ac:dyDescent="0.2">
      <c r="B680" s="38"/>
    </row>
    <row r="681" spans="2:2" x14ac:dyDescent="0.2">
      <c r="B681" s="38"/>
    </row>
    <row r="682" spans="2:2" x14ac:dyDescent="0.2">
      <c r="B682" s="38"/>
    </row>
    <row r="683" spans="2:2" x14ac:dyDescent="0.2">
      <c r="B683" s="38"/>
    </row>
    <row r="684" spans="2:2" x14ac:dyDescent="0.2">
      <c r="B684" s="38"/>
    </row>
    <row r="685" spans="2:2" x14ac:dyDescent="0.2">
      <c r="B685" s="38"/>
    </row>
    <row r="686" spans="2:2" x14ac:dyDescent="0.2">
      <c r="B686" s="38"/>
    </row>
    <row r="687" spans="2:2" x14ac:dyDescent="0.2">
      <c r="B687" s="38"/>
    </row>
    <row r="688" spans="2:2" x14ac:dyDescent="0.2">
      <c r="B688" s="38"/>
    </row>
    <row r="689" spans="2:2" x14ac:dyDescent="0.2">
      <c r="B689" s="38"/>
    </row>
    <row r="690" spans="2:2" x14ac:dyDescent="0.2">
      <c r="B690" s="38"/>
    </row>
    <row r="691" spans="2:2" x14ac:dyDescent="0.2">
      <c r="B691" s="38"/>
    </row>
    <row r="692" spans="2:2" x14ac:dyDescent="0.2">
      <c r="B692" s="38"/>
    </row>
    <row r="693" spans="2:2" x14ac:dyDescent="0.2">
      <c r="B693" s="38"/>
    </row>
    <row r="694" spans="2:2" x14ac:dyDescent="0.2">
      <c r="B694" s="38"/>
    </row>
    <row r="695" spans="2:2" x14ac:dyDescent="0.2">
      <c r="B695" s="38"/>
    </row>
    <row r="696" spans="2:2" x14ac:dyDescent="0.2">
      <c r="B696" s="38"/>
    </row>
    <row r="697" spans="2:2" x14ac:dyDescent="0.2">
      <c r="B697" s="38"/>
    </row>
    <row r="698" spans="2:2" x14ac:dyDescent="0.2">
      <c r="B698" s="38"/>
    </row>
    <row r="699" spans="2:2" x14ac:dyDescent="0.2">
      <c r="B699" s="38"/>
    </row>
    <row r="700" spans="2:2" x14ac:dyDescent="0.2">
      <c r="B700" s="38"/>
    </row>
    <row r="701" spans="2:2" x14ac:dyDescent="0.2">
      <c r="B701" s="38"/>
    </row>
    <row r="702" spans="2:2" x14ac:dyDescent="0.2">
      <c r="B702" s="38"/>
    </row>
    <row r="703" spans="2:2" x14ac:dyDescent="0.2">
      <c r="B703" s="38"/>
    </row>
    <row r="704" spans="2:2" x14ac:dyDescent="0.2">
      <c r="B704" s="38"/>
    </row>
    <row r="705" spans="2:2" x14ac:dyDescent="0.2">
      <c r="B705" s="38"/>
    </row>
    <row r="706" spans="2:2" x14ac:dyDescent="0.2">
      <c r="B706" s="38"/>
    </row>
    <row r="707" spans="2:2" x14ac:dyDescent="0.2">
      <c r="B707" s="38"/>
    </row>
    <row r="708" spans="2:2" x14ac:dyDescent="0.2">
      <c r="B708" s="38"/>
    </row>
    <row r="709" spans="2:2" x14ac:dyDescent="0.2">
      <c r="B709" s="38"/>
    </row>
    <row r="710" spans="2:2" x14ac:dyDescent="0.2">
      <c r="B710" s="38"/>
    </row>
    <row r="711" spans="2:2" x14ac:dyDescent="0.2">
      <c r="B711" s="38"/>
    </row>
    <row r="712" spans="2:2" x14ac:dyDescent="0.2">
      <c r="B712" s="38"/>
    </row>
    <row r="713" spans="2:2" x14ac:dyDescent="0.2">
      <c r="B713" s="38"/>
    </row>
    <row r="714" spans="2:2" x14ac:dyDescent="0.2">
      <c r="B714" s="38"/>
    </row>
    <row r="715" spans="2:2" x14ac:dyDescent="0.2">
      <c r="B715" s="38"/>
    </row>
    <row r="716" spans="2:2" x14ac:dyDescent="0.2">
      <c r="B716" s="38"/>
    </row>
    <row r="717" spans="2:2" x14ac:dyDescent="0.2">
      <c r="B717" s="38"/>
    </row>
    <row r="718" spans="2:2" x14ac:dyDescent="0.2">
      <c r="B718" s="38"/>
    </row>
    <row r="719" spans="2:2" x14ac:dyDescent="0.2">
      <c r="B719" s="38"/>
    </row>
    <row r="720" spans="2:2" x14ac:dyDescent="0.2">
      <c r="B720" s="38"/>
    </row>
    <row r="721" spans="2:2" x14ac:dyDescent="0.2">
      <c r="B721" s="38"/>
    </row>
    <row r="722" spans="2:2" x14ac:dyDescent="0.2">
      <c r="B722" s="38"/>
    </row>
    <row r="723" spans="2:2" x14ac:dyDescent="0.2">
      <c r="B723" s="38"/>
    </row>
    <row r="724" spans="2:2" x14ac:dyDescent="0.2">
      <c r="B724" s="38"/>
    </row>
    <row r="725" spans="2:2" x14ac:dyDescent="0.2">
      <c r="B725" s="38"/>
    </row>
    <row r="726" spans="2:2" x14ac:dyDescent="0.2">
      <c r="B726" s="38"/>
    </row>
    <row r="727" spans="2:2" x14ac:dyDescent="0.2">
      <c r="B727" s="38"/>
    </row>
    <row r="728" spans="2:2" x14ac:dyDescent="0.2">
      <c r="B728" s="38"/>
    </row>
    <row r="729" spans="2:2" x14ac:dyDescent="0.2">
      <c r="B729" s="38"/>
    </row>
    <row r="730" spans="2:2" x14ac:dyDescent="0.2">
      <c r="B730" s="38"/>
    </row>
    <row r="731" spans="2:2" x14ac:dyDescent="0.2">
      <c r="B731" s="38"/>
    </row>
    <row r="732" spans="2:2" x14ac:dyDescent="0.2">
      <c r="B732" s="38"/>
    </row>
    <row r="733" spans="2:2" x14ac:dyDescent="0.2">
      <c r="B733" s="38"/>
    </row>
    <row r="734" spans="2:2" x14ac:dyDescent="0.2">
      <c r="B734" s="38"/>
    </row>
    <row r="735" spans="2:2" x14ac:dyDescent="0.2">
      <c r="B735" s="38"/>
    </row>
    <row r="736" spans="2:2" x14ac:dyDescent="0.2">
      <c r="B736" s="38"/>
    </row>
    <row r="737" spans="2:2" x14ac:dyDescent="0.2">
      <c r="B737" s="38"/>
    </row>
    <row r="738" spans="2:2" x14ac:dyDescent="0.2">
      <c r="B738" s="38"/>
    </row>
    <row r="739" spans="2:2" x14ac:dyDescent="0.2">
      <c r="B739" s="38"/>
    </row>
    <row r="740" spans="2:2" x14ac:dyDescent="0.2">
      <c r="B740" s="38"/>
    </row>
    <row r="741" spans="2:2" x14ac:dyDescent="0.2">
      <c r="B741" s="38"/>
    </row>
    <row r="742" spans="2:2" x14ac:dyDescent="0.2">
      <c r="B742" s="38"/>
    </row>
    <row r="743" spans="2:2" x14ac:dyDescent="0.2">
      <c r="B743" s="38"/>
    </row>
    <row r="744" spans="2:2" x14ac:dyDescent="0.2">
      <c r="B744" s="38"/>
    </row>
    <row r="745" spans="2:2" x14ac:dyDescent="0.2">
      <c r="B745" s="38"/>
    </row>
    <row r="746" spans="2:2" x14ac:dyDescent="0.2">
      <c r="B746" s="38"/>
    </row>
    <row r="747" spans="2:2" x14ac:dyDescent="0.2">
      <c r="B747" s="38"/>
    </row>
    <row r="748" spans="2:2" x14ac:dyDescent="0.2">
      <c r="B748" s="38"/>
    </row>
    <row r="749" spans="2:2" x14ac:dyDescent="0.2">
      <c r="B749" s="38"/>
    </row>
    <row r="750" spans="2:2" x14ac:dyDescent="0.2">
      <c r="B750" s="38"/>
    </row>
    <row r="751" spans="2:2" x14ac:dyDescent="0.2">
      <c r="B751" s="38"/>
    </row>
    <row r="752" spans="2:2" x14ac:dyDescent="0.2">
      <c r="B752" s="38"/>
    </row>
    <row r="753" spans="2:2" x14ac:dyDescent="0.2">
      <c r="B753" s="38"/>
    </row>
    <row r="754" spans="2:2" x14ac:dyDescent="0.2">
      <c r="B754" s="38"/>
    </row>
    <row r="755" spans="2:2" x14ac:dyDescent="0.2">
      <c r="B755" s="38"/>
    </row>
    <row r="756" spans="2:2" x14ac:dyDescent="0.2">
      <c r="B756" s="38"/>
    </row>
    <row r="757" spans="2:2" x14ac:dyDescent="0.2">
      <c r="B757" s="38"/>
    </row>
    <row r="758" spans="2:2" x14ac:dyDescent="0.2">
      <c r="B758" s="38"/>
    </row>
    <row r="759" spans="2:2" x14ac:dyDescent="0.2">
      <c r="B759" s="38"/>
    </row>
    <row r="760" spans="2:2" x14ac:dyDescent="0.2">
      <c r="B760" s="38"/>
    </row>
    <row r="761" spans="2:2" x14ac:dyDescent="0.2">
      <c r="B761" s="38"/>
    </row>
    <row r="762" spans="2:2" x14ac:dyDescent="0.2">
      <c r="B762" s="38"/>
    </row>
    <row r="763" spans="2:2" x14ac:dyDescent="0.2">
      <c r="B763" s="38"/>
    </row>
    <row r="764" spans="2:2" x14ac:dyDescent="0.2">
      <c r="B764" s="38"/>
    </row>
    <row r="765" spans="2:2" x14ac:dyDescent="0.2">
      <c r="B765" s="38"/>
    </row>
    <row r="766" spans="2:2" x14ac:dyDescent="0.2">
      <c r="B766" s="38"/>
    </row>
    <row r="767" spans="2:2" x14ac:dyDescent="0.2">
      <c r="B767" s="38"/>
    </row>
    <row r="768" spans="2:2" x14ac:dyDescent="0.2">
      <c r="B768" s="38"/>
    </row>
    <row r="769" spans="2:2" x14ac:dyDescent="0.2">
      <c r="B769" s="38"/>
    </row>
    <row r="770" spans="2:2" x14ac:dyDescent="0.2">
      <c r="B770" s="38"/>
    </row>
    <row r="771" spans="2:2" x14ac:dyDescent="0.2">
      <c r="B771" s="38"/>
    </row>
    <row r="772" spans="2:2" x14ac:dyDescent="0.2">
      <c r="B772" s="38"/>
    </row>
    <row r="773" spans="2:2" x14ac:dyDescent="0.2">
      <c r="B773" s="38"/>
    </row>
    <row r="774" spans="2:2" x14ac:dyDescent="0.2">
      <c r="B774" s="38"/>
    </row>
    <row r="775" spans="2:2" x14ac:dyDescent="0.2">
      <c r="B775" s="38"/>
    </row>
    <row r="776" spans="2:2" x14ac:dyDescent="0.2">
      <c r="B776" s="38"/>
    </row>
    <row r="777" spans="2:2" x14ac:dyDescent="0.2">
      <c r="B777" s="38"/>
    </row>
    <row r="778" spans="2:2" x14ac:dyDescent="0.2">
      <c r="B778" s="38"/>
    </row>
    <row r="779" spans="2:2" x14ac:dyDescent="0.2">
      <c r="B779" s="38"/>
    </row>
    <row r="780" spans="2:2" x14ac:dyDescent="0.2">
      <c r="B780" s="38"/>
    </row>
    <row r="781" spans="2:2" x14ac:dyDescent="0.2">
      <c r="B781" s="38"/>
    </row>
    <row r="782" spans="2:2" x14ac:dyDescent="0.2">
      <c r="B782" s="38"/>
    </row>
    <row r="783" spans="2:2" x14ac:dyDescent="0.2">
      <c r="B783" s="38"/>
    </row>
    <row r="784" spans="2:2" x14ac:dyDescent="0.2">
      <c r="B784" s="38"/>
    </row>
    <row r="785" spans="2:2" x14ac:dyDescent="0.2">
      <c r="B785" s="38"/>
    </row>
    <row r="786" spans="2:2" x14ac:dyDescent="0.2">
      <c r="B786" s="38"/>
    </row>
    <row r="787" spans="2:2" x14ac:dyDescent="0.2">
      <c r="B787" s="38"/>
    </row>
    <row r="788" spans="2:2" x14ac:dyDescent="0.2">
      <c r="B788" s="38"/>
    </row>
    <row r="789" spans="2:2" x14ac:dyDescent="0.2">
      <c r="B789" s="38"/>
    </row>
    <row r="790" spans="2:2" x14ac:dyDescent="0.2">
      <c r="B790" s="38"/>
    </row>
    <row r="791" spans="2:2" x14ac:dyDescent="0.2">
      <c r="B791" s="38"/>
    </row>
    <row r="792" spans="2:2" x14ac:dyDescent="0.2">
      <c r="B792" s="38"/>
    </row>
    <row r="793" spans="2:2" x14ac:dyDescent="0.2">
      <c r="B793" s="38"/>
    </row>
    <row r="794" spans="2:2" x14ac:dyDescent="0.2">
      <c r="B794" s="38"/>
    </row>
    <row r="795" spans="2:2" x14ac:dyDescent="0.2">
      <c r="B795" s="38"/>
    </row>
    <row r="796" spans="2:2" x14ac:dyDescent="0.2">
      <c r="B796" s="38"/>
    </row>
    <row r="797" spans="2:2" x14ac:dyDescent="0.2">
      <c r="B797" s="38"/>
    </row>
    <row r="798" spans="2:2" x14ac:dyDescent="0.2">
      <c r="B798" s="38"/>
    </row>
    <row r="799" spans="2:2" x14ac:dyDescent="0.2">
      <c r="B799" s="38"/>
    </row>
    <row r="800" spans="2:2" x14ac:dyDescent="0.2">
      <c r="B800" s="38"/>
    </row>
    <row r="801" spans="2:2" x14ac:dyDescent="0.2">
      <c r="B801" s="38"/>
    </row>
    <row r="802" spans="2:2" x14ac:dyDescent="0.2">
      <c r="B802" s="38"/>
    </row>
    <row r="803" spans="2:2" x14ac:dyDescent="0.2">
      <c r="B803" s="38"/>
    </row>
    <row r="804" spans="2:2" x14ac:dyDescent="0.2">
      <c r="B804" s="38"/>
    </row>
    <row r="805" spans="2:2" x14ac:dyDescent="0.2">
      <c r="B805" s="38"/>
    </row>
    <row r="806" spans="2:2" x14ac:dyDescent="0.2">
      <c r="B806" s="38"/>
    </row>
    <row r="807" spans="2:2" x14ac:dyDescent="0.2">
      <c r="B807" s="38"/>
    </row>
    <row r="808" spans="2:2" x14ac:dyDescent="0.2">
      <c r="B808" s="38"/>
    </row>
    <row r="809" spans="2:2" x14ac:dyDescent="0.2">
      <c r="B809" s="38"/>
    </row>
    <row r="810" spans="2:2" x14ac:dyDescent="0.2">
      <c r="B810" s="38"/>
    </row>
    <row r="811" spans="2:2" x14ac:dyDescent="0.2">
      <c r="B811" s="38"/>
    </row>
    <row r="812" spans="2:2" x14ac:dyDescent="0.2">
      <c r="B812" s="38"/>
    </row>
    <row r="813" spans="2:2" x14ac:dyDescent="0.2">
      <c r="B813" s="38"/>
    </row>
    <row r="814" spans="2:2" x14ac:dyDescent="0.2">
      <c r="B814" s="38"/>
    </row>
    <row r="815" spans="2:2" x14ac:dyDescent="0.2">
      <c r="B815" s="38"/>
    </row>
    <row r="816" spans="2:2" x14ac:dyDescent="0.2">
      <c r="B816" s="38"/>
    </row>
    <row r="817" spans="2:2" x14ac:dyDescent="0.2">
      <c r="B817" s="38"/>
    </row>
    <row r="818" spans="2:2" x14ac:dyDescent="0.2">
      <c r="B818" s="38"/>
    </row>
    <row r="819" spans="2:2" x14ac:dyDescent="0.2">
      <c r="B819" s="38"/>
    </row>
    <row r="820" spans="2:2" x14ac:dyDescent="0.2">
      <c r="B820" s="38"/>
    </row>
    <row r="821" spans="2:2" x14ac:dyDescent="0.2">
      <c r="B821" s="38"/>
    </row>
    <row r="822" spans="2:2" x14ac:dyDescent="0.2">
      <c r="B822" s="38"/>
    </row>
    <row r="823" spans="2:2" x14ac:dyDescent="0.2">
      <c r="B823" s="38"/>
    </row>
    <row r="824" spans="2:2" x14ac:dyDescent="0.2">
      <c r="B824" s="38"/>
    </row>
    <row r="825" spans="2:2" x14ac:dyDescent="0.2">
      <c r="B825" s="38"/>
    </row>
    <row r="826" spans="2:2" x14ac:dyDescent="0.2">
      <c r="B826" s="38"/>
    </row>
    <row r="827" spans="2:2" x14ac:dyDescent="0.2">
      <c r="B827" s="38"/>
    </row>
    <row r="828" spans="2:2" x14ac:dyDescent="0.2">
      <c r="B828" s="38"/>
    </row>
    <row r="829" spans="2:2" x14ac:dyDescent="0.2">
      <c r="B829" s="38"/>
    </row>
    <row r="830" spans="2:2" x14ac:dyDescent="0.2">
      <c r="B830" s="38"/>
    </row>
    <row r="831" spans="2:2" x14ac:dyDescent="0.2">
      <c r="B831" s="38"/>
    </row>
    <row r="832" spans="2:2" x14ac:dyDescent="0.2">
      <c r="B832" s="38"/>
    </row>
    <row r="833" spans="2:2" x14ac:dyDescent="0.2">
      <c r="B833" s="38"/>
    </row>
    <row r="834" spans="2:2" x14ac:dyDescent="0.2">
      <c r="B834" s="38"/>
    </row>
    <row r="835" spans="2:2" x14ac:dyDescent="0.2">
      <c r="B835" s="38"/>
    </row>
    <row r="836" spans="2:2" x14ac:dyDescent="0.2">
      <c r="B836" s="38"/>
    </row>
    <row r="837" spans="2:2" x14ac:dyDescent="0.2">
      <c r="B837" s="38"/>
    </row>
    <row r="838" spans="2:2" x14ac:dyDescent="0.2">
      <c r="B838" s="38"/>
    </row>
    <row r="839" spans="2:2" x14ac:dyDescent="0.2">
      <c r="B839" s="38"/>
    </row>
    <row r="840" spans="2:2" x14ac:dyDescent="0.2">
      <c r="B840" s="38"/>
    </row>
    <row r="841" spans="2:2" x14ac:dyDescent="0.2">
      <c r="B841" s="38"/>
    </row>
    <row r="842" spans="2:2" x14ac:dyDescent="0.2">
      <c r="B842" s="38"/>
    </row>
    <row r="843" spans="2:2" x14ac:dyDescent="0.2">
      <c r="B843" s="38"/>
    </row>
    <row r="844" spans="2:2" x14ac:dyDescent="0.2">
      <c r="B844" s="38"/>
    </row>
    <row r="845" spans="2:2" x14ac:dyDescent="0.2">
      <c r="B845" s="38"/>
    </row>
    <row r="846" spans="2:2" x14ac:dyDescent="0.2">
      <c r="B846" s="38"/>
    </row>
    <row r="847" spans="2:2" x14ac:dyDescent="0.2">
      <c r="B847" s="38"/>
    </row>
    <row r="848" spans="2:2" x14ac:dyDescent="0.2">
      <c r="B848" s="38"/>
    </row>
    <row r="849" spans="2:2" x14ac:dyDescent="0.2">
      <c r="B849" s="38"/>
    </row>
    <row r="850" spans="2:2" x14ac:dyDescent="0.2">
      <c r="B850" s="38"/>
    </row>
    <row r="851" spans="2:2" x14ac:dyDescent="0.2">
      <c r="B851" s="38"/>
    </row>
    <row r="852" spans="2:2" x14ac:dyDescent="0.2">
      <c r="B852" s="38"/>
    </row>
    <row r="853" spans="2:2" x14ac:dyDescent="0.2">
      <c r="B853" s="38"/>
    </row>
    <row r="854" spans="2:2" x14ac:dyDescent="0.2">
      <c r="B854" s="38"/>
    </row>
    <row r="855" spans="2:2" x14ac:dyDescent="0.2">
      <c r="B855" s="38"/>
    </row>
    <row r="856" spans="2:2" x14ac:dyDescent="0.2">
      <c r="B856" s="38"/>
    </row>
    <row r="857" spans="2:2" x14ac:dyDescent="0.2">
      <c r="B857" s="38"/>
    </row>
    <row r="858" spans="2:2" x14ac:dyDescent="0.2">
      <c r="B858" s="38"/>
    </row>
    <row r="859" spans="2:2" x14ac:dyDescent="0.2">
      <c r="B859" s="38"/>
    </row>
    <row r="860" spans="2:2" x14ac:dyDescent="0.2">
      <c r="B860" s="38"/>
    </row>
    <row r="861" spans="2:2" x14ac:dyDescent="0.2">
      <c r="B861" s="38"/>
    </row>
    <row r="862" spans="2:2" x14ac:dyDescent="0.2">
      <c r="B862" s="38"/>
    </row>
    <row r="863" spans="2:2" x14ac:dyDescent="0.2">
      <c r="B863" s="38"/>
    </row>
    <row r="864" spans="2:2" x14ac:dyDescent="0.2">
      <c r="B864" s="38"/>
    </row>
    <row r="865" spans="2:2" x14ac:dyDescent="0.2">
      <c r="B865" s="38"/>
    </row>
    <row r="866" spans="2:2" x14ac:dyDescent="0.2">
      <c r="B866" s="38"/>
    </row>
    <row r="867" spans="2:2" x14ac:dyDescent="0.2">
      <c r="B867" s="38"/>
    </row>
    <row r="868" spans="2:2" x14ac:dyDescent="0.2">
      <c r="B868" s="38"/>
    </row>
    <row r="869" spans="2:2" x14ac:dyDescent="0.2">
      <c r="B869" s="38"/>
    </row>
    <row r="870" spans="2:2" x14ac:dyDescent="0.2">
      <c r="B870" s="38"/>
    </row>
    <row r="871" spans="2:2" x14ac:dyDescent="0.2">
      <c r="B871" s="38"/>
    </row>
    <row r="872" spans="2:2" x14ac:dyDescent="0.2">
      <c r="B872" s="38"/>
    </row>
    <row r="873" spans="2:2" x14ac:dyDescent="0.2">
      <c r="B873" s="38"/>
    </row>
    <row r="874" spans="2:2" x14ac:dyDescent="0.2">
      <c r="B874" s="38"/>
    </row>
    <row r="875" spans="2:2" x14ac:dyDescent="0.2">
      <c r="B875" s="38"/>
    </row>
    <row r="876" spans="2:2" x14ac:dyDescent="0.2">
      <c r="B876" s="38"/>
    </row>
    <row r="877" spans="2:2" x14ac:dyDescent="0.2">
      <c r="B877" s="38"/>
    </row>
    <row r="878" spans="2:2" x14ac:dyDescent="0.2">
      <c r="B878" s="38"/>
    </row>
    <row r="879" spans="2:2" x14ac:dyDescent="0.2">
      <c r="B879" s="38"/>
    </row>
    <row r="880" spans="2:2" x14ac:dyDescent="0.2">
      <c r="B880" s="38"/>
    </row>
    <row r="881" spans="2:2" x14ac:dyDescent="0.2">
      <c r="B881" s="38"/>
    </row>
    <row r="882" spans="2:2" x14ac:dyDescent="0.2">
      <c r="B882" s="38"/>
    </row>
    <row r="883" spans="2:2" x14ac:dyDescent="0.2">
      <c r="B883" s="38"/>
    </row>
    <row r="884" spans="2:2" x14ac:dyDescent="0.2">
      <c r="B884" s="38"/>
    </row>
    <row r="885" spans="2:2" x14ac:dyDescent="0.2">
      <c r="B885" s="38"/>
    </row>
    <row r="886" spans="2:2" x14ac:dyDescent="0.2">
      <c r="B886" s="38"/>
    </row>
    <row r="887" spans="2:2" x14ac:dyDescent="0.2">
      <c r="B887" s="38"/>
    </row>
    <row r="888" spans="2:2" x14ac:dyDescent="0.2">
      <c r="B888" s="38"/>
    </row>
    <row r="889" spans="2:2" x14ac:dyDescent="0.2">
      <c r="B889" s="38"/>
    </row>
    <row r="890" spans="2:2" x14ac:dyDescent="0.2">
      <c r="B890" s="38"/>
    </row>
    <row r="891" spans="2:2" x14ac:dyDescent="0.2">
      <c r="B891" s="38"/>
    </row>
    <row r="892" spans="2:2" x14ac:dyDescent="0.2">
      <c r="B892" s="38"/>
    </row>
    <row r="893" spans="2:2" x14ac:dyDescent="0.2">
      <c r="B893" s="38"/>
    </row>
    <row r="894" spans="2:2" x14ac:dyDescent="0.2">
      <c r="B894" s="38"/>
    </row>
    <row r="895" spans="2:2" x14ac:dyDescent="0.2">
      <c r="B895" s="38"/>
    </row>
    <row r="896" spans="2:2" x14ac:dyDescent="0.2">
      <c r="B896" s="38"/>
    </row>
    <row r="897" spans="2:2" x14ac:dyDescent="0.2">
      <c r="B897" s="38"/>
    </row>
    <row r="898" spans="2:2" x14ac:dyDescent="0.2">
      <c r="B898" s="38"/>
    </row>
    <row r="899" spans="2:2" x14ac:dyDescent="0.2">
      <c r="B899" s="38"/>
    </row>
    <row r="900" spans="2:2" x14ac:dyDescent="0.2">
      <c r="B900" s="38"/>
    </row>
    <row r="901" spans="2:2" x14ac:dyDescent="0.2">
      <c r="B901" s="38"/>
    </row>
    <row r="902" spans="2:2" x14ac:dyDescent="0.2">
      <c r="B902" s="38"/>
    </row>
    <row r="903" spans="2:2" x14ac:dyDescent="0.2">
      <c r="B903" s="38"/>
    </row>
    <row r="904" spans="2:2" x14ac:dyDescent="0.2">
      <c r="B904" s="38"/>
    </row>
    <row r="905" spans="2:2" x14ac:dyDescent="0.2">
      <c r="B905" s="38"/>
    </row>
    <row r="906" spans="2:2" x14ac:dyDescent="0.2">
      <c r="B906" s="38"/>
    </row>
    <row r="907" spans="2:2" x14ac:dyDescent="0.2">
      <c r="B907" s="38"/>
    </row>
    <row r="908" spans="2:2" x14ac:dyDescent="0.2">
      <c r="B908" s="38"/>
    </row>
    <row r="909" spans="2:2" x14ac:dyDescent="0.2">
      <c r="B909" s="38"/>
    </row>
    <row r="910" spans="2:2" x14ac:dyDescent="0.2">
      <c r="B910" s="38"/>
    </row>
    <row r="911" spans="2:2" x14ac:dyDescent="0.2">
      <c r="B911" s="38"/>
    </row>
    <row r="912" spans="2:2" x14ac:dyDescent="0.2">
      <c r="B912" s="38"/>
    </row>
    <row r="913" spans="2:2" x14ac:dyDescent="0.2">
      <c r="B913" s="38"/>
    </row>
    <row r="914" spans="2:2" x14ac:dyDescent="0.2">
      <c r="B914" s="38"/>
    </row>
    <row r="915" spans="2:2" x14ac:dyDescent="0.2">
      <c r="B915" s="38"/>
    </row>
    <row r="916" spans="2:2" x14ac:dyDescent="0.2">
      <c r="B916" s="38"/>
    </row>
    <row r="917" spans="2:2" x14ac:dyDescent="0.2">
      <c r="B917" s="38"/>
    </row>
    <row r="918" spans="2:2" x14ac:dyDescent="0.2">
      <c r="B918" s="38"/>
    </row>
    <row r="919" spans="2:2" x14ac:dyDescent="0.2">
      <c r="B919" s="38"/>
    </row>
    <row r="920" spans="2:2" x14ac:dyDescent="0.2">
      <c r="B920" s="38"/>
    </row>
    <row r="921" spans="2:2" x14ac:dyDescent="0.2">
      <c r="B921" s="38"/>
    </row>
    <row r="922" spans="2:2" x14ac:dyDescent="0.2">
      <c r="B922" s="38"/>
    </row>
    <row r="923" spans="2:2" x14ac:dyDescent="0.2">
      <c r="B923" s="38"/>
    </row>
    <row r="924" spans="2:2" x14ac:dyDescent="0.2">
      <c r="B924" s="38"/>
    </row>
    <row r="925" spans="2:2" x14ac:dyDescent="0.2">
      <c r="B925" s="38"/>
    </row>
    <row r="926" spans="2:2" x14ac:dyDescent="0.2">
      <c r="B926" s="38"/>
    </row>
    <row r="927" spans="2:2" x14ac:dyDescent="0.2">
      <c r="B927" s="38"/>
    </row>
    <row r="928" spans="2:2" x14ac:dyDescent="0.2">
      <c r="B928" s="38"/>
    </row>
    <row r="929" spans="2:2" x14ac:dyDescent="0.2">
      <c r="B929" s="38"/>
    </row>
    <row r="930" spans="2:2" x14ac:dyDescent="0.2">
      <c r="B930" s="38"/>
    </row>
    <row r="931" spans="2:2" x14ac:dyDescent="0.2">
      <c r="B931" s="38"/>
    </row>
    <row r="932" spans="2:2" x14ac:dyDescent="0.2">
      <c r="B932" s="38"/>
    </row>
    <row r="933" spans="2:2" x14ac:dyDescent="0.2">
      <c r="B933" s="38"/>
    </row>
    <row r="934" spans="2:2" x14ac:dyDescent="0.2">
      <c r="B934" s="38"/>
    </row>
    <row r="935" spans="2:2" x14ac:dyDescent="0.2">
      <c r="B935" s="38"/>
    </row>
    <row r="936" spans="2:2" x14ac:dyDescent="0.2">
      <c r="B936" s="38"/>
    </row>
    <row r="937" spans="2:2" x14ac:dyDescent="0.2">
      <c r="B937" s="38"/>
    </row>
    <row r="938" spans="2:2" x14ac:dyDescent="0.2">
      <c r="B938" s="38"/>
    </row>
    <row r="939" spans="2:2" x14ac:dyDescent="0.2">
      <c r="B939" s="38"/>
    </row>
    <row r="940" spans="2:2" x14ac:dyDescent="0.2">
      <c r="B940" s="38"/>
    </row>
    <row r="941" spans="2:2" x14ac:dyDescent="0.2">
      <c r="B941" s="38"/>
    </row>
    <row r="942" spans="2:2" x14ac:dyDescent="0.2">
      <c r="B942" s="38"/>
    </row>
    <row r="943" spans="2:2" x14ac:dyDescent="0.2">
      <c r="B943" s="38"/>
    </row>
    <row r="944" spans="2:2" x14ac:dyDescent="0.2">
      <c r="B944" s="38"/>
    </row>
    <row r="945" spans="2:2" x14ac:dyDescent="0.2">
      <c r="B945" s="38"/>
    </row>
    <row r="946" spans="2:2" x14ac:dyDescent="0.2">
      <c r="B946" s="38"/>
    </row>
    <row r="947" spans="2:2" x14ac:dyDescent="0.2">
      <c r="B947" s="38"/>
    </row>
    <row r="948" spans="2:2" x14ac:dyDescent="0.2">
      <c r="B948" s="38"/>
    </row>
    <row r="949" spans="2:2" x14ac:dyDescent="0.2">
      <c r="B949" s="38"/>
    </row>
    <row r="950" spans="2:2" x14ac:dyDescent="0.2">
      <c r="B950" s="38"/>
    </row>
    <row r="951" spans="2:2" x14ac:dyDescent="0.2">
      <c r="B951" s="38"/>
    </row>
    <row r="952" spans="2:2" x14ac:dyDescent="0.2">
      <c r="B952" s="38"/>
    </row>
    <row r="953" spans="2:2" x14ac:dyDescent="0.2">
      <c r="B953" s="38"/>
    </row>
    <row r="954" spans="2:2" x14ac:dyDescent="0.2">
      <c r="B954" s="38"/>
    </row>
    <row r="955" spans="2:2" x14ac:dyDescent="0.2">
      <c r="B955" s="38"/>
    </row>
    <row r="956" spans="2:2" x14ac:dyDescent="0.2">
      <c r="B956" s="38"/>
    </row>
    <row r="957" spans="2:2" x14ac:dyDescent="0.2">
      <c r="B957" s="38"/>
    </row>
    <row r="958" spans="2:2" x14ac:dyDescent="0.2">
      <c r="B958" s="38"/>
    </row>
    <row r="959" spans="2:2" x14ac:dyDescent="0.2">
      <c r="B959" s="38"/>
    </row>
    <row r="960" spans="2:2" x14ac:dyDescent="0.2">
      <c r="B960" s="38"/>
    </row>
    <row r="961" spans="2:2" x14ac:dyDescent="0.2">
      <c r="B961" s="38"/>
    </row>
    <row r="962" spans="2:2" x14ac:dyDescent="0.2">
      <c r="B962" s="38"/>
    </row>
    <row r="963" spans="2:2" x14ac:dyDescent="0.2">
      <c r="B963" s="38"/>
    </row>
    <row r="964" spans="2:2" x14ac:dyDescent="0.2">
      <c r="B964" s="38"/>
    </row>
    <row r="965" spans="2:2" x14ac:dyDescent="0.2">
      <c r="B965" s="38"/>
    </row>
    <row r="966" spans="2:2" x14ac:dyDescent="0.2">
      <c r="B966" s="38"/>
    </row>
    <row r="967" spans="2:2" x14ac:dyDescent="0.2">
      <c r="B967" s="38"/>
    </row>
    <row r="968" spans="2:2" x14ac:dyDescent="0.2">
      <c r="B968" s="38"/>
    </row>
    <row r="969" spans="2:2" x14ac:dyDescent="0.2">
      <c r="B969" s="38"/>
    </row>
    <row r="970" spans="2:2" x14ac:dyDescent="0.2">
      <c r="B970" s="38"/>
    </row>
    <row r="971" spans="2:2" x14ac:dyDescent="0.2">
      <c r="B971" s="38"/>
    </row>
    <row r="972" spans="2:2" x14ac:dyDescent="0.2">
      <c r="B972" s="38"/>
    </row>
    <row r="973" spans="2:2" x14ac:dyDescent="0.2">
      <c r="B973" s="38"/>
    </row>
    <row r="974" spans="2:2" x14ac:dyDescent="0.2">
      <c r="B974" s="38"/>
    </row>
    <row r="975" spans="2:2" x14ac:dyDescent="0.2">
      <c r="B975" s="38"/>
    </row>
    <row r="976" spans="2:2" x14ac:dyDescent="0.2">
      <c r="B976" s="38"/>
    </row>
    <row r="977" spans="2:2" x14ac:dyDescent="0.2">
      <c r="B977" s="38"/>
    </row>
    <row r="978" spans="2:2" x14ac:dyDescent="0.2">
      <c r="B978" s="38"/>
    </row>
    <row r="979" spans="2:2" x14ac:dyDescent="0.2">
      <c r="B979" s="38"/>
    </row>
    <row r="980" spans="2:2" x14ac:dyDescent="0.2">
      <c r="B980" s="38"/>
    </row>
    <row r="981" spans="2:2" x14ac:dyDescent="0.2">
      <c r="B981" s="38"/>
    </row>
    <row r="982" spans="2:2" x14ac:dyDescent="0.2">
      <c r="B982" s="38"/>
    </row>
    <row r="983" spans="2:2" x14ac:dyDescent="0.2">
      <c r="B983" s="38"/>
    </row>
    <row r="984" spans="2:2" x14ac:dyDescent="0.2">
      <c r="B984" s="38"/>
    </row>
    <row r="985" spans="2:2" x14ac:dyDescent="0.2">
      <c r="B985" s="38"/>
    </row>
    <row r="986" spans="2:2" x14ac:dyDescent="0.2">
      <c r="B986" s="38"/>
    </row>
    <row r="987" spans="2:2" x14ac:dyDescent="0.2">
      <c r="B987" s="38"/>
    </row>
    <row r="988" spans="2:2" x14ac:dyDescent="0.2">
      <c r="B988" s="38"/>
    </row>
    <row r="989" spans="2:2" x14ac:dyDescent="0.2">
      <c r="B989" s="38"/>
    </row>
    <row r="990" spans="2:2" x14ac:dyDescent="0.2">
      <c r="B990" s="38"/>
    </row>
    <row r="991" spans="2:2" x14ac:dyDescent="0.2">
      <c r="B991" s="38"/>
    </row>
    <row r="992" spans="2:2" x14ac:dyDescent="0.2">
      <c r="B992" s="38"/>
    </row>
    <row r="993" spans="2:2" x14ac:dyDescent="0.2">
      <c r="B993" s="38"/>
    </row>
    <row r="994" spans="2:2" x14ac:dyDescent="0.2">
      <c r="B994" s="38"/>
    </row>
    <row r="995" spans="2:2" x14ac:dyDescent="0.2">
      <c r="B995" s="38"/>
    </row>
    <row r="996" spans="2:2" x14ac:dyDescent="0.2">
      <c r="B996" s="38"/>
    </row>
    <row r="997" spans="2:2" x14ac:dyDescent="0.2">
      <c r="B997" s="38"/>
    </row>
    <row r="998" spans="2:2" x14ac:dyDescent="0.2">
      <c r="B998" s="38"/>
    </row>
    <row r="999" spans="2:2" x14ac:dyDescent="0.2">
      <c r="B999" s="38"/>
    </row>
    <row r="1000" spans="2:2" x14ac:dyDescent="0.2">
      <c r="B1000" s="38"/>
    </row>
    <row r="1001" spans="2:2" x14ac:dyDescent="0.2">
      <c r="B1001" s="38"/>
    </row>
    <row r="1002" spans="2:2" x14ac:dyDescent="0.2">
      <c r="B1002" s="38"/>
    </row>
    <row r="1003" spans="2:2" x14ac:dyDescent="0.2">
      <c r="B1003" s="38"/>
    </row>
    <row r="1004" spans="2:2" x14ac:dyDescent="0.2">
      <c r="B1004" s="38"/>
    </row>
    <row r="1005" spans="2:2" x14ac:dyDescent="0.2">
      <c r="B1005" s="38"/>
    </row>
    <row r="1006" spans="2:2" x14ac:dyDescent="0.2">
      <c r="B1006" s="38"/>
    </row>
    <row r="1007" spans="2:2" x14ac:dyDescent="0.2">
      <c r="B1007" s="38"/>
    </row>
    <row r="1008" spans="2:2" x14ac:dyDescent="0.2">
      <c r="B1008" s="38"/>
    </row>
    <row r="1009" spans="2:2" x14ac:dyDescent="0.2">
      <c r="B1009" s="38"/>
    </row>
    <row r="1010" spans="2:2" x14ac:dyDescent="0.2">
      <c r="B1010" s="38"/>
    </row>
    <row r="1011" spans="2:2" x14ac:dyDescent="0.2">
      <c r="B1011" s="38"/>
    </row>
    <row r="1012" spans="2:2" x14ac:dyDescent="0.2">
      <c r="B1012" s="38"/>
    </row>
    <row r="1013" spans="2:2" x14ac:dyDescent="0.2">
      <c r="B1013" s="38"/>
    </row>
    <row r="1014" spans="2:2" x14ac:dyDescent="0.2">
      <c r="B1014" s="38"/>
    </row>
    <row r="1015" spans="2:2" x14ac:dyDescent="0.2">
      <c r="B1015" s="38"/>
    </row>
    <row r="1016" spans="2:2" x14ac:dyDescent="0.2">
      <c r="B1016" s="38"/>
    </row>
    <row r="1017" spans="2:2" x14ac:dyDescent="0.2">
      <c r="B1017" s="38"/>
    </row>
    <row r="1018" spans="2:2" x14ac:dyDescent="0.2">
      <c r="B1018" s="38"/>
    </row>
    <row r="1019" spans="2:2" x14ac:dyDescent="0.2">
      <c r="B1019" s="38"/>
    </row>
    <row r="1020" spans="2:2" x14ac:dyDescent="0.2">
      <c r="B1020" s="38"/>
    </row>
    <row r="1021" spans="2:2" x14ac:dyDescent="0.2">
      <c r="B1021" s="38"/>
    </row>
    <row r="1022" spans="2:2" x14ac:dyDescent="0.2">
      <c r="B1022" s="38"/>
    </row>
    <row r="1023" spans="2:2" x14ac:dyDescent="0.2">
      <c r="B1023" s="38"/>
    </row>
    <row r="1024" spans="2:2" x14ac:dyDescent="0.2">
      <c r="B1024" s="38"/>
    </row>
    <row r="1025" spans="2:2" x14ac:dyDescent="0.2">
      <c r="B1025" s="38"/>
    </row>
    <row r="1026" spans="2:2" x14ac:dyDescent="0.2">
      <c r="B1026" s="38"/>
    </row>
    <row r="1027" spans="2:2" x14ac:dyDescent="0.2">
      <c r="B1027" s="38"/>
    </row>
    <row r="1028" spans="2:2" x14ac:dyDescent="0.2">
      <c r="B1028" s="38"/>
    </row>
    <row r="1029" spans="2:2" x14ac:dyDescent="0.2">
      <c r="B1029" s="38"/>
    </row>
    <row r="1030" spans="2:2" x14ac:dyDescent="0.2">
      <c r="B1030" s="38"/>
    </row>
    <row r="1031" spans="2:2" x14ac:dyDescent="0.2">
      <c r="B1031" s="38"/>
    </row>
    <row r="1032" spans="2:2" x14ac:dyDescent="0.2">
      <c r="B1032" s="38"/>
    </row>
    <row r="1033" spans="2:2" x14ac:dyDescent="0.2">
      <c r="B1033" s="38"/>
    </row>
    <row r="1034" spans="2:2" x14ac:dyDescent="0.2">
      <c r="B1034" s="38"/>
    </row>
    <row r="1035" spans="2:2" x14ac:dyDescent="0.2">
      <c r="B1035" s="38"/>
    </row>
    <row r="1036" spans="2:2" x14ac:dyDescent="0.2">
      <c r="B1036" s="38"/>
    </row>
    <row r="1037" spans="2:2" x14ac:dyDescent="0.2">
      <c r="B1037" s="38"/>
    </row>
    <row r="1038" spans="2:2" x14ac:dyDescent="0.2">
      <c r="B1038" s="38"/>
    </row>
    <row r="1039" spans="2:2" x14ac:dyDescent="0.2">
      <c r="B1039" s="38"/>
    </row>
    <row r="1040" spans="2:2" x14ac:dyDescent="0.2">
      <c r="B1040" s="38"/>
    </row>
    <row r="1041" spans="2:2" x14ac:dyDescent="0.2">
      <c r="B1041" s="38"/>
    </row>
    <row r="1042" spans="2:2" x14ac:dyDescent="0.2">
      <c r="B1042" s="38"/>
    </row>
    <row r="1043" spans="2:2" x14ac:dyDescent="0.2">
      <c r="B1043" s="38"/>
    </row>
    <row r="1044" spans="2:2" x14ac:dyDescent="0.2">
      <c r="B1044" s="38"/>
    </row>
    <row r="1045" spans="2:2" x14ac:dyDescent="0.2">
      <c r="B1045" s="38"/>
    </row>
    <row r="1046" spans="2:2" x14ac:dyDescent="0.2">
      <c r="B1046" s="38"/>
    </row>
    <row r="1047" spans="2:2" x14ac:dyDescent="0.2">
      <c r="B1047" s="38"/>
    </row>
    <row r="1048" spans="2:2" x14ac:dyDescent="0.2">
      <c r="B1048" s="38"/>
    </row>
    <row r="1049" spans="2:2" x14ac:dyDescent="0.2">
      <c r="B1049" s="38"/>
    </row>
    <row r="1050" spans="2:2" x14ac:dyDescent="0.2">
      <c r="B1050" s="38"/>
    </row>
    <row r="1051" spans="2:2" x14ac:dyDescent="0.2">
      <c r="B1051" s="38"/>
    </row>
    <row r="1052" spans="2:2" x14ac:dyDescent="0.2">
      <c r="B1052" s="38"/>
    </row>
    <row r="1053" spans="2:2" x14ac:dyDescent="0.2">
      <c r="B1053" s="38"/>
    </row>
    <row r="1054" spans="2:2" x14ac:dyDescent="0.2">
      <c r="B1054" s="38"/>
    </row>
    <row r="1055" spans="2:2" x14ac:dyDescent="0.2">
      <c r="B1055" s="38"/>
    </row>
    <row r="1056" spans="2:2" x14ac:dyDescent="0.2">
      <c r="B1056" s="38"/>
    </row>
    <row r="1057" spans="2:2" x14ac:dyDescent="0.2">
      <c r="B1057" s="38"/>
    </row>
    <row r="1058" spans="2:2" x14ac:dyDescent="0.2">
      <c r="B1058" s="38"/>
    </row>
    <row r="1059" spans="2:2" x14ac:dyDescent="0.2">
      <c r="B1059" s="38"/>
    </row>
    <row r="1060" spans="2:2" x14ac:dyDescent="0.2">
      <c r="B1060" s="38"/>
    </row>
    <row r="1061" spans="2:2" x14ac:dyDescent="0.2">
      <c r="B1061" s="38"/>
    </row>
    <row r="1062" spans="2:2" x14ac:dyDescent="0.2">
      <c r="B1062" s="38"/>
    </row>
    <row r="1063" spans="2:2" x14ac:dyDescent="0.2">
      <c r="B1063" s="38"/>
    </row>
    <row r="1064" spans="2:2" x14ac:dyDescent="0.2">
      <c r="B1064" s="38"/>
    </row>
    <row r="1065" spans="2:2" x14ac:dyDescent="0.2">
      <c r="B1065" s="38"/>
    </row>
    <row r="1066" spans="2:2" x14ac:dyDescent="0.2">
      <c r="B1066" s="38"/>
    </row>
    <row r="1067" spans="2:2" x14ac:dyDescent="0.2">
      <c r="B1067" s="38"/>
    </row>
    <row r="1068" spans="2:2" x14ac:dyDescent="0.2">
      <c r="B1068" s="38"/>
    </row>
    <row r="1069" spans="2:2" x14ac:dyDescent="0.2">
      <c r="B1069" s="38"/>
    </row>
    <row r="1070" spans="2:2" x14ac:dyDescent="0.2">
      <c r="B1070" s="38"/>
    </row>
    <row r="1071" spans="2:2" x14ac:dyDescent="0.2">
      <c r="B1071" s="38"/>
    </row>
    <row r="1072" spans="2:2" x14ac:dyDescent="0.2">
      <c r="B1072" s="38"/>
    </row>
    <row r="1073" spans="2:2" x14ac:dyDescent="0.2">
      <c r="B1073" s="38"/>
    </row>
    <row r="1074" spans="2:2" x14ac:dyDescent="0.2">
      <c r="B1074" s="38"/>
    </row>
    <row r="1075" spans="2:2" x14ac:dyDescent="0.2">
      <c r="B1075" s="38"/>
    </row>
    <row r="1076" spans="2:2" x14ac:dyDescent="0.2">
      <c r="B1076" s="38"/>
    </row>
    <row r="1077" spans="2:2" x14ac:dyDescent="0.2">
      <c r="B1077" s="38"/>
    </row>
    <row r="1078" spans="2:2" x14ac:dyDescent="0.2">
      <c r="B1078" s="38"/>
    </row>
    <row r="1079" spans="2:2" x14ac:dyDescent="0.2">
      <c r="B1079" s="38"/>
    </row>
    <row r="1080" spans="2:2" x14ac:dyDescent="0.2">
      <c r="B1080" s="38"/>
    </row>
    <row r="1081" spans="2:2" x14ac:dyDescent="0.2">
      <c r="B1081" s="38"/>
    </row>
    <row r="1082" spans="2:2" x14ac:dyDescent="0.2">
      <c r="B1082" s="38"/>
    </row>
    <row r="1083" spans="2:2" x14ac:dyDescent="0.2">
      <c r="B1083" s="38"/>
    </row>
    <row r="1084" spans="2:2" x14ac:dyDescent="0.2">
      <c r="B1084" s="38"/>
    </row>
    <row r="1085" spans="2:2" x14ac:dyDescent="0.2">
      <c r="B1085" s="38"/>
    </row>
    <row r="1086" spans="2:2" x14ac:dyDescent="0.2">
      <c r="B1086" s="38"/>
    </row>
    <row r="1087" spans="2:2" x14ac:dyDescent="0.2">
      <c r="B1087" s="38"/>
    </row>
    <row r="1088" spans="2:2" x14ac:dyDescent="0.2">
      <c r="B1088" s="38"/>
    </row>
    <row r="1089" spans="2:2" x14ac:dyDescent="0.2">
      <c r="B1089" s="38"/>
    </row>
    <row r="1090" spans="2:2" x14ac:dyDescent="0.2">
      <c r="B1090" s="38"/>
    </row>
    <row r="1091" spans="2:2" x14ac:dyDescent="0.2">
      <c r="B1091" s="38"/>
    </row>
    <row r="1092" spans="2:2" x14ac:dyDescent="0.2">
      <c r="B1092" s="38"/>
    </row>
    <row r="1093" spans="2:2" x14ac:dyDescent="0.2">
      <c r="B1093" s="38"/>
    </row>
    <row r="1094" spans="2:2" x14ac:dyDescent="0.2">
      <c r="B1094" s="38"/>
    </row>
    <row r="1095" spans="2:2" x14ac:dyDescent="0.2">
      <c r="B1095" s="38"/>
    </row>
    <row r="1096" spans="2:2" x14ac:dyDescent="0.2">
      <c r="B1096" s="38"/>
    </row>
    <row r="1097" spans="2:2" x14ac:dyDescent="0.2">
      <c r="B1097" s="38"/>
    </row>
    <row r="1098" spans="2:2" x14ac:dyDescent="0.2">
      <c r="B1098" s="38"/>
    </row>
    <row r="1099" spans="2:2" x14ac:dyDescent="0.2">
      <c r="B1099" s="38"/>
    </row>
    <row r="1100" spans="2:2" x14ac:dyDescent="0.2">
      <c r="B1100" s="38"/>
    </row>
    <row r="1101" spans="2:2" x14ac:dyDescent="0.2">
      <c r="B1101" s="38"/>
    </row>
    <row r="1102" spans="2:2" x14ac:dyDescent="0.2">
      <c r="B1102" s="38"/>
    </row>
    <row r="1103" spans="2:2" x14ac:dyDescent="0.2">
      <c r="B1103" s="38"/>
    </row>
    <row r="1104" spans="2:2" x14ac:dyDescent="0.2">
      <c r="B1104" s="38"/>
    </row>
    <row r="1105" spans="2:2" x14ac:dyDescent="0.2">
      <c r="B1105" s="38"/>
    </row>
    <row r="1106" spans="2:2" x14ac:dyDescent="0.2">
      <c r="B1106" s="38"/>
    </row>
    <row r="1107" spans="2:2" x14ac:dyDescent="0.2">
      <c r="B1107" s="38"/>
    </row>
    <row r="1108" spans="2:2" x14ac:dyDescent="0.2">
      <c r="B1108" s="38"/>
    </row>
    <row r="1109" spans="2:2" x14ac:dyDescent="0.2">
      <c r="B1109" s="38"/>
    </row>
    <row r="1110" spans="2:2" x14ac:dyDescent="0.2">
      <c r="B1110" s="38"/>
    </row>
    <row r="1111" spans="2:2" x14ac:dyDescent="0.2">
      <c r="B1111" s="38"/>
    </row>
    <row r="1112" spans="2:2" x14ac:dyDescent="0.2">
      <c r="B1112" s="38"/>
    </row>
    <row r="1113" spans="2:2" x14ac:dyDescent="0.2">
      <c r="B1113" s="38"/>
    </row>
    <row r="1114" spans="2:2" x14ac:dyDescent="0.2">
      <c r="B1114" s="38"/>
    </row>
    <row r="1115" spans="2:2" x14ac:dyDescent="0.2">
      <c r="B1115" s="38"/>
    </row>
    <row r="1116" spans="2:2" x14ac:dyDescent="0.2">
      <c r="B1116" s="38"/>
    </row>
    <row r="1117" spans="2:2" x14ac:dyDescent="0.2">
      <c r="B1117" s="38"/>
    </row>
    <row r="1118" spans="2:2" x14ac:dyDescent="0.2">
      <c r="B1118" s="38"/>
    </row>
    <row r="1119" spans="2:2" x14ac:dyDescent="0.2">
      <c r="B1119" s="38"/>
    </row>
    <row r="1120" spans="2:2" x14ac:dyDescent="0.2">
      <c r="B1120" s="38"/>
    </row>
    <row r="1121" spans="2:2" x14ac:dyDescent="0.2">
      <c r="B1121" s="38"/>
    </row>
    <row r="1122" spans="2:2" x14ac:dyDescent="0.2">
      <c r="B1122" s="38"/>
    </row>
    <row r="1123" spans="2:2" x14ac:dyDescent="0.2">
      <c r="B1123" s="38"/>
    </row>
    <row r="1124" spans="2:2" x14ac:dyDescent="0.2">
      <c r="B1124" s="38"/>
    </row>
    <row r="1125" spans="2:2" x14ac:dyDescent="0.2">
      <c r="B1125" s="38"/>
    </row>
    <row r="1126" spans="2:2" x14ac:dyDescent="0.2">
      <c r="B1126" s="38"/>
    </row>
    <row r="1127" spans="2:2" x14ac:dyDescent="0.2">
      <c r="B1127" s="38"/>
    </row>
    <row r="1128" spans="2:2" x14ac:dyDescent="0.2">
      <c r="B1128" s="38"/>
    </row>
    <row r="1129" spans="2:2" x14ac:dyDescent="0.2">
      <c r="B1129" s="38"/>
    </row>
    <row r="1130" spans="2:2" x14ac:dyDescent="0.2">
      <c r="B1130" s="38"/>
    </row>
    <row r="1131" spans="2:2" x14ac:dyDescent="0.2">
      <c r="B1131" s="38"/>
    </row>
    <row r="1132" spans="2:2" x14ac:dyDescent="0.2">
      <c r="B1132" s="38"/>
    </row>
    <row r="1133" spans="2:2" x14ac:dyDescent="0.2">
      <c r="B1133" s="38"/>
    </row>
    <row r="1134" spans="2:2" x14ac:dyDescent="0.2">
      <c r="B1134" s="38"/>
    </row>
    <row r="1135" spans="2:2" x14ac:dyDescent="0.2">
      <c r="B1135" s="38"/>
    </row>
    <row r="1136" spans="2:2" x14ac:dyDescent="0.2">
      <c r="B1136" s="38"/>
    </row>
    <row r="1137" spans="2:2" x14ac:dyDescent="0.2">
      <c r="B1137" s="38"/>
    </row>
    <row r="1138" spans="2:2" x14ac:dyDescent="0.2">
      <c r="B1138" s="38"/>
    </row>
    <row r="1139" spans="2:2" x14ac:dyDescent="0.2">
      <c r="B1139" s="38"/>
    </row>
    <row r="1140" spans="2:2" x14ac:dyDescent="0.2">
      <c r="B1140" s="38"/>
    </row>
    <row r="1141" spans="2:2" x14ac:dyDescent="0.2">
      <c r="B1141" s="38"/>
    </row>
    <row r="1142" spans="2:2" x14ac:dyDescent="0.2">
      <c r="B1142" s="38"/>
    </row>
    <row r="1143" spans="2:2" x14ac:dyDescent="0.2">
      <c r="B1143" s="38"/>
    </row>
    <row r="1144" spans="2:2" x14ac:dyDescent="0.2">
      <c r="B1144" s="38"/>
    </row>
    <row r="1145" spans="2:2" x14ac:dyDescent="0.2">
      <c r="B1145" s="38"/>
    </row>
    <row r="1146" spans="2:2" x14ac:dyDescent="0.2">
      <c r="B1146" s="38"/>
    </row>
    <row r="1147" spans="2:2" x14ac:dyDescent="0.2">
      <c r="B1147" s="38"/>
    </row>
    <row r="1148" spans="2:2" x14ac:dyDescent="0.2">
      <c r="B1148" s="38"/>
    </row>
    <row r="1149" spans="2:2" x14ac:dyDescent="0.2">
      <c r="B1149" s="38"/>
    </row>
    <row r="1150" spans="2:2" x14ac:dyDescent="0.2">
      <c r="B1150" s="38"/>
    </row>
    <row r="1151" spans="2:2" x14ac:dyDescent="0.2">
      <c r="B1151" s="38"/>
    </row>
    <row r="1152" spans="2:2" x14ac:dyDescent="0.2">
      <c r="B1152" s="38"/>
    </row>
    <row r="1153" spans="2:2" x14ac:dyDescent="0.2">
      <c r="B1153" s="38"/>
    </row>
    <row r="1154" spans="2:2" x14ac:dyDescent="0.2">
      <c r="B1154" s="38"/>
    </row>
    <row r="1155" spans="2:2" x14ac:dyDescent="0.2">
      <c r="B1155" s="38"/>
    </row>
    <row r="1156" spans="2:2" x14ac:dyDescent="0.2">
      <c r="B1156" s="38"/>
    </row>
    <row r="1157" spans="2:2" x14ac:dyDescent="0.2">
      <c r="B1157" s="38"/>
    </row>
    <row r="1158" spans="2:2" x14ac:dyDescent="0.2">
      <c r="B1158" s="38"/>
    </row>
    <row r="1159" spans="2:2" x14ac:dyDescent="0.2">
      <c r="B1159" s="38"/>
    </row>
    <row r="1160" spans="2:2" x14ac:dyDescent="0.2">
      <c r="B1160" s="38"/>
    </row>
    <row r="1161" spans="2:2" x14ac:dyDescent="0.2">
      <c r="B1161" s="38"/>
    </row>
    <row r="1162" spans="2:2" x14ac:dyDescent="0.2">
      <c r="B1162" s="38"/>
    </row>
    <row r="1163" spans="2:2" x14ac:dyDescent="0.2">
      <c r="B1163" s="38"/>
    </row>
    <row r="1164" spans="2:2" x14ac:dyDescent="0.2">
      <c r="B1164" s="38"/>
    </row>
    <row r="1165" spans="2:2" x14ac:dyDescent="0.2">
      <c r="B1165" s="38"/>
    </row>
    <row r="1166" spans="2:2" x14ac:dyDescent="0.2">
      <c r="B1166" s="38"/>
    </row>
    <row r="1167" spans="2:2" x14ac:dyDescent="0.2">
      <c r="B1167" s="38"/>
    </row>
    <row r="1168" spans="2:2" x14ac:dyDescent="0.2">
      <c r="B1168" s="38"/>
    </row>
    <row r="1169" spans="2:2" x14ac:dyDescent="0.2">
      <c r="B1169" s="38"/>
    </row>
    <row r="1170" spans="2:2" x14ac:dyDescent="0.2">
      <c r="B1170" s="38"/>
    </row>
    <row r="1171" spans="2:2" x14ac:dyDescent="0.2">
      <c r="B1171" s="38"/>
    </row>
    <row r="1172" spans="2:2" x14ac:dyDescent="0.2">
      <c r="B1172" s="38"/>
    </row>
    <row r="1173" spans="2:2" x14ac:dyDescent="0.2">
      <c r="B1173" s="38"/>
    </row>
    <row r="1174" spans="2:2" x14ac:dyDescent="0.2">
      <c r="B1174" s="38"/>
    </row>
    <row r="1175" spans="2:2" x14ac:dyDescent="0.2">
      <c r="B1175" s="38"/>
    </row>
    <row r="1176" spans="2:2" x14ac:dyDescent="0.2">
      <c r="B1176" s="38"/>
    </row>
    <row r="1177" spans="2:2" x14ac:dyDescent="0.2">
      <c r="B1177" s="38"/>
    </row>
    <row r="1178" spans="2:2" x14ac:dyDescent="0.2">
      <c r="B1178" s="38"/>
    </row>
    <row r="1179" spans="2:2" x14ac:dyDescent="0.2">
      <c r="B1179" s="38"/>
    </row>
    <row r="1180" spans="2:2" x14ac:dyDescent="0.2">
      <c r="B1180" s="38"/>
    </row>
    <row r="1181" spans="2:2" x14ac:dyDescent="0.2">
      <c r="B1181" s="38"/>
    </row>
    <row r="1182" spans="2:2" x14ac:dyDescent="0.2">
      <c r="B1182" s="38"/>
    </row>
    <row r="1183" spans="2:2" x14ac:dyDescent="0.2">
      <c r="B1183" s="38"/>
    </row>
    <row r="1184" spans="2:2" x14ac:dyDescent="0.2">
      <c r="B1184" s="38"/>
    </row>
    <row r="1185" spans="2:2" x14ac:dyDescent="0.2">
      <c r="B1185" s="38"/>
    </row>
    <row r="1186" spans="2:2" x14ac:dyDescent="0.2">
      <c r="B1186" s="38"/>
    </row>
    <row r="1187" spans="2:2" x14ac:dyDescent="0.2">
      <c r="B1187" s="38"/>
    </row>
    <row r="1188" spans="2:2" x14ac:dyDescent="0.2">
      <c r="B1188" s="38"/>
    </row>
    <row r="1189" spans="2:2" x14ac:dyDescent="0.2">
      <c r="B1189" s="38"/>
    </row>
    <row r="1190" spans="2:2" x14ac:dyDescent="0.2">
      <c r="B1190" s="38"/>
    </row>
    <row r="1191" spans="2:2" x14ac:dyDescent="0.2">
      <c r="B1191" s="38"/>
    </row>
    <row r="1192" spans="2:2" x14ac:dyDescent="0.2">
      <c r="B1192" s="38"/>
    </row>
    <row r="1193" spans="2:2" x14ac:dyDescent="0.2">
      <c r="B1193" s="38"/>
    </row>
    <row r="1194" spans="2:2" x14ac:dyDescent="0.2">
      <c r="B1194" s="38"/>
    </row>
    <row r="1195" spans="2:2" x14ac:dyDescent="0.2">
      <c r="B1195" s="38"/>
    </row>
    <row r="1196" spans="2:2" x14ac:dyDescent="0.2">
      <c r="B1196" s="38"/>
    </row>
    <row r="1197" spans="2:2" x14ac:dyDescent="0.2">
      <c r="B1197" s="38"/>
    </row>
    <row r="1198" spans="2:2" x14ac:dyDescent="0.2">
      <c r="B1198" s="38"/>
    </row>
    <row r="1199" spans="2:2" x14ac:dyDescent="0.2">
      <c r="B1199" s="38"/>
    </row>
    <row r="1200" spans="2:2" x14ac:dyDescent="0.2">
      <c r="B1200" s="38"/>
    </row>
    <row r="1201" spans="2:2" x14ac:dyDescent="0.2">
      <c r="B1201" s="38"/>
    </row>
    <row r="1202" spans="2:2" x14ac:dyDescent="0.2">
      <c r="B1202" s="38"/>
    </row>
    <row r="1203" spans="2:2" x14ac:dyDescent="0.2">
      <c r="B1203" s="38"/>
    </row>
    <row r="1204" spans="2:2" x14ac:dyDescent="0.2">
      <c r="B1204" s="38"/>
    </row>
    <row r="1205" spans="2:2" x14ac:dyDescent="0.2">
      <c r="B1205" s="38"/>
    </row>
    <row r="1206" spans="2:2" x14ac:dyDescent="0.2">
      <c r="B1206" s="38"/>
    </row>
    <row r="1207" spans="2:2" x14ac:dyDescent="0.2">
      <c r="B1207" s="38"/>
    </row>
    <row r="1208" spans="2:2" x14ac:dyDescent="0.2">
      <c r="B1208" s="38"/>
    </row>
    <row r="1209" spans="2:2" x14ac:dyDescent="0.2">
      <c r="B1209" s="38"/>
    </row>
    <row r="1210" spans="2:2" x14ac:dyDescent="0.2">
      <c r="B1210" s="38"/>
    </row>
    <row r="1211" spans="2:2" x14ac:dyDescent="0.2">
      <c r="B1211" s="38"/>
    </row>
    <row r="1212" spans="2:2" x14ac:dyDescent="0.2">
      <c r="B1212" s="38"/>
    </row>
    <row r="1213" spans="2:2" x14ac:dyDescent="0.2">
      <c r="B1213" s="38"/>
    </row>
    <row r="1214" spans="2:2" x14ac:dyDescent="0.2">
      <c r="B1214" s="38"/>
    </row>
    <row r="1215" spans="2:2" x14ac:dyDescent="0.2">
      <c r="B1215" s="38"/>
    </row>
    <row r="1216" spans="2:2" x14ac:dyDescent="0.2">
      <c r="B1216" s="38"/>
    </row>
    <row r="1217" spans="2:2" x14ac:dyDescent="0.2">
      <c r="B1217" s="38"/>
    </row>
    <row r="1218" spans="2:2" x14ac:dyDescent="0.2">
      <c r="B1218" s="38"/>
    </row>
    <row r="1219" spans="2:2" x14ac:dyDescent="0.2">
      <c r="B1219" s="38"/>
    </row>
    <row r="1220" spans="2:2" x14ac:dyDescent="0.2">
      <c r="B1220" s="38"/>
    </row>
    <row r="1221" spans="2:2" x14ac:dyDescent="0.2">
      <c r="B1221" s="38"/>
    </row>
    <row r="1222" spans="2:2" x14ac:dyDescent="0.2">
      <c r="B1222" s="38"/>
    </row>
    <row r="1223" spans="2:2" x14ac:dyDescent="0.2">
      <c r="B1223" s="38"/>
    </row>
    <row r="1224" spans="2:2" x14ac:dyDescent="0.2">
      <c r="B1224" s="38"/>
    </row>
    <row r="1225" spans="2:2" x14ac:dyDescent="0.2">
      <c r="B1225" s="38"/>
    </row>
    <row r="1226" spans="2:2" x14ac:dyDescent="0.2">
      <c r="B1226" s="38"/>
    </row>
    <row r="1227" spans="2:2" x14ac:dyDescent="0.2">
      <c r="B1227" s="38"/>
    </row>
    <row r="1228" spans="2:2" x14ac:dyDescent="0.2">
      <c r="B1228" s="38"/>
    </row>
    <row r="1229" spans="2:2" x14ac:dyDescent="0.2">
      <c r="B1229" s="38"/>
    </row>
    <row r="1230" spans="2:2" x14ac:dyDescent="0.2">
      <c r="B1230" s="38"/>
    </row>
    <row r="1231" spans="2:2" x14ac:dyDescent="0.2">
      <c r="B1231" s="38"/>
    </row>
    <row r="1232" spans="2:2" x14ac:dyDescent="0.2">
      <c r="B1232" s="38"/>
    </row>
    <row r="1233" spans="2:2" x14ac:dyDescent="0.2">
      <c r="B1233" s="38"/>
    </row>
    <row r="1234" spans="2:2" x14ac:dyDescent="0.2">
      <c r="B1234" s="38"/>
    </row>
    <row r="1235" spans="2:2" x14ac:dyDescent="0.2">
      <c r="B1235" s="38"/>
    </row>
    <row r="1236" spans="2:2" x14ac:dyDescent="0.2">
      <c r="B1236" s="38"/>
    </row>
    <row r="1237" spans="2:2" x14ac:dyDescent="0.2">
      <c r="B1237" s="38"/>
    </row>
    <row r="1238" spans="2:2" x14ac:dyDescent="0.2">
      <c r="B1238" s="38"/>
    </row>
    <row r="1239" spans="2:2" x14ac:dyDescent="0.2">
      <c r="B1239" s="38"/>
    </row>
    <row r="1240" spans="2:2" x14ac:dyDescent="0.2">
      <c r="B1240" s="38"/>
    </row>
    <row r="1241" spans="2:2" x14ac:dyDescent="0.2">
      <c r="B1241" s="38"/>
    </row>
    <row r="1242" spans="2:2" x14ac:dyDescent="0.2">
      <c r="B1242" s="38"/>
    </row>
    <row r="1243" spans="2:2" x14ac:dyDescent="0.2">
      <c r="B1243" s="38"/>
    </row>
    <row r="1244" spans="2:2" x14ac:dyDescent="0.2">
      <c r="B1244" s="38"/>
    </row>
    <row r="1245" spans="2:2" x14ac:dyDescent="0.2">
      <c r="B1245" s="38"/>
    </row>
    <row r="1246" spans="2:2" x14ac:dyDescent="0.2">
      <c r="B1246" s="38"/>
    </row>
    <row r="1247" spans="2:2" x14ac:dyDescent="0.2">
      <c r="B1247" s="38"/>
    </row>
    <row r="1248" spans="2:2" x14ac:dyDescent="0.2">
      <c r="B1248" s="38"/>
    </row>
    <row r="1249" spans="2:2" x14ac:dyDescent="0.2">
      <c r="B1249" s="38"/>
    </row>
    <row r="1250" spans="2:2" x14ac:dyDescent="0.2">
      <c r="B1250" s="38"/>
    </row>
    <row r="1251" spans="2:2" x14ac:dyDescent="0.2">
      <c r="B1251" s="38"/>
    </row>
    <row r="1252" spans="2:2" x14ac:dyDescent="0.2">
      <c r="B1252" s="38"/>
    </row>
    <row r="1253" spans="2:2" x14ac:dyDescent="0.2">
      <c r="B1253" s="38"/>
    </row>
    <row r="1254" spans="2:2" x14ac:dyDescent="0.2">
      <c r="B1254" s="38"/>
    </row>
    <row r="1255" spans="2:2" x14ac:dyDescent="0.2">
      <c r="B1255" s="38"/>
    </row>
    <row r="1256" spans="2:2" x14ac:dyDescent="0.2">
      <c r="B1256" s="38"/>
    </row>
    <row r="1257" spans="2:2" x14ac:dyDescent="0.2">
      <c r="B1257" s="38"/>
    </row>
    <row r="1258" spans="2:2" x14ac:dyDescent="0.2">
      <c r="B1258" s="38"/>
    </row>
    <row r="1259" spans="2:2" x14ac:dyDescent="0.2">
      <c r="B1259" s="38"/>
    </row>
    <row r="1260" spans="2:2" x14ac:dyDescent="0.2">
      <c r="B1260" s="38"/>
    </row>
    <row r="1261" spans="2:2" x14ac:dyDescent="0.2">
      <c r="B1261" s="38"/>
    </row>
    <row r="1262" spans="2:2" x14ac:dyDescent="0.2">
      <c r="B1262" s="38"/>
    </row>
    <row r="1263" spans="2:2" x14ac:dyDescent="0.2">
      <c r="B1263" s="38"/>
    </row>
    <row r="1264" spans="2:2" x14ac:dyDescent="0.2">
      <c r="B1264" s="38"/>
    </row>
    <row r="1265" spans="2:2" x14ac:dyDescent="0.2">
      <c r="B1265" s="38"/>
    </row>
    <row r="1266" spans="2:2" x14ac:dyDescent="0.2">
      <c r="B1266" s="38"/>
    </row>
    <row r="1267" spans="2:2" x14ac:dyDescent="0.2">
      <c r="B1267" s="38"/>
    </row>
    <row r="1268" spans="2:2" x14ac:dyDescent="0.2">
      <c r="B1268" s="38"/>
    </row>
    <row r="1269" spans="2:2" x14ac:dyDescent="0.2">
      <c r="B1269" s="38"/>
    </row>
    <row r="1270" spans="2:2" x14ac:dyDescent="0.2">
      <c r="B1270" s="38"/>
    </row>
    <row r="1271" spans="2:2" x14ac:dyDescent="0.2">
      <c r="B1271" s="38"/>
    </row>
    <row r="1272" spans="2:2" x14ac:dyDescent="0.2">
      <c r="B1272" s="38"/>
    </row>
    <row r="1273" spans="2:2" x14ac:dyDescent="0.2">
      <c r="B1273" s="38"/>
    </row>
    <row r="1274" spans="2:2" x14ac:dyDescent="0.2">
      <c r="B1274" s="38"/>
    </row>
    <row r="1275" spans="2:2" x14ac:dyDescent="0.2">
      <c r="B1275" s="38"/>
    </row>
    <row r="1276" spans="2:2" x14ac:dyDescent="0.2">
      <c r="B1276" s="38"/>
    </row>
    <row r="1277" spans="2:2" x14ac:dyDescent="0.2">
      <c r="B1277" s="38"/>
    </row>
    <row r="1278" spans="2:2" x14ac:dyDescent="0.2">
      <c r="B1278" s="38"/>
    </row>
    <row r="1279" spans="2:2" x14ac:dyDescent="0.2">
      <c r="B1279" s="38"/>
    </row>
    <row r="1280" spans="2:2" x14ac:dyDescent="0.2">
      <c r="B1280" s="38"/>
    </row>
    <row r="1281" spans="2:2" x14ac:dyDescent="0.2">
      <c r="B1281" s="38"/>
    </row>
    <row r="1282" spans="2:2" x14ac:dyDescent="0.2">
      <c r="B1282" s="38"/>
    </row>
    <row r="1283" spans="2:2" x14ac:dyDescent="0.2">
      <c r="B1283" s="38"/>
    </row>
    <row r="1284" spans="2:2" x14ac:dyDescent="0.2">
      <c r="B1284" s="38"/>
    </row>
    <row r="1285" spans="2:2" x14ac:dyDescent="0.2">
      <c r="B1285" s="38"/>
    </row>
    <row r="1286" spans="2:2" x14ac:dyDescent="0.2">
      <c r="B1286" s="38"/>
    </row>
    <row r="1287" spans="2:2" x14ac:dyDescent="0.2">
      <c r="B1287" s="38"/>
    </row>
    <row r="1288" spans="2:2" x14ac:dyDescent="0.2">
      <c r="B1288" s="38"/>
    </row>
    <row r="1289" spans="2:2" x14ac:dyDescent="0.2">
      <c r="B1289" s="38"/>
    </row>
    <row r="1290" spans="2:2" x14ac:dyDescent="0.2">
      <c r="B1290" s="38"/>
    </row>
    <row r="1291" spans="2:2" x14ac:dyDescent="0.2">
      <c r="B1291" s="38"/>
    </row>
    <row r="1292" spans="2:2" x14ac:dyDescent="0.2">
      <c r="B1292" s="38"/>
    </row>
    <row r="1293" spans="2:2" x14ac:dyDescent="0.2">
      <c r="B1293" s="38"/>
    </row>
    <row r="1294" spans="2:2" x14ac:dyDescent="0.2">
      <c r="B1294" s="38"/>
    </row>
    <row r="1295" spans="2:2" x14ac:dyDescent="0.2">
      <c r="B1295" s="38"/>
    </row>
    <row r="1296" spans="2:2" x14ac:dyDescent="0.2">
      <c r="B1296" s="38"/>
    </row>
    <row r="1297" spans="2:2" x14ac:dyDescent="0.2">
      <c r="B1297" s="38"/>
    </row>
    <row r="1298" spans="2:2" x14ac:dyDescent="0.2">
      <c r="B1298" s="38"/>
    </row>
    <row r="1299" spans="2:2" x14ac:dyDescent="0.2">
      <c r="B1299" s="38"/>
    </row>
    <row r="1300" spans="2:2" x14ac:dyDescent="0.2">
      <c r="B1300" s="38"/>
    </row>
    <row r="1301" spans="2:2" x14ac:dyDescent="0.2">
      <c r="B1301" s="38"/>
    </row>
    <row r="1302" spans="2:2" x14ac:dyDescent="0.2">
      <c r="B1302" s="38"/>
    </row>
    <row r="1303" spans="2:2" x14ac:dyDescent="0.2">
      <c r="B1303" s="38"/>
    </row>
    <row r="1304" spans="2:2" x14ac:dyDescent="0.2">
      <c r="B1304" s="38"/>
    </row>
    <row r="1305" spans="2:2" x14ac:dyDescent="0.2">
      <c r="B1305" s="38"/>
    </row>
    <row r="1306" spans="2:2" x14ac:dyDescent="0.2">
      <c r="B1306" s="38"/>
    </row>
    <row r="1307" spans="2:2" x14ac:dyDescent="0.2">
      <c r="B1307" s="38"/>
    </row>
    <row r="1308" spans="2:2" x14ac:dyDescent="0.2">
      <c r="B1308" s="38"/>
    </row>
    <row r="1309" spans="2:2" x14ac:dyDescent="0.2">
      <c r="B1309" s="38"/>
    </row>
    <row r="1310" spans="2:2" x14ac:dyDescent="0.2">
      <c r="B1310" s="38"/>
    </row>
    <row r="1311" spans="2:2" x14ac:dyDescent="0.2">
      <c r="B1311" s="38"/>
    </row>
    <row r="1312" spans="2:2" x14ac:dyDescent="0.2">
      <c r="B1312" s="38"/>
    </row>
    <row r="1313" spans="2:2" x14ac:dyDescent="0.2">
      <c r="B1313" s="38"/>
    </row>
    <row r="1314" spans="2:2" x14ac:dyDescent="0.2">
      <c r="B1314" s="38"/>
    </row>
    <row r="1315" spans="2:2" x14ac:dyDescent="0.2">
      <c r="B1315" s="38"/>
    </row>
    <row r="1316" spans="2:2" x14ac:dyDescent="0.2">
      <c r="B1316" s="38"/>
    </row>
    <row r="1317" spans="2:2" x14ac:dyDescent="0.2">
      <c r="B1317" s="38"/>
    </row>
    <row r="1318" spans="2:2" x14ac:dyDescent="0.2">
      <c r="B1318" s="38"/>
    </row>
    <row r="1319" spans="2:2" x14ac:dyDescent="0.2">
      <c r="B1319" s="38"/>
    </row>
    <row r="1320" spans="2:2" x14ac:dyDescent="0.2">
      <c r="B1320" s="38"/>
    </row>
    <row r="1321" spans="2:2" x14ac:dyDescent="0.2">
      <c r="B1321" s="38"/>
    </row>
    <row r="1322" spans="2:2" x14ac:dyDescent="0.2">
      <c r="B1322" s="38"/>
    </row>
    <row r="1323" spans="2:2" x14ac:dyDescent="0.2">
      <c r="B1323" s="38"/>
    </row>
    <row r="1324" spans="2:2" x14ac:dyDescent="0.2">
      <c r="B1324" s="38"/>
    </row>
    <row r="1325" spans="2:2" x14ac:dyDescent="0.2">
      <c r="B1325" s="38"/>
    </row>
    <row r="1326" spans="2:2" x14ac:dyDescent="0.2">
      <c r="B1326" s="38"/>
    </row>
    <row r="1327" spans="2:2" x14ac:dyDescent="0.2">
      <c r="B1327" s="38"/>
    </row>
    <row r="1328" spans="2:2" x14ac:dyDescent="0.2">
      <c r="B1328" s="38"/>
    </row>
    <row r="1329" spans="2:2" x14ac:dyDescent="0.2">
      <c r="B1329" s="38"/>
    </row>
    <row r="1330" spans="2:2" x14ac:dyDescent="0.2">
      <c r="B1330" s="38"/>
    </row>
    <row r="1331" spans="2:2" x14ac:dyDescent="0.2">
      <c r="B1331" s="38"/>
    </row>
    <row r="1332" spans="2:2" x14ac:dyDescent="0.2">
      <c r="B1332" s="38"/>
    </row>
    <row r="1333" spans="2:2" x14ac:dyDescent="0.2">
      <c r="B1333" s="38"/>
    </row>
    <row r="1334" spans="2:2" x14ac:dyDescent="0.2">
      <c r="B1334" s="38"/>
    </row>
    <row r="1335" spans="2:2" x14ac:dyDescent="0.2">
      <c r="B1335" s="38"/>
    </row>
    <row r="1336" spans="2:2" x14ac:dyDescent="0.2">
      <c r="B1336" s="38"/>
    </row>
    <row r="1337" spans="2:2" x14ac:dyDescent="0.2">
      <c r="B1337" s="38"/>
    </row>
    <row r="1338" spans="2:2" x14ac:dyDescent="0.2">
      <c r="B1338" s="38"/>
    </row>
    <row r="1339" spans="2:2" x14ac:dyDescent="0.2">
      <c r="B1339" s="38"/>
    </row>
    <row r="1340" spans="2:2" x14ac:dyDescent="0.2">
      <c r="B1340" s="38"/>
    </row>
    <row r="1341" spans="2:2" x14ac:dyDescent="0.2">
      <c r="B1341" s="38"/>
    </row>
    <row r="1342" spans="2:2" x14ac:dyDescent="0.2">
      <c r="B1342" s="38"/>
    </row>
    <row r="1343" spans="2:2" x14ac:dyDescent="0.2">
      <c r="B1343" s="38"/>
    </row>
    <row r="1344" spans="2:2" x14ac:dyDescent="0.2">
      <c r="B1344" s="38"/>
    </row>
    <row r="1345" spans="2:2" x14ac:dyDescent="0.2">
      <c r="B1345" s="38"/>
    </row>
    <row r="1346" spans="2:2" x14ac:dyDescent="0.2">
      <c r="B1346" s="38"/>
    </row>
    <row r="1347" spans="2:2" x14ac:dyDescent="0.2">
      <c r="B1347" s="38"/>
    </row>
    <row r="1348" spans="2:2" x14ac:dyDescent="0.2">
      <c r="B1348" s="38"/>
    </row>
    <row r="1349" spans="2:2" x14ac:dyDescent="0.2">
      <c r="B1349" s="38"/>
    </row>
    <row r="1350" spans="2:2" x14ac:dyDescent="0.2">
      <c r="B1350" s="38"/>
    </row>
    <row r="1351" spans="2:2" x14ac:dyDescent="0.2">
      <c r="B1351" s="38"/>
    </row>
    <row r="1352" spans="2:2" x14ac:dyDescent="0.2">
      <c r="B1352" s="38"/>
    </row>
    <row r="1353" spans="2:2" x14ac:dyDescent="0.2">
      <c r="B1353" s="38"/>
    </row>
    <row r="1354" spans="2:2" x14ac:dyDescent="0.2">
      <c r="B1354" s="38"/>
    </row>
    <row r="1355" spans="2:2" x14ac:dyDescent="0.2">
      <c r="B1355" s="38"/>
    </row>
    <row r="1356" spans="2:2" x14ac:dyDescent="0.2">
      <c r="B1356" s="38"/>
    </row>
    <row r="1357" spans="2:2" x14ac:dyDescent="0.2">
      <c r="B1357" s="38"/>
    </row>
    <row r="1358" spans="2:2" x14ac:dyDescent="0.2">
      <c r="B1358" s="38"/>
    </row>
    <row r="1359" spans="2:2" x14ac:dyDescent="0.2">
      <c r="B1359" s="38"/>
    </row>
    <row r="1360" spans="2:2" x14ac:dyDescent="0.2">
      <c r="B1360" s="38"/>
    </row>
    <row r="1361" spans="2:2" x14ac:dyDescent="0.2">
      <c r="B1361" s="38"/>
    </row>
    <row r="1362" spans="2:2" x14ac:dyDescent="0.2">
      <c r="B1362" s="38"/>
    </row>
    <row r="1363" spans="2:2" x14ac:dyDescent="0.2">
      <c r="B1363" s="38"/>
    </row>
    <row r="1364" spans="2:2" x14ac:dyDescent="0.2">
      <c r="B1364" s="38"/>
    </row>
    <row r="1365" spans="2:2" x14ac:dyDescent="0.2">
      <c r="B1365" s="38"/>
    </row>
    <row r="1366" spans="2:2" x14ac:dyDescent="0.2">
      <c r="B1366" s="38"/>
    </row>
    <row r="1367" spans="2:2" x14ac:dyDescent="0.2">
      <c r="B1367" s="38"/>
    </row>
    <row r="1368" spans="2:2" x14ac:dyDescent="0.2">
      <c r="B1368" s="38"/>
    </row>
    <row r="1369" spans="2:2" x14ac:dyDescent="0.2">
      <c r="B1369" s="38"/>
    </row>
    <row r="1370" spans="2:2" x14ac:dyDescent="0.2">
      <c r="B1370" s="38"/>
    </row>
    <row r="1371" spans="2:2" x14ac:dyDescent="0.2">
      <c r="B1371" s="38"/>
    </row>
    <row r="1372" spans="2:2" x14ac:dyDescent="0.2">
      <c r="B1372" s="38"/>
    </row>
    <row r="1373" spans="2:2" x14ac:dyDescent="0.2">
      <c r="B1373" s="38"/>
    </row>
    <row r="1374" spans="2:2" x14ac:dyDescent="0.2">
      <c r="B1374" s="38"/>
    </row>
    <row r="1375" spans="2:2" x14ac:dyDescent="0.2">
      <c r="B1375" s="38"/>
    </row>
    <row r="1376" spans="2:2" x14ac:dyDescent="0.2">
      <c r="B1376" s="38"/>
    </row>
    <row r="1377" spans="2:2" x14ac:dyDescent="0.2">
      <c r="B1377" s="38"/>
    </row>
    <row r="1378" spans="2:2" x14ac:dyDescent="0.2">
      <c r="B1378" s="38"/>
    </row>
    <row r="1379" spans="2:2" x14ac:dyDescent="0.2">
      <c r="B1379" s="38"/>
    </row>
    <row r="1380" spans="2:2" x14ac:dyDescent="0.2">
      <c r="B1380" s="38"/>
    </row>
    <row r="1381" spans="2:2" x14ac:dyDescent="0.2">
      <c r="B1381" s="38"/>
    </row>
    <row r="1382" spans="2:2" x14ac:dyDescent="0.2">
      <c r="B1382" s="38"/>
    </row>
    <row r="1383" spans="2:2" x14ac:dyDescent="0.2">
      <c r="B1383" s="38"/>
    </row>
    <row r="1384" spans="2:2" x14ac:dyDescent="0.2">
      <c r="B1384" s="38"/>
    </row>
    <row r="1385" spans="2:2" x14ac:dyDescent="0.2">
      <c r="B1385" s="38"/>
    </row>
    <row r="1386" spans="2:2" x14ac:dyDescent="0.2">
      <c r="B1386" s="38"/>
    </row>
    <row r="1387" spans="2:2" x14ac:dyDescent="0.2">
      <c r="B1387" s="38"/>
    </row>
    <row r="1388" spans="2:2" x14ac:dyDescent="0.2">
      <c r="B1388" s="38"/>
    </row>
    <row r="1389" spans="2:2" x14ac:dyDescent="0.2">
      <c r="B1389" s="38"/>
    </row>
    <row r="1390" spans="2:2" x14ac:dyDescent="0.2">
      <c r="B1390" s="38"/>
    </row>
    <row r="1391" spans="2:2" x14ac:dyDescent="0.2">
      <c r="B1391" s="38"/>
    </row>
    <row r="1392" spans="2:2" x14ac:dyDescent="0.2">
      <c r="B1392" s="38"/>
    </row>
    <row r="1393" spans="2:2" x14ac:dyDescent="0.2">
      <c r="B1393" s="38"/>
    </row>
    <row r="1394" spans="2:2" x14ac:dyDescent="0.2">
      <c r="B1394" s="38"/>
    </row>
    <row r="1395" spans="2:2" x14ac:dyDescent="0.2">
      <c r="B1395" s="38"/>
    </row>
    <row r="1396" spans="2:2" x14ac:dyDescent="0.2">
      <c r="B1396" s="38"/>
    </row>
    <row r="1397" spans="2:2" x14ac:dyDescent="0.2">
      <c r="B1397" s="38"/>
    </row>
    <row r="1398" spans="2:2" x14ac:dyDescent="0.2">
      <c r="B1398" s="38"/>
    </row>
    <row r="1399" spans="2:2" x14ac:dyDescent="0.2">
      <c r="B1399" s="38"/>
    </row>
    <row r="1400" spans="2:2" x14ac:dyDescent="0.2">
      <c r="B1400" s="38"/>
    </row>
    <row r="1401" spans="2:2" x14ac:dyDescent="0.2">
      <c r="B1401" s="38"/>
    </row>
    <row r="1402" spans="2:2" x14ac:dyDescent="0.2">
      <c r="B1402" s="38"/>
    </row>
    <row r="1403" spans="2:2" x14ac:dyDescent="0.2">
      <c r="B1403" s="38"/>
    </row>
    <row r="1404" spans="2:2" x14ac:dyDescent="0.2">
      <c r="B1404" s="38"/>
    </row>
    <row r="1405" spans="2:2" x14ac:dyDescent="0.2">
      <c r="B1405" s="38"/>
    </row>
    <row r="1406" spans="2:2" x14ac:dyDescent="0.2">
      <c r="B1406" s="38"/>
    </row>
    <row r="1407" spans="2:2" x14ac:dyDescent="0.2">
      <c r="B1407" s="38"/>
    </row>
    <row r="1408" spans="2:2" x14ac:dyDescent="0.2">
      <c r="B1408" s="38"/>
    </row>
    <row r="1409" spans="2:2" x14ac:dyDescent="0.2">
      <c r="B1409" s="38"/>
    </row>
    <row r="1410" spans="2:2" x14ac:dyDescent="0.2">
      <c r="B1410" s="38"/>
    </row>
    <row r="1411" spans="2:2" x14ac:dyDescent="0.2">
      <c r="B1411" s="38"/>
    </row>
    <row r="1412" spans="2:2" x14ac:dyDescent="0.2">
      <c r="B1412" s="38"/>
    </row>
    <row r="1413" spans="2:2" x14ac:dyDescent="0.2">
      <c r="B1413" s="38"/>
    </row>
    <row r="1414" spans="2:2" x14ac:dyDescent="0.2">
      <c r="B1414" s="38"/>
    </row>
    <row r="1415" spans="2:2" x14ac:dyDescent="0.2">
      <c r="B1415" s="38"/>
    </row>
    <row r="1416" spans="2:2" x14ac:dyDescent="0.2">
      <c r="B1416" s="38"/>
    </row>
    <row r="1417" spans="2:2" x14ac:dyDescent="0.2">
      <c r="B1417" s="38"/>
    </row>
    <row r="1418" spans="2:2" x14ac:dyDescent="0.2">
      <c r="B1418" s="38"/>
    </row>
    <row r="1419" spans="2:2" x14ac:dyDescent="0.2">
      <c r="B1419" s="38"/>
    </row>
    <row r="1420" spans="2:2" x14ac:dyDescent="0.2">
      <c r="B1420" s="38"/>
    </row>
    <row r="1421" spans="2:2" x14ac:dyDescent="0.2">
      <c r="B1421" s="38"/>
    </row>
    <row r="1422" spans="2:2" x14ac:dyDescent="0.2">
      <c r="B1422" s="38"/>
    </row>
    <row r="1423" spans="2:2" x14ac:dyDescent="0.2">
      <c r="B1423" s="38"/>
    </row>
    <row r="1424" spans="2:2" x14ac:dyDescent="0.2">
      <c r="B1424" s="38"/>
    </row>
    <row r="1425" spans="2:2" x14ac:dyDescent="0.2">
      <c r="B1425" s="38"/>
    </row>
    <row r="1426" spans="2:2" x14ac:dyDescent="0.2">
      <c r="B1426" s="38"/>
    </row>
    <row r="1427" spans="2:2" x14ac:dyDescent="0.2">
      <c r="B1427" s="38"/>
    </row>
    <row r="1428" spans="2:2" x14ac:dyDescent="0.2">
      <c r="B1428" s="38"/>
    </row>
    <row r="1429" spans="2:2" x14ac:dyDescent="0.2">
      <c r="B1429" s="38"/>
    </row>
    <row r="1430" spans="2:2" x14ac:dyDescent="0.2">
      <c r="B1430" s="38"/>
    </row>
    <row r="1431" spans="2:2" x14ac:dyDescent="0.2">
      <c r="B1431" s="38"/>
    </row>
    <row r="1432" spans="2:2" x14ac:dyDescent="0.2">
      <c r="B1432" s="38"/>
    </row>
    <row r="1433" spans="2:2" x14ac:dyDescent="0.2">
      <c r="B1433" s="38"/>
    </row>
    <row r="1434" spans="2:2" x14ac:dyDescent="0.2">
      <c r="B1434" s="38"/>
    </row>
    <row r="1435" spans="2:2" x14ac:dyDescent="0.2">
      <c r="B1435" s="38"/>
    </row>
    <row r="1436" spans="2:2" x14ac:dyDescent="0.2">
      <c r="B1436" s="38"/>
    </row>
    <row r="1437" spans="2:2" x14ac:dyDescent="0.2">
      <c r="B1437" s="38"/>
    </row>
    <row r="1438" spans="2:2" x14ac:dyDescent="0.2">
      <c r="B1438" s="38"/>
    </row>
    <row r="1439" spans="2:2" x14ac:dyDescent="0.2">
      <c r="B1439" s="38"/>
    </row>
    <row r="1440" spans="2:2" x14ac:dyDescent="0.2">
      <c r="B1440" s="38"/>
    </row>
    <row r="1441" spans="2:2" x14ac:dyDescent="0.2">
      <c r="B1441" s="38"/>
    </row>
    <row r="1442" spans="2:2" x14ac:dyDescent="0.2">
      <c r="B1442" s="38"/>
    </row>
    <row r="1443" spans="2:2" x14ac:dyDescent="0.2">
      <c r="B1443" s="38"/>
    </row>
    <row r="1444" spans="2:2" x14ac:dyDescent="0.2">
      <c r="B1444" s="38"/>
    </row>
    <row r="1445" spans="2:2" x14ac:dyDescent="0.2">
      <c r="B1445" s="38"/>
    </row>
    <row r="1446" spans="2:2" x14ac:dyDescent="0.2">
      <c r="B1446" s="38"/>
    </row>
    <row r="1447" spans="2:2" x14ac:dyDescent="0.2">
      <c r="B1447" s="38"/>
    </row>
    <row r="1448" spans="2:2" x14ac:dyDescent="0.2">
      <c r="B1448" s="38"/>
    </row>
    <row r="1449" spans="2:2" x14ac:dyDescent="0.2">
      <c r="B1449" s="38"/>
    </row>
    <row r="1450" spans="2:2" x14ac:dyDescent="0.2">
      <c r="B1450" s="38"/>
    </row>
    <row r="1451" spans="2:2" x14ac:dyDescent="0.2">
      <c r="B1451" s="38"/>
    </row>
    <row r="1452" spans="2:2" x14ac:dyDescent="0.2">
      <c r="B1452" s="38"/>
    </row>
    <row r="1453" spans="2:2" x14ac:dyDescent="0.2">
      <c r="B1453" s="38"/>
    </row>
    <row r="1454" spans="2:2" x14ac:dyDescent="0.2">
      <c r="B1454" s="38"/>
    </row>
    <row r="1455" spans="2:2" x14ac:dyDescent="0.2">
      <c r="B1455" s="38"/>
    </row>
    <row r="1456" spans="2:2" x14ac:dyDescent="0.2">
      <c r="B1456" s="38"/>
    </row>
    <row r="1457" spans="2:2" x14ac:dyDescent="0.2">
      <c r="B1457" s="38"/>
    </row>
    <row r="1458" spans="2:2" x14ac:dyDescent="0.2">
      <c r="B1458" s="38"/>
    </row>
    <row r="1459" spans="2:2" x14ac:dyDescent="0.2">
      <c r="B1459" s="38"/>
    </row>
    <row r="1460" spans="2:2" x14ac:dyDescent="0.2">
      <c r="B1460" s="38"/>
    </row>
    <row r="1461" spans="2:2" x14ac:dyDescent="0.2">
      <c r="B1461" s="38"/>
    </row>
    <row r="1462" spans="2:2" x14ac:dyDescent="0.2">
      <c r="B1462" s="38"/>
    </row>
    <row r="1463" spans="2:2" x14ac:dyDescent="0.2">
      <c r="B1463" s="38"/>
    </row>
    <row r="1464" spans="2:2" x14ac:dyDescent="0.2">
      <c r="B1464" s="38"/>
    </row>
    <row r="1465" spans="2:2" x14ac:dyDescent="0.2">
      <c r="B1465" s="38"/>
    </row>
    <row r="1466" spans="2:2" x14ac:dyDescent="0.2">
      <c r="B1466" s="38"/>
    </row>
    <row r="1467" spans="2:2" x14ac:dyDescent="0.2">
      <c r="B1467" s="38"/>
    </row>
    <row r="1468" spans="2:2" x14ac:dyDescent="0.2">
      <c r="B1468" s="38"/>
    </row>
    <row r="1469" spans="2:2" x14ac:dyDescent="0.2">
      <c r="B1469" s="38"/>
    </row>
    <row r="1470" spans="2:2" x14ac:dyDescent="0.2">
      <c r="B1470" s="38"/>
    </row>
    <row r="1471" spans="2:2" x14ac:dyDescent="0.2">
      <c r="B1471" s="38"/>
    </row>
    <row r="1472" spans="2:2" x14ac:dyDescent="0.2">
      <c r="B1472" s="38"/>
    </row>
    <row r="1473" spans="2:2" x14ac:dyDescent="0.2">
      <c r="B1473" s="38"/>
    </row>
    <row r="1474" spans="2:2" x14ac:dyDescent="0.2">
      <c r="B1474" s="38"/>
    </row>
    <row r="1475" spans="2:2" x14ac:dyDescent="0.2">
      <c r="B1475" s="38"/>
    </row>
    <row r="1476" spans="2:2" x14ac:dyDescent="0.2">
      <c r="B1476" s="38"/>
    </row>
    <row r="1477" spans="2:2" x14ac:dyDescent="0.2">
      <c r="B1477" s="38"/>
    </row>
    <row r="1478" spans="2:2" x14ac:dyDescent="0.2">
      <c r="B1478" s="38"/>
    </row>
    <row r="1479" spans="2:2" x14ac:dyDescent="0.2">
      <c r="B1479" s="38"/>
    </row>
    <row r="1480" spans="2:2" x14ac:dyDescent="0.2">
      <c r="B1480" s="38"/>
    </row>
    <row r="1481" spans="2:2" x14ac:dyDescent="0.2">
      <c r="B1481" s="38"/>
    </row>
    <row r="1482" spans="2:2" x14ac:dyDescent="0.2">
      <c r="B1482" s="38"/>
    </row>
    <row r="1483" spans="2:2" x14ac:dyDescent="0.2">
      <c r="B1483" s="38"/>
    </row>
    <row r="1484" spans="2:2" x14ac:dyDescent="0.2">
      <c r="B1484" s="38"/>
    </row>
    <row r="1485" spans="2:2" x14ac:dyDescent="0.2">
      <c r="B1485" s="38"/>
    </row>
    <row r="1486" spans="2:2" x14ac:dyDescent="0.2">
      <c r="B1486" s="38"/>
    </row>
    <row r="1487" spans="2:2" x14ac:dyDescent="0.2">
      <c r="B1487" s="38"/>
    </row>
    <row r="1488" spans="2:2" x14ac:dyDescent="0.2">
      <c r="B1488" s="38"/>
    </row>
    <row r="1489" spans="2:2" x14ac:dyDescent="0.2">
      <c r="B1489" s="38"/>
    </row>
    <row r="1490" spans="2:2" x14ac:dyDescent="0.2">
      <c r="B1490" s="38"/>
    </row>
    <row r="1491" spans="2:2" x14ac:dyDescent="0.2">
      <c r="B1491" s="38"/>
    </row>
    <row r="1492" spans="2:2" x14ac:dyDescent="0.2">
      <c r="B1492" s="38"/>
    </row>
    <row r="1493" spans="2:2" x14ac:dyDescent="0.2">
      <c r="B1493" s="38"/>
    </row>
    <row r="1494" spans="2:2" x14ac:dyDescent="0.2">
      <c r="B1494" s="38"/>
    </row>
    <row r="1495" spans="2:2" x14ac:dyDescent="0.2">
      <c r="B1495" s="38"/>
    </row>
    <row r="1496" spans="2:2" x14ac:dyDescent="0.2">
      <c r="B1496" s="38"/>
    </row>
    <row r="1497" spans="2:2" x14ac:dyDescent="0.2">
      <c r="B1497" s="38"/>
    </row>
    <row r="1498" spans="2:2" x14ac:dyDescent="0.2">
      <c r="B1498" s="38"/>
    </row>
    <row r="1499" spans="2:2" x14ac:dyDescent="0.2">
      <c r="B1499" s="38"/>
    </row>
    <row r="1500" spans="2:2" x14ac:dyDescent="0.2">
      <c r="B1500" s="38"/>
    </row>
    <row r="1501" spans="2:2" x14ac:dyDescent="0.2">
      <c r="B1501" s="38"/>
    </row>
    <row r="1502" spans="2:2" x14ac:dyDescent="0.2">
      <c r="B1502" s="38"/>
    </row>
    <row r="1503" spans="2:2" x14ac:dyDescent="0.2">
      <c r="B1503" s="38"/>
    </row>
    <row r="1504" spans="2:2" x14ac:dyDescent="0.2">
      <c r="B1504" s="38"/>
    </row>
    <row r="1505" spans="2:2" x14ac:dyDescent="0.2">
      <c r="B1505" s="38"/>
    </row>
    <row r="1506" spans="2:2" x14ac:dyDescent="0.2">
      <c r="B1506" s="38"/>
    </row>
    <row r="1507" spans="2:2" x14ac:dyDescent="0.2">
      <c r="B1507" s="38"/>
    </row>
    <row r="1508" spans="2:2" x14ac:dyDescent="0.2">
      <c r="B1508" s="38"/>
    </row>
    <row r="1509" spans="2:2" x14ac:dyDescent="0.2">
      <c r="B1509" s="38"/>
    </row>
    <row r="1510" spans="2:2" x14ac:dyDescent="0.2">
      <c r="B1510" s="38"/>
    </row>
    <row r="1511" spans="2:2" x14ac:dyDescent="0.2">
      <c r="B1511" s="38"/>
    </row>
    <row r="1512" spans="2:2" x14ac:dyDescent="0.2">
      <c r="B1512" s="38"/>
    </row>
    <row r="1513" spans="2:2" x14ac:dyDescent="0.2">
      <c r="B1513" s="38"/>
    </row>
    <row r="1514" spans="2:2" x14ac:dyDescent="0.2">
      <c r="B1514" s="38"/>
    </row>
    <row r="1515" spans="2:2" x14ac:dyDescent="0.2">
      <c r="B1515" s="38"/>
    </row>
    <row r="1516" spans="2:2" x14ac:dyDescent="0.2">
      <c r="B1516" s="38"/>
    </row>
    <row r="1517" spans="2:2" x14ac:dyDescent="0.2">
      <c r="B1517" s="38"/>
    </row>
    <row r="1518" spans="2:2" x14ac:dyDescent="0.2">
      <c r="B1518" s="38"/>
    </row>
    <row r="1519" spans="2:2" x14ac:dyDescent="0.2">
      <c r="B1519" s="38"/>
    </row>
    <row r="1520" spans="2:2" x14ac:dyDescent="0.2">
      <c r="B1520" s="38"/>
    </row>
    <row r="1521" spans="2:2" x14ac:dyDescent="0.2">
      <c r="B1521" s="38"/>
    </row>
    <row r="1522" spans="2:2" x14ac:dyDescent="0.2">
      <c r="B1522" s="38"/>
    </row>
    <row r="1523" spans="2:2" x14ac:dyDescent="0.2">
      <c r="B1523" s="38"/>
    </row>
    <row r="1524" spans="2:2" x14ac:dyDescent="0.2">
      <c r="B1524" s="38"/>
    </row>
    <row r="1525" spans="2:2" x14ac:dyDescent="0.2">
      <c r="B1525" s="38"/>
    </row>
    <row r="1526" spans="2:2" x14ac:dyDescent="0.2">
      <c r="B1526" s="38"/>
    </row>
    <row r="1527" spans="2:2" x14ac:dyDescent="0.2">
      <c r="B1527" s="38"/>
    </row>
    <row r="1528" spans="2:2" x14ac:dyDescent="0.2">
      <c r="B1528" s="38"/>
    </row>
    <row r="1529" spans="2:2" x14ac:dyDescent="0.2">
      <c r="B1529" s="38"/>
    </row>
    <row r="1530" spans="2:2" x14ac:dyDescent="0.2">
      <c r="B1530" s="38"/>
    </row>
    <row r="1531" spans="2:2" x14ac:dyDescent="0.2">
      <c r="B1531" s="38"/>
    </row>
    <row r="1532" spans="2:2" x14ac:dyDescent="0.2">
      <c r="B1532" s="38"/>
    </row>
    <row r="1533" spans="2:2" x14ac:dyDescent="0.2">
      <c r="B1533" s="38"/>
    </row>
    <row r="1534" spans="2:2" x14ac:dyDescent="0.2">
      <c r="B1534" s="38"/>
    </row>
    <row r="1535" spans="2:2" x14ac:dyDescent="0.2">
      <c r="B1535" s="38"/>
    </row>
    <row r="1536" spans="2:2" x14ac:dyDescent="0.2">
      <c r="B1536" s="38"/>
    </row>
    <row r="1537" spans="2:2" x14ac:dyDescent="0.2">
      <c r="B1537" s="38"/>
    </row>
    <row r="1538" spans="2:2" x14ac:dyDescent="0.2">
      <c r="B1538" s="38"/>
    </row>
    <row r="1539" spans="2:2" x14ac:dyDescent="0.2">
      <c r="B1539" s="38"/>
    </row>
    <row r="1540" spans="2:2" x14ac:dyDescent="0.2">
      <c r="B1540" s="38"/>
    </row>
    <row r="1541" spans="2:2" x14ac:dyDescent="0.2">
      <c r="B1541" s="38"/>
    </row>
    <row r="1542" spans="2:2" x14ac:dyDescent="0.2">
      <c r="B1542" s="38"/>
    </row>
    <row r="1543" spans="2:2" x14ac:dyDescent="0.2">
      <c r="B1543" s="38"/>
    </row>
    <row r="1544" spans="2:2" x14ac:dyDescent="0.2">
      <c r="B1544" s="38"/>
    </row>
    <row r="1545" spans="2:2" x14ac:dyDescent="0.2">
      <c r="B1545" s="38"/>
    </row>
    <row r="1546" spans="2:2" x14ac:dyDescent="0.2">
      <c r="B1546" s="38"/>
    </row>
    <row r="1547" spans="2:2" x14ac:dyDescent="0.2">
      <c r="B1547" s="38"/>
    </row>
    <row r="1548" spans="2:2" x14ac:dyDescent="0.2">
      <c r="B1548" s="38"/>
    </row>
    <row r="1549" spans="2:2" x14ac:dyDescent="0.2">
      <c r="B1549" s="38"/>
    </row>
    <row r="1550" spans="2:2" x14ac:dyDescent="0.2">
      <c r="B1550" s="38"/>
    </row>
    <row r="1551" spans="2:2" x14ac:dyDescent="0.2">
      <c r="B1551" s="38"/>
    </row>
    <row r="1552" spans="2:2" x14ac:dyDescent="0.2">
      <c r="B1552" s="38"/>
    </row>
    <row r="1553" spans="2:2" x14ac:dyDescent="0.2">
      <c r="B1553" s="38"/>
    </row>
    <row r="1554" spans="2:2" x14ac:dyDescent="0.2">
      <c r="B1554" s="38"/>
    </row>
    <row r="1555" spans="2:2" x14ac:dyDescent="0.2">
      <c r="B1555" s="38"/>
    </row>
    <row r="1556" spans="2:2" x14ac:dyDescent="0.2">
      <c r="B1556" s="38"/>
    </row>
    <row r="1557" spans="2:2" x14ac:dyDescent="0.2">
      <c r="B1557" s="38"/>
    </row>
    <row r="1558" spans="2:2" x14ac:dyDescent="0.2">
      <c r="B1558" s="38"/>
    </row>
    <row r="1559" spans="2:2" x14ac:dyDescent="0.2">
      <c r="B1559" s="38"/>
    </row>
    <row r="1560" spans="2:2" x14ac:dyDescent="0.2">
      <c r="B1560" s="38"/>
    </row>
    <row r="1561" spans="2:2" x14ac:dyDescent="0.2">
      <c r="B1561" s="38"/>
    </row>
    <row r="1562" spans="2:2" x14ac:dyDescent="0.2">
      <c r="B1562" s="38"/>
    </row>
    <row r="1563" spans="2:2" x14ac:dyDescent="0.2">
      <c r="B1563" s="38"/>
    </row>
    <row r="1564" spans="2:2" x14ac:dyDescent="0.2">
      <c r="B1564" s="38"/>
    </row>
    <row r="1565" spans="2:2" x14ac:dyDescent="0.2">
      <c r="B1565" s="38"/>
    </row>
    <row r="1566" spans="2:2" x14ac:dyDescent="0.2">
      <c r="B1566" s="38"/>
    </row>
    <row r="1567" spans="2:2" x14ac:dyDescent="0.2">
      <c r="B1567" s="38"/>
    </row>
    <row r="1568" spans="2:2" x14ac:dyDescent="0.2">
      <c r="B1568" s="38"/>
    </row>
    <row r="1569" spans="2:2" x14ac:dyDescent="0.2">
      <c r="B1569" s="38"/>
    </row>
    <row r="1570" spans="2:2" x14ac:dyDescent="0.2">
      <c r="B1570" s="38"/>
    </row>
    <row r="1571" spans="2:2" x14ac:dyDescent="0.2">
      <c r="B1571" s="38"/>
    </row>
    <row r="1572" spans="2:2" x14ac:dyDescent="0.2">
      <c r="B1572" s="38"/>
    </row>
    <row r="1573" spans="2:2" x14ac:dyDescent="0.2">
      <c r="B1573" s="38"/>
    </row>
    <row r="1574" spans="2:2" x14ac:dyDescent="0.2">
      <c r="B1574" s="38"/>
    </row>
    <row r="1575" spans="2:2" x14ac:dyDescent="0.2">
      <c r="B1575" s="38"/>
    </row>
    <row r="1576" spans="2:2" x14ac:dyDescent="0.2">
      <c r="B1576" s="38"/>
    </row>
    <row r="1577" spans="2:2" x14ac:dyDescent="0.2">
      <c r="B1577" s="38"/>
    </row>
    <row r="1578" spans="2:2" x14ac:dyDescent="0.2">
      <c r="B1578" s="38"/>
    </row>
    <row r="1579" spans="2:2" x14ac:dyDescent="0.2">
      <c r="B1579" s="38"/>
    </row>
    <row r="1580" spans="2:2" x14ac:dyDescent="0.2">
      <c r="B1580" s="38"/>
    </row>
    <row r="1581" spans="2:2" x14ac:dyDescent="0.2">
      <c r="B1581" s="38"/>
    </row>
    <row r="1582" spans="2:2" x14ac:dyDescent="0.2">
      <c r="B1582" s="38"/>
    </row>
    <row r="1583" spans="2:2" x14ac:dyDescent="0.2">
      <c r="B1583" s="38"/>
    </row>
    <row r="1584" spans="2:2" x14ac:dyDescent="0.2">
      <c r="B1584" s="38"/>
    </row>
    <row r="1585" spans="2:2" x14ac:dyDescent="0.2">
      <c r="B1585" s="38"/>
    </row>
    <row r="1586" spans="2:2" x14ac:dyDescent="0.2">
      <c r="B1586" s="38"/>
    </row>
    <row r="1587" spans="2:2" x14ac:dyDescent="0.2">
      <c r="B1587" s="38"/>
    </row>
    <row r="1588" spans="2:2" x14ac:dyDescent="0.2">
      <c r="B1588" s="38"/>
    </row>
    <row r="1589" spans="2:2" x14ac:dyDescent="0.2">
      <c r="B1589" s="38"/>
    </row>
    <row r="1590" spans="2:2" x14ac:dyDescent="0.2">
      <c r="B1590" s="38"/>
    </row>
    <row r="1591" spans="2:2" x14ac:dyDescent="0.2">
      <c r="B1591" s="38"/>
    </row>
    <row r="1592" spans="2:2" x14ac:dyDescent="0.2">
      <c r="B1592" s="38"/>
    </row>
    <row r="1593" spans="2:2" x14ac:dyDescent="0.2">
      <c r="B1593" s="38"/>
    </row>
    <row r="1594" spans="2:2" x14ac:dyDescent="0.2">
      <c r="B1594" s="38"/>
    </row>
    <row r="1595" spans="2:2" x14ac:dyDescent="0.2">
      <c r="B1595" s="38"/>
    </row>
    <row r="1596" spans="2:2" x14ac:dyDescent="0.2">
      <c r="B1596" s="38"/>
    </row>
    <row r="1597" spans="2:2" x14ac:dyDescent="0.2">
      <c r="B1597" s="38"/>
    </row>
    <row r="1598" spans="2:2" x14ac:dyDescent="0.2">
      <c r="B1598" s="38"/>
    </row>
    <row r="1599" spans="2:2" x14ac:dyDescent="0.2">
      <c r="B1599" s="38"/>
    </row>
    <row r="1600" spans="2:2" x14ac:dyDescent="0.2">
      <c r="B1600" s="38"/>
    </row>
    <row r="1601" spans="2:2" x14ac:dyDescent="0.2">
      <c r="B1601" s="38"/>
    </row>
    <row r="1602" spans="2:2" x14ac:dyDescent="0.2">
      <c r="B1602" s="38"/>
    </row>
    <row r="1603" spans="2:2" x14ac:dyDescent="0.2">
      <c r="B1603" s="38"/>
    </row>
    <row r="1604" spans="2:2" x14ac:dyDescent="0.2">
      <c r="B1604" s="38"/>
    </row>
    <row r="1605" spans="2:2" x14ac:dyDescent="0.2">
      <c r="B1605" s="38"/>
    </row>
    <row r="1606" spans="2:2" x14ac:dyDescent="0.2">
      <c r="B1606" s="38"/>
    </row>
    <row r="1607" spans="2:2" x14ac:dyDescent="0.2">
      <c r="B1607" s="38"/>
    </row>
    <row r="1608" spans="2:2" x14ac:dyDescent="0.2">
      <c r="B1608" s="38"/>
    </row>
    <row r="1609" spans="2:2" x14ac:dyDescent="0.2">
      <c r="B1609" s="38"/>
    </row>
    <row r="1610" spans="2:2" x14ac:dyDescent="0.2">
      <c r="B1610" s="38"/>
    </row>
    <row r="1611" spans="2:2" x14ac:dyDescent="0.2">
      <c r="B1611" s="38"/>
    </row>
    <row r="1612" spans="2:2" x14ac:dyDescent="0.2">
      <c r="B1612" s="38"/>
    </row>
    <row r="1613" spans="2:2" x14ac:dyDescent="0.2">
      <c r="B1613" s="38"/>
    </row>
    <row r="1614" spans="2:2" x14ac:dyDescent="0.2">
      <c r="B1614" s="38"/>
    </row>
    <row r="1615" spans="2:2" x14ac:dyDescent="0.2">
      <c r="B1615" s="38"/>
    </row>
    <row r="1616" spans="2:2" x14ac:dyDescent="0.2">
      <c r="B1616" s="38"/>
    </row>
    <row r="1617" spans="2:2" x14ac:dyDescent="0.2">
      <c r="B1617" s="38"/>
    </row>
    <row r="1618" spans="2:2" x14ac:dyDescent="0.2">
      <c r="B1618" s="38"/>
    </row>
    <row r="1619" spans="2:2" x14ac:dyDescent="0.2">
      <c r="B1619" s="38"/>
    </row>
    <row r="1620" spans="2:2" x14ac:dyDescent="0.2">
      <c r="B1620" s="38"/>
    </row>
    <row r="1621" spans="2:2" x14ac:dyDescent="0.2">
      <c r="B1621" s="38"/>
    </row>
    <row r="1622" spans="2:2" x14ac:dyDescent="0.2">
      <c r="B1622" s="38"/>
    </row>
    <row r="1623" spans="2:2" x14ac:dyDescent="0.2">
      <c r="B1623" s="38"/>
    </row>
    <row r="1624" spans="2:2" x14ac:dyDescent="0.2">
      <c r="B1624" s="38"/>
    </row>
    <row r="1625" spans="2:2" x14ac:dyDescent="0.2">
      <c r="B1625" s="38"/>
    </row>
    <row r="1626" spans="2:2" x14ac:dyDescent="0.2">
      <c r="B1626" s="38"/>
    </row>
    <row r="1627" spans="2:2" x14ac:dyDescent="0.2">
      <c r="B1627" s="38"/>
    </row>
    <row r="1628" spans="2:2" x14ac:dyDescent="0.2">
      <c r="B1628" s="38"/>
    </row>
    <row r="1629" spans="2:2" x14ac:dyDescent="0.2">
      <c r="B1629" s="38"/>
    </row>
    <row r="1630" spans="2:2" x14ac:dyDescent="0.2">
      <c r="B1630" s="38"/>
    </row>
    <row r="1631" spans="2:2" x14ac:dyDescent="0.2">
      <c r="B1631" s="38"/>
    </row>
    <row r="1632" spans="2:2" x14ac:dyDescent="0.2">
      <c r="B1632" s="38"/>
    </row>
    <row r="1633" spans="2:2" x14ac:dyDescent="0.2">
      <c r="B1633" s="38"/>
    </row>
    <row r="1634" spans="2:2" x14ac:dyDescent="0.2">
      <c r="B1634" s="38"/>
    </row>
    <row r="1635" spans="2:2" x14ac:dyDescent="0.2">
      <c r="B1635" s="38"/>
    </row>
    <row r="1636" spans="2:2" x14ac:dyDescent="0.2">
      <c r="B1636" s="38"/>
    </row>
    <row r="1637" spans="2:2" x14ac:dyDescent="0.2">
      <c r="B1637" s="38"/>
    </row>
    <row r="1638" spans="2:2" x14ac:dyDescent="0.2">
      <c r="B1638" s="38"/>
    </row>
    <row r="1639" spans="2:2" x14ac:dyDescent="0.2">
      <c r="B1639" s="38"/>
    </row>
    <row r="1640" spans="2:2" x14ac:dyDescent="0.2">
      <c r="B1640" s="38"/>
    </row>
    <row r="1641" spans="2:2" x14ac:dyDescent="0.2">
      <c r="B1641" s="38"/>
    </row>
    <row r="1642" spans="2:2" x14ac:dyDescent="0.2">
      <c r="B1642" s="38"/>
    </row>
    <row r="1643" spans="2:2" x14ac:dyDescent="0.2">
      <c r="B1643" s="38"/>
    </row>
    <row r="1644" spans="2:2" x14ac:dyDescent="0.2">
      <c r="B1644" s="38"/>
    </row>
    <row r="1645" spans="2:2" x14ac:dyDescent="0.2">
      <c r="B1645" s="38"/>
    </row>
    <row r="1646" spans="2:2" x14ac:dyDescent="0.2">
      <c r="B1646" s="38"/>
    </row>
    <row r="1647" spans="2:2" x14ac:dyDescent="0.2">
      <c r="B1647" s="38"/>
    </row>
    <row r="1648" spans="2:2" x14ac:dyDescent="0.2">
      <c r="B1648" s="38"/>
    </row>
    <row r="1649" spans="2:2" x14ac:dyDescent="0.2">
      <c r="B1649" s="38"/>
    </row>
    <row r="1650" spans="2:2" x14ac:dyDescent="0.2">
      <c r="B1650" s="38"/>
    </row>
    <row r="1651" spans="2:2" x14ac:dyDescent="0.2">
      <c r="B1651" s="38"/>
    </row>
    <row r="1652" spans="2:2" x14ac:dyDescent="0.2">
      <c r="B1652" s="38"/>
    </row>
    <row r="1653" spans="2:2" x14ac:dyDescent="0.2">
      <c r="B1653" s="38"/>
    </row>
    <row r="1654" spans="2:2" x14ac:dyDescent="0.2">
      <c r="B1654" s="38"/>
    </row>
    <row r="1655" spans="2:2" x14ac:dyDescent="0.2">
      <c r="B1655" s="38"/>
    </row>
    <row r="1656" spans="2:2" x14ac:dyDescent="0.2">
      <c r="B1656" s="38"/>
    </row>
    <row r="1657" spans="2:2" x14ac:dyDescent="0.2">
      <c r="B1657" s="38"/>
    </row>
    <row r="1658" spans="2:2" x14ac:dyDescent="0.2">
      <c r="B1658" s="38"/>
    </row>
    <row r="1659" spans="2:2" x14ac:dyDescent="0.2">
      <c r="B1659" s="38"/>
    </row>
    <row r="1660" spans="2:2" x14ac:dyDescent="0.2">
      <c r="B1660" s="38"/>
    </row>
    <row r="1661" spans="2:2" x14ac:dyDescent="0.2">
      <c r="B1661" s="38"/>
    </row>
    <row r="1662" spans="2:2" x14ac:dyDescent="0.2">
      <c r="B1662" s="38"/>
    </row>
    <row r="1663" spans="2:2" x14ac:dyDescent="0.2">
      <c r="B1663" s="38"/>
    </row>
    <row r="1664" spans="2:2" x14ac:dyDescent="0.2">
      <c r="B1664" s="38"/>
    </row>
    <row r="1665" spans="2:2" x14ac:dyDescent="0.2">
      <c r="B1665" s="38"/>
    </row>
    <row r="1666" spans="2:2" x14ac:dyDescent="0.2">
      <c r="B1666" s="38"/>
    </row>
    <row r="1667" spans="2:2" x14ac:dyDescent="0.2">
      <c r="B1667" s="38"/>
    </row>
    <row r="1668" spans="2:2" x14ac:dyDescent="0.2">
      <c r="B1668" s="38"/>
    </row>
    <row r="1669" spans="2:2" x14ac:dyDescent="0.2">
      <c r="B1669" s="38"/>
    </row>
    <row r="1670" spans="2:2" x14ac:dyDescent="0.2">
      <c r="B1670" s="38"/>
    </row>
    <row r="1671" spans="2:2" x14ac:dyDescent="0.2">
      <c r="B1671" s="38"/>
    </row>
    <row r="1672" spans="2:2" x14ac:dyDescent="0.2">
      <c r="B1672" s="38"/>
    </row>
    <row r="1673" spans="2:2" x14ac:dyDescent="0.2">
      <c r="B1673" s="38"/>
    </row>
    <row r="1674" spans="2:2" x14ac:dyDescent="0.2">
      <c r="B1674" s="38"/>
    </row>
    <row r="1675" spans="2:2" x14ac:dyDescent="0.2">
      <c r="B1675" s="38"/>
    </row>
    <row r="1676" spans="2:2" x14ac:dyDescent="0.2">
      <c r="B1676" s="38"/>
    </row>
    <row r="1677" spans="2:2" x14ac:dyDescent="0.2">
      <c r="B1677" s="38"/>
    </row>
    <row r="1678" spans="2:2" x14ac:dyDescent="0.2">
      <c r="B1678" s="38"/>
    </row>
    <row r="1679" spans="2:2" x14ac:dyDescent="0.2">
      <c r="B1679" s="38"/>
    </row>
    <row r="1680" spans="2:2" x14ac:dyDescent="0.2">
      <c r="B1680" s="38"/>
    </row>
    <row r="1681" spans="2:2" x14ac:dyDescent="0.2">
      <c r="B1681" s="38"/>
    </row>
    <row r="1682" spans="2:2" x14ac:dyDescent="0.2">
      <c r="B1682" s="38"/>
    </row>
    <row r="1683" spans="2:2" x14ac:dyDescent="0.2">
      <c r="B1683" s="38"/>
    </row>
    <row r="1684" spans="2:2" x14ac:dyDescent="0.2">
      <c r="B1684" s="38"/>
    </row>
    <row r="1685" spans="2:2" x14ac:dyDescent="0.2">
      <c r="B1685" s="38"/>
    </row>
    <row r="1686" spans="2:2" x14ac:dyDescent="0.2">
      <c r="B1686" s="38"/>
    </row>
    <row r="1687" spans="2:2" x14ac:dyDescent="0.2">
      <c r="B1687" s="38"/>
    </row>
    <row r="1688" spans="2:2" x14ac:dyDescent="0.2">
      <c r="B1688" s="38"/>
    </row>
    <row r="1689" spans="2:2" x14ac:dyDescent="0.2">
      <c r="B1689" s="38"/>
    </row>
    <row r="1690" spans="2:2" x14ac:dyDescent="0.2">
      <c r="B1690" s="38"/>
    </row>
    <row r="1691" spans="2:2" x14ac:dyDescent="0.2">
      <c r="B1691" s="38"/>
    </row>
    <row r="1692" spans="2:2" x14ac:dyDescent="0.2">
      <c r="B1692" s="38"/>
    </row>
    <row r="1693" spans="2:2" x14ac:dyDescent="0.2">
      <c r="B1693" s="38"/>
    </row>
    <row r="1694" spans="2:2" x14ac:dyDescent="0.2">
      <c r="B1694" s="38"/>
    </row>
    <row r="1695" spans="2:2" x14ac:dyDescent="0.2">
      <c r="B1695" s="38"/>
    </row>
    <row r="1696" spans="2:2" x14ac:dyDescent="0.2">
      <c r="B1696" s="38"/>
    </row>
    <row r="1697" spans="2:2" x14ac:dyDescent="0.2">
      <c r="B1697" s="38"/>
    </row>
    <row r="1698" spans="2:2" x14ac:dyDescent="0.2">
      <c r="B1698" s="38"/>
    </row>
    <row r="1699" spans="2:2" x14ac:dyDescent="0.2">
      <c r="B1699" s="38"/>
    </row>
    <row r="1700" spans="2:2" x14ac:dyDescent="0.2">
      <c r="B1700" s="38"/>
    </row>
    <row r="1701" spans="2:2" x14ac:dyDescent="0.2">
      <c r="B1701" s="38"/>
    </row>
    <row r="1702" spans="2:2" x14ac:dyDescent="0.2">
      <c r="B1702" s="38"/>
    </row>
    <row r="1703" spans="2:2" x14ac:dyDescent="0.2">
      <c r="B1703" s="38"/>
    </row>
    <row r="1704" spans="2:2" x14ac:dyDescent="0.2">
      <c r="B1704" s="38"/>
    </row>
    <row r="1705" spans="2:2" x14ac:dyDescent="0.2">
      <c r="B1705" s="38"/>
    </row>
    <row r="1706" spans="2:2" x14ac:dyDescent="0.2">
      <c r="B1706" s="38"/>
    </row>
    <row r="1707" spans="2:2" x14ac:dyDescent="0.2">
      <c r="B1707" s="38"/>
    </row>
    <row r="1708" spans="2:2" x14ac:dyDescent="0.2">
      <c r="B1708" s="38"/>
    </row>
    <row r="1709" spans="2:2" x14ac:dyDescent="0.2">
      <c r="B1709" s="38"/>
    </row>
    <row r="1710" spans="2:2" x14ac:dyDescent="0.2">
      <c r="B1710" s="38"/>
    </row>
    <row r="1711" spans="2:2" x14ac:dyDescent="0.2">
      <c r="B1711" s="38"/>
    </row>
    <row r="1712" spans="2:2" x14ac:dyDescent="0.2">
      <c r="B1712" s="38"/>
    </row>
    <row r="1713" spans="2:2" x14ac:dyDescent="0.2">
      <c r="B1713" s="38"/>
    </row>
    <row r="1714" spans="2:2" x14ac:dyDescent="0.2">
      <c r="B1714" s="38"/>
    </row>
    <row r="1715" spans="2:2" x14ac:dyDescent="0.2">
      <c r="B1715" s="38"/>
    </row>
    <row r="1716" spans="2:2" x14ac:dyDescent="0.2">
      <c r="B1716" s="38"/>
    </row>
    <row r="1717" spans="2:2" x14ac:dyDescent="0.2">
      <c r="B1717" s="38"/>
    </row>
    <row r="1718" spans="2:2" x14ac:dyDescent="0.2">
      <c r="B1718" s="38"/>
    </row>
    <row r="1719" spans="2:2" x14ac:dyDescent="0.2">
      <c r="B1719" s="38"/>
    </row>
    <row r="1720" spans="2:2" x14ac:dyDescent="0.2">
      <c r="B1720" s="38"/>
    </row>
    <row r="1721" spans="2:2" x14ac:dyDescent="0.2">
      <c r="B1721" s="38"/>
    </row>
    <row r="1722" spans="2:2" x14ac:dyDescent="0.2">
      <c r="B1722" s="38"/>
    </row>
    <row r="1723" spans="2:2" x14ac:dyDescent="0.2">
      <c r="B1723" s="38"/>
    </row>
    <row r="1724" spans="2:2" x14ac:dyDescent="0.2">
      <c r="B1724" s="38"/>
    </row>
    <row r="1725" spans="2:2" x14ac:dyDescent="0.2">
      <c r="B1725" s="38"/>
    </row>
    <row r="1726" spans="2:2" x14ac:dyDescent="0.2">
      <c r="B1726" s="38"/>
    </row>
    <row r="1727" spans="2:2" x14ac:dyDescent="0.2">
      <c r="B1727" s="38"/>
    </row>
    <row r="1728" spans="2:2" x14ac:dyDescent="0.2">
      <c r="B1728" s="38"/>
    </row>
    <row r="1729" spans="2:2" x14ac:dyDescent="0.2">
      <c r="B1729" s="38"/>
    </row>
    <row r="1730" spans="2:2" x14ac:dyDescent="0.2">
      <c r="B1730" s="38"/>
    </row>
    <row r="1731" spans="2:2" x14ac:dyDescent="0.2">
      <c r="B1731" s="38"/>
    </row>
    <row r="1732" spans="2:2" x14ac:dyDescent="0.2">
      <c r="B1732" s="38"/>
    </row>
    <row r="1733" spans="2:2" x14ac:dyDescent="0.2">
      <c r="B1733" s="38"/>
    </row>
    <row r="1734" spans="2:2" x14ac:dyDescent="0.2">
      <c r="B1734" s="38"/>
    </row>
    <row r="1735" spans="2:2" x14ac:dyDescent="0.2">
      <c r="B1735" s="38"/>
    </row>
    <row r="1736" spans="2:2" x14ac:dyDescent="0.2">
      <c r="B1736" s="38"/>
    </row>
    <row r="1737" spans="2:2" x14ac:dyDescent="0.2">
      <c r="B1737" s="38"/>
    </row>
    <row r="1738" spans="2:2" x14ac:dyDescent="0.2">
      <c r="B1738" s="38"/>
    </row>
    <row r="1739" spans="2:2" x14ac:dyDescent="0.2">
      <c r="B1739" s="38"/>
    </row>
    <row r="1740" spans="2:2" x14ac:dyDescent="0.2">
      <c r="B1740" s="38"/>
    </row>
    <row r="1741" spans="2:2" x14ac:dyDescent="0.2">
      <c r="B1741" s="38"/>
    </row>
    <row r="1742" spans="2:2" x14ac:dyDescent="0.2">
      <c r="B1742" s="38"/>
    </row>
    <row r="1743" spans="2:2" x14ac:dyDescent="0.2">
      <c r="B1743" s="38"/>
    </row>
    <row r="1744" spans="2:2" x14ac:dyDescent="0.2">
      <c r="B1744" s="38"/>
    </row>
    <row r="1745" spans="2:2" x14ac:dyDescent="0.2">
      <c r="B1745" s="38"/>
    </row>
    <row r="1746" spans="2:2" x14ac:dyDescent="0.2">
      <c r="B1746" s="38"/>
    </row>
    <row r="1747" spans="2:2" x14ac:dyDescent="0.2">
      <c r="B1747" s="38"/>
    </row>
    <row r="1748" spans="2:2" x14ac:dyDescent="0.2">
      <c r="B1748" s="38"/>
    </row>
    <row r="1749" spans="2:2" x14ac:dyDescent="0.2">
      <c r="B1749" s="38"/>
    </row>
    <row r="1750" spans="2:2" x14ac:dyDescent="0.2">
      <c r="B1750" s="38"/>
    </row>
    <row r="1751" spans="2:2" x14ac:dyDescent="0.2">
      <c r="B1751" s="38"/>
    </row>
    <row r="1752" spans="2:2" x14ac:dyDescent="0.2">
      <c r="B1752" s="38"/>
    </row>
    <row r="1753" spans="2:2" x14ac:dyDescent="0.2">
      <c r="B1753" s="38"/>
    </row>
    <row r="1754" spans="2:2" x14ac:dyDescent="0.2">
      <c r="B1754" s="38"/>
    </row>
    <row r="1755" spans="2:2" x14ac:dyDescent="0.2">
      <c r="B1755" s="38"/>
    </row>
    <row r="1756" spans="2:2" x14ac:dyDescent="0.2">
      <c r="B1756" s="38"/>
    </row>
    <row r="1757" spans="2:2" x14ac:dyDescent="0.2">
      <c r="B1757" s="38"/>
    </row>
    <row r="1758" spans="2:2" x14ac:dyDescent="0.2">
      <c r="B1758" s="38"/>
    </row>
    <row r="1759" spans="2:2" x14ac:dyDescent="0.2">
      <c r="B1759" s="38"/>
    </row>
    <row r="1760" spans="2:2" x14ac:dyDescent="0.2">
      <c r="B1760" s="38"/>
    </row>
    <row r="1761" spans="2:2" x14ac:dyDescent="0.2">
      <c r="B1761" s="38"/>
    </row>
    <row r="1762" spans="2:2" x14ac:dyDescent="0.2">
      <c r="B1762" s="38"/>
    </row>
    <row r="1763" spans="2:2" x14ac:dyDescent="0.2">
      <c r="B1763" s="38"/>
    </row>
    <row r="1764" spans="2:2" x14ac:dyDescent="0.2">
      <c r="B1764" s="38"/>
    </row>
    <row r="1765" spans="2:2" x14ac:dyDescent="0.2">
      <c r="B1765" s="38"/>
    </row>
    <row r="1766" spans="2:2" x14ac:dyDescent="0.2">
      <c r="B1766" s="38"/>
    </row>
    <row r="1767" spans="2:2" x14ac:dyDescent="0.2">
      <c r="B1767" s="38"/>
    </row>
    <row r="1768" spans="2:2" x14ac:dyDescent="0.2">
      <c r="B1768" s="38"/>
    </row>
    <row r="1769" spans="2:2" x14ac:dyDescent="0.2">
      <c r="B1769" s="38"/>
    </row>
    <row r="1770" spans="2:2" x14ac:dyDescent="0.2">
      <c r="B1770" s="38"/>
    </row>
    <row r="1771" spans="2:2" x14ac:dyDescent="0.2">
      <c r="B1771" s="38"/>
    </row>
    <row r="1772" spans="2:2" x14ac:dyDescent="0.2">
      <c r="B1772" s="38"/>
    </row>
    <row r="1773" spans="2:2" x14ac:dyDescent="0.2">
      <c r="B1773" s="38"/>
    </row>
    <row r="1774" spans="2:2" x14ac:dyDescent="0.2">
      <c r="B1774" s="38"/>
    </row>
    <row r="1775" spans="2:2" x14ac:dyDescent="0.2">
      <c r="B1775" s="38"/>
    </row>
    <row r="1776" spans="2:2" x14ac:dyDescent="0.2">
      <c r="B1776" s="38"/>
    </row>
    <row r="1777" spans="2:2" x14ac:dyDescent="0.2">
      <c r="B1777" s="38"/>
    </row>
    <row r="1778" spans="2:2" x14ac:dyDescent="0.2">
      <c r="B1778" s="38"/>
    </row>
    <row r="1779" spans="2:2" x14ac:dyDescent="0.2">
      <c r="B1779" s="38"/>
    </row>
    <row r="1780" spans="2:2" x14ac:dyDescent="0.2">
      <c r="B1780" s="38"/>
    </row>
    <row r="1781" spans="2:2" x14ac:dyDescent="0.2">
      <c r="B1781" s="38"/>
    </row>
    <row r="1782" spans="2:2" x14ac:dyDescent="0.2">
      <c r="B1782" s="38"/>
    </row>
    <row r="1783" spans="2:2" x14ac:dyDescent="0.2">
      <c r="B1783" s="38"/>
    </row>
    <row r="1784" spans="2:2" x14ac:dyDescent="0.2">
      <c r="B1784" s="38"/>
    </row>
    <row r="1785" spans="2:2" x14ac:dyDescent="0.2">
      <c r="B1785" s="38"/>
    </row>
    <row r="1786" spans="2:2" x14ac:dyDescent="0.2">
      <c r="B1786" s="38"/>
    </row>
    <row r="1787" spans="2:2" x14ac:dyDescent="0.2">
      <c r="B1787" s="38"/>
    </row>
    <row r="1788" spans="2:2" x14ac:dyDescent="0.2">
      <c r="B1788" s="38"/>
    </row>
    <row r="1789" spans="2:2" x14ac:dyDescent="0.2">
      <c r="B1789" s="38"/>
    </row>
    <row r="1790" spans="2:2" x14ac:dyDescent="0.2">
      <c r="B1790" s="38"/>
    </row>
    <row r="1791" spans="2:2" x14ac:dyDescent="0.2">
      <c r="B1791" s="38"/>
    </row>
    <row r="1792" spans="2:2" x14ac:dyDescent="0.2">
      <c r="B1792" s="38"/>
    </row>
    <row r="1793" spans="2:2" x14ac:dyDescent="0.2">
      <c r="B1793" s="38"/>
    </row>
    <row r="1794" spans="2:2" x14ac:dyDescent="0.2">
      <c r="B1794" s="38"/>
    </row>
    <row r="1795" spans="2:2" x14ac:dyDescent="0.2">
      <c r="B1795" s="38"/>
    </row>
    <row r="1796" spans="2:2" x14ac:dyDescent="0.2">
      <c r="B1796" s="38"/>
    </row>
    <row r="1797" spans="2:2" x14ac:dyDescent="0.2">
      <c r="B1797" s="38"/>
    </row>
    <row r="1798" spans="2:2" x14ac:dyDescent="0.2">
      <c r="B1798" s="38"/>
    </row>
    <row r="1799" spans="2:2" x14ac:dyDescent="0.2">
      <c r="B1799" s="38"/>
    </row>
    <row r="1800" spans="2:2" x14ac:dyDescent="0.2">
      <c r="B1800" s="38"/>
    </row>
    <row r="1801" spans="2:2" x14ac:dyDescent="0.2">
      <c r="B1801" s="38"/>
    </row>
    <row r="1802" spans="2:2" x14ac:dyDescent="0.2">
      <c r="B1802" s="38"/>
    </row>
    <row r="1803" spans="2:2" x14ac:dyDescent="0.2">
      <c r="B1803" s="38"/>
    </row>
    <row r="1804" spans="2:2" x14ac:dyDescent="0.2">
      <c r="B1804" s="38"/>
    </row>
    <row r="1805" spans="2:2" x14ac:dyDescent="0.2">
      <c r="B1805" s="38"/>
    </row>
    <row r="1806" spans="2:2" x14ac:dyDescent="0.2">
      <c r="B1806" s="38"/>
    </row>
    <row r="1807" spans="2:2" x14ac:dyDescent="0.2">
      <c r="B1807" s="38"/>
    </row>
    <row r="1808" spans="2:2" x14ac:dyDescent="0.2">
      <c r="B1808" s="38"/>
    </row>
    <row r="1809" spans="2:2" x14ac:dyDescent="0.2">
      <c r="B1809" s="38"/>
    </row>
    <row r="1810" spans="2:2" x14ac:dyDescent="0.2">
      <c r="B1810" s="38"/>
    </row>
    <row r="1811" spans="2:2" x14ac:dyDescent="0.2">
      <c r="B1811" s="38"/>
    </row>
    <row r="1812" spans="2:2" x14ac:dyDescent="0.2">
      <c r="B1812" s="38"/>
    </row>
    <row r="1813" spans="2:2" x14ac:dyDescent="0.2">
      <c r="B1813" s="38"/>
    </row>
    <row r="1814" spans="2:2" x14ac:dyDescent="0.2">
      <c r="B1814" s="38"/>
    </row>
    <row r="1815" spans="2:2" x14ac:dyDescent="0.2">
      <c r="B1815" s="38"/>
    </row>
    <row r="1816" spans="2:2" x14ac:dyDescent="0.2">
      <c r="B1816" s="38"/>
    </row>
    <row r="1817" spans="2:2" x14ac:dyDescent="0.2">
      <c r="B1817" s="38"/>
    </row>
    <row r="1818" spans="2:2" x14ac:dyDescent="0.2">
      <c r="B1818" s="38"/>
    </row>
    <row r="1819" spans="2:2" x14ac:dyDescent="0.2">
      <c r="B1819" s="38"/>
    </row>
    <row r="1820" spans="2:2" x14ac:dyDescent="0.2">
      <c r="B1820" s="38"/>
    </row>
    <row r="1821" spans="2:2" x14ac:dyDescent="0.2">
      <c r="B1821" s="38"/>
    </row>
    <row r="1822" spans="2:2" x14ac:dyDescent="0.2">
      <c r="B1822" s="38"/>
    </row>
    <row r="1823" spans="2:2" x14ac:dyDescent="0.2">
      <c r="B1823" s="38"/>
    </row>
    <row r="1824" spans="2:2" x14ac:dyDescent="0.2">
      <c r="B1824" s="38"/>
    </row>
    <row r="1825" spans="2:2" x14ac:dyDescent="0.2">
      <c r="B1825" s="38"/>
    </row>
    <row r="1826" spans="2:2" x14ac:dyDescent="0.2">
      <c r="B1826" s="38"/>
    </row>
    <row r="1827" spans="2:2" x14ac:dyDescent="0.2">
      <c r="B1827" s="38"/>
    </row>
    <row r="1828" spans="2:2" x14ac:dyDescent="0.2">
      <c r="B1828" s="38"/>
    </row>
    <row r="1829" spans="2:2" x14ac:dyDescent="0.2">
      <c r="B1829" s="38"/>
    </row>
    <row r="1830" spans="2:2" x14ac:dyDescent="0.2">
      <c r="B1830" s="38"/>
    </row>
    <row r="1831" spans="2:2" x14ac:dyDescent="0.2">
      <c r="B1831" s="38"/>
    </row>
    <row r="1832" spans="2:2" x14ac:dyDescent="0.2">
      <c r="B1832" s="38"/>
    </row>
    <row r="1833" spans="2:2" x14ac:dyDescent="0.2">
      <c r="B1833" s="38"/>
    </row>
    <row r="1834" spans="2:2" x14ac:dyDescent="0.2">
      <c r="B1834" s="38"/>
    </row>
    <row r="1835" spans="2:2" x14ac:dyDescent="0.2">
      <c r="B1835" s="38"/>
    </row>
    <row r="1836" spans="2:2" x14ac:dyDescent="0.2">
      <c r="B1836" s="38"/>
    </row>
    <row r="1837" spans="2:2" x14ac:dyDescent="0.2">
      <c r="B1837" s="38"/>
    </row>
    <row r="1838" spans="2:2" x14ac:dyDescent="0.2">
      <c r="B1838" s="38"/>
    </row>
    <row r="1839" spans="2:2" x14ac:dyDescent="0.2">
      <c r="B1839" s="38"/>
    </row>
    <row r="1840" spans="2:2" x14ac:dyDescent="0.2">
      <c r="B1840" s="38"/>
    </row>
    <row r="1841" spans="2:2" x14ac:dyDescent="0.2">
      <c r="B1841" s="38"/>
    </row>
    <row r="1842" spans="2:2" x14ac:dyDescent="0.2">
      <c r="B1842" s="38"/>
    </row>
    <row r="1843" spans="2:2" x14ac:dyDescent="0.2">
      <c r="B1843" s="38"/>
    </row>
    <row r="1844" spans="2:2" x14ac:dyDescent="0.2">
      <c r="B1844" s="38"/>
    </row>
    <row r="1845" spans="2:2" x14ac:dyDescent="0.2">
      <c r="B1845" s="38"/>
    </row>
    <row r="1846" spans="2:2" x14ac:dyDescent="0.2">
      <c r="B1846" s="38"/>
    </row>
    <row r="1847" spans="2:2" x14ac:dyDescent="0.2">
      <c r="B1847" s="38"/>
    </row>
    <row r="1848" spans="2:2" x14ac:dyDescent="0.2">
      <c r="B1848" s="38"/>
    </row>
    <row r="1849" spans="2:2" x14ac:dyDescent="0.2">
      <c r="B1849" s="38"/>
    </row>
    <row r="1850" spans="2:2" x14ac:dyDescent="0.2">
      <c r="B1850" s="38"/>
    </row>
    <row r="1851" spans="2:2" x14ac:dyDescent="0.2">
      <c r="B1851" s="38"/>
    </row>
    <row r="1852" spans="2:2" x14ac:dyDescent="0.2">
      <c r="B1852" s="38"/>
    </row>
    <row r="1853" spans="2:2" x14ac:dyDescent="0.2">
      <c r="B1853" s="38"/>
    </row>
    <row r="1854" spans="2:2" x14ac:dyDescent="0.2">
      <c r="B1854" s="38"/>
    </row>
    <row r="1855" spans="2:2" x14ac:dyDescent="0.2">
      <c r="B1855" s="38"/>
    </row>
    <row r="1856" spans="2:2" x14ac:dyDescent="0.2">
      <c r="B1856" s="38"/>
    </row>
    <row r="1857" spans="2:2" x14ac:dyDescent="0.2">
      <c r="B1857" s="38"/>
    </row>
    <row r="1858" spans="2:2" x14ac:dyDescent="0.2">
      <c r="B1858" s="38"/>
    </row>
    <row r="1859" spans="2:2" x14ac:dyDescent="0.2">
      <c r="B1859" s="38"/>
    </row>
    <row r="1860" spans="2:2" x14ac:dyDescent="0.2">
      <c r="B1860" s="38"/>
    </row>
    <row r="1861" spans="2:2" x14ac:dyDescent="0.2">
      <c r="B1861" s="38"/>
    </row>
    <row r="1862" spans="2:2" x14ac:dyDescent="0.2">
      <c r="B1862" s="38"/>
    </row>
    <row r="1863" spans="2:2" x14ac:dyDescent="0.2">
      <c r="B1863" s="38"/>
    </row>
    <row r="1864" spans="2:2" x14ac:dyDescent="0.2">
      <c r="B1864" s="38"/>
    </row>
    <row r="1865" spans="2:2" x14ac:dyDescent="0.2">
      <c r="B1865" s="38"/>
    </row>
    <row r="1866" spans="2:2" x14ac:dyDescent="0.2">
      <c r="B1866" s="38"/>
    </row>
    <row r="1867" spans="2:2" x14ac:dyDescent="0.2">
      <c r="B1867" s="38"/>
    </row>
    <row r="1868" spans="2:2" x14ac:dyDescent="0.2">
      <c r="B1868" s="38"/>
    </row>
    <row r="1869" spans="2:2" x14ac:dyDescent="0.2">
      <c r="B1869" s="38"/>
    </row>
    <row r="1870" spans="2:2" x14ac:dyDescent="0.2">
      <c r="B1870" s="38"/>
    </row>
    <row r="1871" spans="2:2" x14ac:dyDescent="0.2">
      <c r="B1871" s="38"/>
    </row>
    <row r="1872" spans="2:2" x14ac:dyDescent="0.2">
      <c r="B1872" s="38"/>
    </row>
    <row r="1873" spans="2:2" x14ac:dyDescent="0.2">
      <c r="B1873" s="38"/>
    </row>
    <row r="1874" spans="2:2" x14ac:dyDescent="0.2">
      <c r="B1874" s="38"/>
    </row>
    <row r="1875" spans="2:2" x14ac:dyDescent="0.2">
      <c r="B1875" s="38"/>
    </row>
    <row r="1876" spans="2:2" x14ac:dyDescent="0.2">
      <c r="B1876" s="38"/>
    </row>
    <row r="1877" spans="2:2" x14ac:dyDescent="0.2">
      <c r="B1877" s="38"/>
    </row>
    <row r="1878" spans="2:2" x14ac:dyDescent="0.2">
      <c r="B1878" s="38"/>
    </row>
    <row r="1879" spans="2:2" x14ac:dyDescent="0.2">
      <c r="B1879" s="38"/>
    </row>
    <row r="1880" spans="2:2" x14ac:dyDescent="0.2">
      <c r="B1880" s="38"/>
    </row>
    <row r="1881" spans="2:2" x14ac:dyDescent="0.2">
      <c r="B1881" s="38"/>
    </row>
    <row r="1882" spans="2:2" x14ac:dyDescent="0.2">
      <c r="B1882" s="38"/>
    </row>
    <row r="1883" spans="2:2" x14ac:dyDescent="0.2">
      <c r="B1883" s="38"/>
    </row>
    <row r="1884" spans="2:2" x14ac:dyDescent="0.2">
      <c r="B1884" s="38"/>
    </row>
    <row r="1885" spans="2:2" x14ac:dyDescent="0.2">
      <c r="B1885" s="38"/>
    </row>
    <row r="1886" spans="2:2" x14ac:dyDescent="0.2">
      <c r="B1886" s="38"/>
    </row>
    <row r="1887" spans="2:2" x14ac:dyDescent="0.2">
      <c r="B1887" s="38"/>
    </row>
    <row r="1888" spans="2:2" x14ac:dyDescent="0.2">
      <c r="B1888" s="38"/>
    </row>
    <row r="1889" spans="2:2" x14ac:dyDescent="0.2">
      <c r="B1889" s="38"/>
    </row>
    <row r="1890" spans="2:2" x14ac:dyDescent="0.2">
      <c r="B1890" s="38"/>
    </row>
    <row r="1891" spans="2:2" x14ac:dyDescent="0.2">
      <c r="B1891" s="38"/>
    </row>
    <row r="1892" spans="2:2" x14ac:dyDescent="0.2">
      <c r="B1892" s="38"/>
    </row>
    <row r="1893" spans="2:2" x14ac:dyDescent="0.2">
      <c r="B1893" s="38"/>
    </row>
    <row r="1894" spans="2:2" x14ac:dyDescent="0.2">
      <c r="B1894" s="38"/>
    </row>
    <row r="1895" spans="2:2" x14ac:dyDescent="0.2">
      <c r="B1895" s="38"/>
    </row>
    <row r="1896" spans="2:2" x14ac:dyDescent="0.2">
      <c r="B1896" s="38"/>
    </row>
    <row r="1897" spans="2:2" x14ac:dyDescent="0.2">
      <c r="B1897" s="38"/>
    </row>
    <row r="1898" spans="2:2" x14ac:dyDescent="0.2">
      <c r="B1898" s="38"/>
    </row>
    <row r="1899" spans="2:2" x14ac:dyDescent="0.2">
      <c r="B1899" s="38"/>
    </row>
    <row r="1900" spans="2:2" x14ac:dyDescent="0.2">
      <c r="B1900" s="38"/>
    </row>
    <row r="1901" spans="2:2" x14ac:dyDescent="0.2">
      <c r="B1901" s="38"/>
    </row>
    <row r="1902" spans="2:2" x14ac:dyDescent="0.2">
      <c r="B1902" s="38"/>
    </row>
    <row r="1903" spans="2:2" x14ac:dyDescent="0.2">
      <c r="B1903" s="38"/>
    </row>
    <row r="1904" spans="2:2" x14ac:dyDescent="0.2">
      <c r="B1904" s="38"/>
    </row>
    <row r="1905" spans="2:2" x14ac:dyDescent="0.2">
      <c r="B1905" s="38"/>
    </row>
    <row r="1906" spans="2:2" x14ac:dyDescent="0.2">
      <c r="B1906" s="38"/>
    </row>
    <row r="1907" spans="2:2" x14ac:dyDescent="0.2">
      <c r="B1907" s="38"/>
    </row>
    <row r="1908" spans="2:2" x14ac:dyDescent="0.2">
      <c r="B1908" s="38"/>
    </row>
    <row r="1909" spans="2:2" x14ac:dyDescent="0.2">
      <c r="B1909" s="38"/>
    </row>
    <row r="1910" spans="2:2" x14ac:dyDescent="0.2">
      <c r="B1910" s="38"/>
    </row>
    <row r="1911" spans="2:2" x14ac:dyDescent="0.2">
      <c r="B1911" s="38"/>
    </row>
    <row r="1912" spans="2:2" x14ac:dyDescent="0.2">
      <c r="B1912" s="38"/>
    </row>
    <row r="1913" spans="2:2" x14ac:dyDescent="0.2">
      <c r="B1913" s="38"/>
    </row>
    <row r="1914" spans="2:2" x14ac:dyDescent="0.2">
      <c r="B1914" s="38"/>
    </row>
    <row r="1915" spans="2:2" x14ac:dyDescent="0.2">
      <c r="B1915" s="38"/>
    </row>
    <row r="1916" spans="2:2" x14ac:dyDescent="0.2">
      <c r="B1916" s="38"/>
    </row>
    <row r="1917" spans="2:2" x14ac:dyDescent="0.2">
      <c r="B1917" s="38"/>
    </row>
    <row r="1918" spans="2:2" x14ac:dyDescent="0.2">
      <c r="B1918" s="38"/>
    </row>
    <row r="1919" spans="2:2" x14ac:dyDescent="0.2">
      <c r="B1919" s="38"/>
    </row>
    <row r="1920" spans="2:2" x14ac:dyDescent="0.2">
      <c r="B1920" s="38"/>
    </row>
    <row r="1921" spans="2:2" x14ac:dyDescent="0.2">
      <c r="B1921" s="38"/>
    </row>
    <row r="1922" spans="2:2" x14ac:dyDescent="0.2">
      <c r="B1922" s="38"/>
    </row>
    <row r="1923" spans="2:2" x14ac:dyDescent="0.2">
      <c r="B1923" s="38"/>
    </row>
    <row r="1924" spans="2:2" x14ac:dyDescent="0.2">
      <c r="B1924" s="38"/>
    </row>
    <row r="1925" spans="2:2" x14ac:dyDescent="0.2">
      <c r="B1925" s="38"/>
    </row>
    <row r="1926" spans="2:2" x14ac:dyDescent="0.2">
      <c r="B1926" s="38"/>
    </row>
    <row r="1927" spans="2:2" x14ac:dyDescent="0.2">
      <c r="B1927" s="38"/>
    </row>
    <row r="1928" spans="2:2" x14ac:dyDescent="0.2">
      <c r="B1928" s="38"/>
    </row>
    <row r="1929" spans="2:2" x14ac:dyDescent="0.2">
      <c r="B1929" s="38"/>
    </row>
    <row r="1930" spans="2:2" x14ac:dyDescent="0.2">
      <c r="B1930" s="38"/>
    </row>
    <row r="1931" spans="2:2" x14ac:dyDescent="0.2">
      <c r="B1931" s="38"/>
    </row>
    <row r="1932" spans="2:2" x14ac:dyDescent="0.2">
      <c r="B1932" s="38"/>
    </row>
    <row r="1933" spans="2:2" x14ac:dyDescent="0.2">
      <c r="B1933" s="38"/>
    </row>
    <row r="1934" spans="2:2" x14ac:dyDescent="0.2">
      <c r="B1934" s="38"/>
    </row>
    <row r="1935" spans="2:2" x14ac:dyDescent="0.2">
      <c r="B1935" s="38"/>
    </row>
    <row r="1936" spans="2:2" x14ac:dyDescent="0.2">
      <c r="B1936" s="38"/>
    </row>
    <row r="1937" spans="2:2" x14ac:dyDescent="0.2">
      <c r="B1937" s="38"/>
    </row>
    <row r="1938" spans="2:2" x14ac:dyDescent="0.2">
      <c r="B1938" s="38"/>
    </row>
    <row r="1939" spans="2:2" x14ac:dyDescent="0.2">
      <c r="B1939" s="38"/>
    </row>
    <row r="1940" spans="2:2" x14ac:dyDescent="0.2">
      <c r="B1940" s="38"/>
    </row>
    <row r="1941" spans="2:2" x14ac:dyDescent="0.2">
      <c r="B1941" s="38"/>
    </row>
    <row r="1942" spans="2:2" x14ac:dyDescent="0.2">
      <c r="B1942" s="38"/>
    </row>
    <row r="1943" spans="2:2" x14ac:dyDescent="0.2">
      <c r="B1943" s="38"/>
    </row>
    <row r="1944" spans="2:2" x14ac:dyDescent="0.2">
      <c r="B1944" s="38"/>
    </row>
    <row r="1945" spans="2:2" x14ac:dyDescent="0.2">
      <c r="B1945" s="38"/>
    </row>
    <row r="1946" spans="2:2" x14ac:dyDescent="0.2">
      <c r="B1946" s="38"/>
    </row>
    <row r="1947" spans="2:2" x14ac:dyDescent="0.2">
      <c r="B1947" s="38"/>
    </row>
    <row r="1948" spans="2:2" x14ac:dyDescent="0.2">
      <c r="B1948" s="38"/>
    </row>
    <row r="1949" spans="2:2" x14ac:dyDescent="0.2">
      <c r="B1949" s="38"/>
    </row>
    <row r="1950" spans="2:2" x14ac:dyDescent="0.2">
      <c r="B1950" s="38"/>
    </row>
    <row r="1951" spans="2:2" x14ac:dyDescent="0.2">
      <c r="B1951" s="38"/>
    </row>
    <row r="1952" spans="2:2" x14ac:dyDescent="0.2">
      <c r="B1952" s="38"/>
    </row>
    <row r="1953" spans="2:2" x14ac:dyDescent="0.2">
      <c r="B1953" s="38"/>
    </row>
    <row r="1954" spans="2:2" x14ac:dyDescent="0.2">
      <c r="B1954" s="38"/>
    </row>
    <row r="1955" spans="2:2" x14ac:dyDescent="0.2">
      <c r="B1955" s="38"/>
    </row>
    <row r="1956" spans="2:2" x14ac:dyDescent="0.2">
      <c r="B1956" s="38"/>
    </row>
    <row r="1957" spans="2:2" x14ac:dyDescent="0.2">
      <c r="B1957" s="38"/>
    </row>
    <row r="1958" spans="2:2" x14ac:dyDescent="0.2">
      <c r="B1958" s="38"/>
    </row>
    <row r="1959" spans="2:2" x14ac:dyDescent="0.2">
      <c r="B1959" s="38"/>
    </row>
    <row r="1960" spans="2:2" x14ac:dyDescent="0.2">
      <c r="B1960" s="38"/>
    </row>
    <row r="1961" spans="2:2" x14ac:dyDescent="0.2">
      <c r="B1961" s="38"/>
    </row>
    <row r="1962" spans="2:2" x14ac:dyDescent="0.2">
      <c r="B1962" s="38"/>
    </row>
    <row r="1963" spans="2:2" x14ac:dyDescent="0.2">
      <c r="B1963" s="38"/>
    </row>
    <row r="1964" spans="2:2" x14ac:dyDescent="0.2">
      <c r="B1964" s="38"/>
    </row>
    <row r="1965" spans="2:2" x14ac:dyDescent="0.2">
      <c r="B1965" s="38"/>
    </row>
    <row r="1966" spans="2:2" x14ac:dyDescent="0.2">
      <c r="B1966" s="38"/>
    </row>
    <row r="1967" spans="2:2" x14ac:dyDescent="0.2">
      <c r="B1967" s="38"/>
    </row>
    <row r="1968" spans="2:2" x14ac:dyDescent="0.2">
      <c r="B1968" s="38"/>
    </row>
    <row r="1969" spans="2:2" x14ac:dyDescent="0.2">
      <c r="B1969" s="38"/>
    </row>
    <row r="1970" spans="2:2" x14ac:dyDescent="0.2">
      <c r="B1970" s="38"/>
    </row>
    <row r="1971" spans="2:2" x14ac:dyDescent="0.2">
      <c r="B1971" s="38"/>
    </row>
    <row r="1972" spans="2:2" x14ac:dyDescent="0.2">
      <c r="B1972" s="38"/>
    </row>
    <row r="1973" spans="2:2" x14ac:dyDescent="0.2">
      <c r="B1973" s="38"/>
    </row>
    <row r="1974" spans="2:2" x14ac:dyDescent="0.2">
      <c r="B1974" s="38"/>
    </row>
    <row r="1975" spans="2:2" x14ac:dyDescent="0.2">
      <c r="B1975" s="38"/>
    </row>
    <row r="1976" spans="2:2" x14ac:dyDescent="0.2">
      <c r="B1976" s="38"/>
    </row>
    <row r="1977" spans="2:2" x14ac:dyDescent="0.2">
      <c r="B1977" s="38"/>
    </row>
    <row r="1978" spans="2:2" x14ac:dyDescent="0.2">
      <c r="B1978" s="38"/>
    </row>
    <row r="1979" spans="2:2" x14ac:dyDescent="0.2">
      <c r="B1979" s="38"/>
    </row>
    <row r="1980" spans="2:2" x14ac:dyDescent="0.2">
      <c r="B1980" s="38"/>
    </row>
    <row r="1981" spans="2:2" x14ac:dyDescent="0.2">
      <c r="B1981" s="38"/>
    </row>
    <row r="1982" spans="2:2" x14ac:dyDescent="0.2">
      <c r="B1982" s="38"/>
    </row>
    <row r="1983" spans="2:2" x14ac:dyDescent="0.2">
      <c r="B1983" s="38"/>
    </row>
    <row r="1984" spans="2:2" x14ac:dyDescent="0.2">
      <c r="B1984" s="38"/>
    </row>
    <row r="1985" spans="2:2" x14ac:dyDescent="0.2">
      <c r="B1985" s="38"/>
    </row>
    <row r="1986" spans="2:2" x14ac:dyDescent="0.2">
      <c r="B1986" s="38"/>
    </row>
    <row r="1987" spans="2:2" x14ac:dyDescent="0.2">
      <c r="B1987" s="38"/>
    </row>
    <row r="1988" spans="2:2" x14ac:dyDescent="0.2">
      <c r="B1988" s="38"/>
    </row>
    <row r="1989" spans="2:2" x14ac:dyDescent="0.2">
      <c r="B1989" s="38"/>
    </row>
    <row r="1990" spans="2:2" x14ac:dyDescent="0.2">
      <c r="B1990" s="38"/>
    </row>
    <row r="1991" spans="2:2" x14ac:dyDescent="0.2">
      <c r="B1991" s="38"/>
    </row>
    <row r="1992" spans="2:2" x14ac:dyDescent="0.2">
      <c r="B1992" s="38"/>
    </row>
    <row r="1993" spans="2:2" x14ac:dyDescent="0.2">
      <c r="B1993" s="38"/>
    </row>
    <row r="1994" spans="2:2" x14ac:dyDescent="0.2">
      <c r="B1994" s="38"/>
    </row>
    <row r="1995" spans="2:2" x14ac:dyDescent="0.2">
      <c r="B1995" s="38"/>
    </row>
    <row r="1996" spans="2:2" x14ac:dyDescent="0.2">
      <c r="B1996" s="38"/>
    </row>
    <row r="1997" spans="2:2" x14ac:dyDescent="0.2">
      <c r="B1997" s="38"/>
    </row>
    <row r="1998" spans="2:2" x14ac:dyDescent="0.2">
      <c r="B1998" s="38"/>
    </row>
    <row r="1999" spans="2:2" x14ac:dyDescent="0.2">
      <c r="B1999" s="38"/>
    </row>
    <row r="2000" spans="2:2" x14ac:dyDescent="0.2">
      <c r="B2000" s="38"/>
    </row>
    <row r="2001" spans="2:2" x14ac:dyDescent="0.2">
      <c r="B2001" s="38"/>
    </row>
    <row r="2002" spans="2:2" x14ac:dyDescent="0.2">
      <c r="B2002" s="38"/>
    </row>
    <row r="2003" spans="2:2" x14ac:dyDescent="0.2">
      <c r="B2003" s="38"/>
    </row>
    <row r="2004" spans="2:2" x14ac:dyDescent="0.2">
      <c r="B2004" s="38"/>
    </row>
    <row r="2005" spans="2:2" x14ac:dyDescent="0.2">
      <c r="B2005" s="38"/>
    </row>
    <row r="2006" spans="2:2" x14ac:dyDescent="0.2">
      <c r="B2006" s="38"/>
    </row>
    <row r="2007" spans="2:2" x14ac:dyDescent="0.2">
      <c r="B2007" s="38"/>
    </row>
    <row r="2008" spans="2:2" x14ac:dyDescent="0.2">
      <c r="B2008" s="38"/>
    </row>
    <row r="2009" spans="2:2" x14ac:dyDescent="0.2">
      <c r="B2009" s="38"/>
    </row>
    <row r="2010" spans="2:2" x14ac:dyDescent="0.2">
      <c r="B2010" s="38"/>
    </row>
    <row r="2011" spans="2:2" x14ac:dyDescent="0.2">
      <c r="B2011" s="38"/>
    </row>
    <row r="2012" spans="2:2" x14ac:dyDescent="0.2">
      <c r="B2012" s="38"/>
    </row>
    <row r="2013" spans="2:2" x14ac:dyDescent="0.2">
      <c r="B2013" s="38"/>
    </row>
    <row r="2014" spans="2:2" x14ac:dyDescent="0.2">
      <c r="B2014" s="38"/>
    </row>
    <row r="2015" spans="2:2" x14ac:dyDescent="0.2">
      <c r="B2015" s="38"/>
    </row>
    <row r="2016" spans="2:2" x14ac:dyDescent="0.2">
      <c r="B2016" s="38"/>
    </row>
    <row r="2017" spans="2:2" x14ac:dyDescent="0.2">
      <c r="B2017" s="38"/>
    </row>
    <row r="2018" spans="2:2" x14ac:dyDescent="0.2">
      <c r="B2018" s="38"/>
    </row>
    <row r="2019" spans="2:2" x14ac:dyDescent="0.2">
      <c r="B2019" s="38"/>
    </row>
    <row r="2020" spans="2:2" x14ac:dyDescent="0.2">
      <c r="B2020" s="38"/>
    </row>
    <row r="2021" spans="2:2" x14ac:dyDescent="0.2">
      <c r="B2021" s="38"/>
    </row>
    <row r="2022" spans="2:2" x14ac:dyDescent="0.2">
      <c r="B2022" s="38"/>
    </row>
    <row r="2023" spans="2:2" x14ac:dyDescent="0.2">
      <c r="B2023" s="38"/>
    </row>
    <row r="2024" spans="2:2" x14ac:dyDescent="0.2">
      <c r="B2024" s="38"/>
    </row>
    <row r="2025" spans="2:2" x14ac:dyDescent="0.2">
      <c r="B2025" s="38"/>
    </row>
    <row r="2026" spans="2:2" x14ac:dyDescent="0.2">
      <c r="B2026" s="38"/>
    </row>
    <row r="2027" spans="2:2" x14ac:dyDescent="0.2">
      <c r="B2027" s="38"/>
    </row>
    <row r="2028" spans="2:2" x14ac:dyDescent="0.2">
      <c r="B2028" s="38"/>
    </row>
    <row r="2029" spans="2:2" x14ac:dyDescent="0.2">
      <c r="B2029" s="38"/>
    </row>
    <row r="2030" spans="2:2" x14ac:dyDescent="0.2">
      <c r="B2030" s="38"/>
    </row>
    <row r="2031" spans="2:2" x14ac:dyDescent="0.2">
      <c r="B2031" s="38"/>
    </row>
    <row r="2032" spans="2:2" x14ac:dyDescent="0.2">
      <c r="B2032" s="38"/>
    </row>
    <row r="2033" spans="2:2" x14ac:dyDescent="0.2">
      <c r="B2033" s="38"/>
    </row>
    <row r="2034" spans="2:2" x14ac:dyDescent="0.2">
      <c r="B2034" s="38"/>
    </row>
    <row r="2035" spans="2:2" x14ac:dyDescent="0.2">
      <c r="B2035" s="38"/>
    </row>
    <row r="2036" spans="2:2" x14ac:dyDescent="0.2">
      <c r="B2036" s="38"/>
    </row>
    <row r="2037" spans="2:2" x14ac:dyDescent="0.2">
      <c r="B2037" s="38"/>
    </row>
    <row r="2038" spans="2:2" x14ac:dyDescent="0.2">
      <c r="B2038" s="38"/>
    </row>
    <row r="2039" spans="2:2" x14ac:dyDescent="0.2">
      <c r="B2039" s="38"/>
    </row>
    <row r="2040" spans="2:2" x14ac:dyDescent="0.2">
      <c r="B2040" s="38"/>
    </row>
    <row r="2041" spans="2:2" x14ac:dyDescent="0.2">
      <c r="B2041" s="38"/>
    </row>
    <row r="2042" spans="2:2" x14ac:dyDescent="0.2">
      <c r="B2042" s="38"/>
    </row>
    <row r="2043" spans="2:2" x14ac:dyDescent="0.2">
      <c r="B2043" s="38"/>
    </row>
    <row r="2044" spans="2:2" x14ac:dyDescent="0.2">
      <c r="B2044" s="38"/>
    </row>
    <row r="2045" spans="2:2" x14ac:dyDescent="0.2">
      <c r="B2045" s="38"/>
    </row>
    <row r="2046" spans="2:2" x14ac:dyDescent="0.2">
      <c r="B2046" s="38"/>
    </row>
    <row r="2047" spans="2:2" x14ac:dyDescent="0.2">
      <c r="B2047" s="38"/>
    </row>
    <row r="2048" spans="2:2" x14ac:dyDescent="0.2">
      <c r="B2048" s="38"/>
    </row>
    <row r="2049" spans="2:2" x14ac:dyDescent="0.2">
      <c r="B2049" s="38"/>
    </row>
    <row r="2050" spans="2:2" x14ac:dyDescent="0.2">
      <c r="B2050" s="38"/>
    </row>
    <row r="2051" spans="2:2" x14ac:dyDescent="0.2">
      <c r="B2051" s="38"/>
    </row>
    <row r="2052" spans="2:2" x14ac:dyDescent="0.2">
      <c r="B2052" s="38"/>
    </row>
    <row r="2053" spans="2:2" x14ac:dyDescent="0.2">
      <c r="B2053" s="38"/>
    </row>
    <row r="2054" spans="2:2" x14ac:dyDescent="0.2">
      <c r="B2054" s="38"/>
    </row>
    <row r="2055" spans="2:2" x14ac:dyDescent="0.2">
      <c r="B2055" s="38"/>
    </row>
    <row r="2056" spans="2:2" x14ac:dyDescent="0.2">
      <c r="B2056" s="38"/>
    </row>
    <row r="2057" spans="2:2" x14ac:dyDescent="0.2">
      <c r="B2057" s="38"/>
    </row>
    <row r="2058" spans="2:2" x14ac:dyDescent="0.2">
      <c r="B2058" s="38"/>
    </row>
    <row r="2059" spans="2:2" x14ac:dyDescent="0.2">
      <c r="B2059" s="38"/>
    </row>
    <row r="2060" spans="2:2" x14ac:dyDescent="0.2">
      <c r="B2060" s="38"/>
    </row>
    <row r="2061" spans="2:2" x14ac:dyDescent="0.2">
      <c r="B2061" s="38"/>
    </row>
    <row r="2062" spans="2:2" x14ac:dyDescent="0.2">
      <c r="B2062" s="38"/>
    </row>
    <row r="2063" spans="2:2" x14ac:dyDescent="0.2">
      <c r="B2063" s="38"/>
    </row>
    <row r="2064" spans="2:2" x14ac:dyDescent="0.2">
      <c r="B2064" s="38"/>
    </row>
    <row r="2065" spans="2:2" x14ac:dyDescent="0.2">
      <c r="B2065" s="38"/>
    </row>
    <row r="2066" spans="2:2" x14ac:dyDescent="0.2">
      <c r="B2066" s="38"/>
    </row>
    <row r="2067" spans="2:2" x14ac:dyDescent="0.2">
      <c r="B2067" s="38"/>
    </row>
    <row r="2068" spans="2:2" x14ac:dyDescent="0.2">
      <c r="B2068" s="38"/>
    </row>
    <row r="2069" spans="2:2" x14ac:dyDescent="0.2">
      <c r="B2069" s="38"/>
    </row>
    <row r="2070" spans="2:2" x14ac:dyDescent="0.2">
      <c r="B2070" s="38"/>
    </row>
    <row r="2071" spans="2:2" x14ac:dyDescent="0.2">
      <c r="B2071" s="38"/>
    </row>
    <row r="2072" spans="2:2" x14ac:dyDescent="0.2">
      <c r="B2072" s="38"/>
    </row>
    <row r="2073" spans="2:2" x14ac:dyDescent="0.2">
      <c r="B2073" s="38"/>
    </row>
    <row r="2074" spans="2:2" x14ac:dyDescent="0.2">
      <c r="B2074" s="38"/>
    </row>
    <row r="2075" spans="2:2" x14ac:dyDescent="0.2">
      <c r="B2075" s="38"/>
    </row>
    <row r="2076" spans="2:2" x14ac:dyDescent="0.2">
      <c r="B2076" s="38"/>
    </row>
    <row r="2077" spans="2:2" x14ac:dyDescent="0.2">
      <c r="B2077" s="38"/>
    </row>
    <row r="2078" spans="2:2" x14ac:dyDescent="0.2">
      <c r="B2078" s="38"/>
    </row>
    <row r="2079" spans="2:2" x14ac:dyDescent="0.2">
      <c r="B2079" s="38"/>
    </row>
    <row r="2080" spans="2:2" x14ac:dyDescent="0.2">
      <c r="B2080" s="38"/>
    </row>
    <row r="2081" spans="2:2" x14ac:dyDescent="0.2">
      <c r="B2081" s="38"/>
    </row>
    <row r="2082" spans="2:2" x14ac:dyDescent="0.2">
      <c r="B2082" s="38"/>
    </row>
    <row r="2083" spans="2:2" x14ac:dyDescent="0.2">
      <c r="B2083" s="38"/>
    </row>
    <row r="2084" spans="2:2" x14ac:dyDescent="0.2">
      <c r="B2084" s="38"/>
    </row>
    <row r="2085" spans="2:2" x14ac:dyDescent="0.2">
      <c r="B2085" s="38"/>
    </row>
    <row r="2086" spans="2:2" x14ac:dyDescent="0.2">
      <c r="B2086" s="38"/>
    </row>
    <row r="2087" spans="2:2" x14ac:dyDescent="0.2">
      <c r="B2087" s="38"/>
    </row>
    <row r="2088" spans="2:2" x14ac:dyDescent="0.2">
      <c r="B2088" s="38"/>
    </row>
    <row r="2089" spans="2:2" x14ac:dyDescent="0.2">
      <c r="B2089" s="38"/>
    </row>
    <row r="2090" spans="2:2" x14ac:dyDescent="0.2">
      <c r="B2090" s="38"/>
    </row>
    <row r="2091" spans="2:2" x14ac:dyDescent="0.2">
      <c r="B2091" s="38"/>
    </row>
    <row r="2092" spans="2:2" x14ac:dyDescent="0.2">
      <c r="B2092" s="38"/>
    </row>
    <row r="2093" spans="2:2" x14ac:dyDescent="0.2">
      <c r="B2093" s="38"/>
    </row>
    <row r="2094" spans="2:2" x14ac:dyDescent="0.2">
      <c r="B2094" s="38"/>
    </row>
    <row r="2095" spans="2:2" x14ac:dyDescent="0.2">
      <c r="B2095" s="38"/>
    </row>
    <row r="2096" spans="2:2" x14ac:dyDescent="0.2">
      <c r="B2096" s="38"/>
    </row>
    <row r="2097" spans="2:2" x14ac:dyDescent="0.2">
      <c r="B2097" s="38"/>
    </row>
    <row r="2098" spans="2:2" x14ac:dyDescent="0.2">
      <c r="B2098" s="38"/>
    </row>
    <row r="2099" spans="2:2" x14ac:dyDescent="0.2">
      <c r="B2099" s="38"/>
    </row>
    <row r="2100" spans="2:2" x14ac:dyDescent="0.2">
      <c r="B2100" s="38"/>
    </row>
    <row r="2101" spans="2:2" x14ac:dyDescent="0.2">
      <c r="B2101" s="38"/>
    </row>
    <row r="2102" spans="2:2" x14ac:dyDescent="0.2">
      <c r="B2102" s="38"/>
    </row>
    <row r="2103" spans="2:2" x14ac:dyDescent="0.2">
      <c r="B2103" s="38"/>
    </row>
    <row r="2104" spans="2:2" x14ac:dyDescent="0.2">
      <c r="B2104" s="38"/>
    </row>
    <row r="2105" spans="2:2" x14ac:dyDescent="0.2">
      <c r="B2105" s="38"/>
    </row>
    <row r="2106" spans="2:2" x14ac:dyDescent="0.2">
      <c r="B2106" s="38"/>
    </row>
    <row r="2107" spans="2:2" x14ac:dyDescent="0.2">
      <c r="B2107" s="38"/>
    </row>
    <row r="2108" spans="2:2" x14ac:dyDescent="0.2">
      <c r="B2108" s="38"/>
    </row>
    <row r="2109" spans="2:2" x14ac:dyDescent="0.2">
      <c r="B2109" s="38"/>
    </row>
    <row r="2110" spans="2:2" x14ac:dyDescent="0.2">
      <c r="B2110" s="38"/>
    </row>
    <row r="2111" spans="2:2" x14ac:dyDescent="0.2">
      <c r="B2111" s="38"/>
    </row>
    <row r="2112" spans="2:2" x14ac:dyDescent="0.2">
      <c r="B2112" s="38"/>
    </row>
    <row r="2113" spans="2:2" x14ac:dyDescent="0.2">
      <c r="B2113" s="38"/>
    </row>
    <row r="2114" spans="2:2" x14ac:dyDescent="0.2">
      <c r="B2114" s="38"/>
    </row>
    <row r="2115" spans="2:2" x14ac:dyDescent="0.2">
      <c r="B2115" s="38"/>
    </row>
    <row r="2116" spans="2:2" x14ac:dyDescent="0.2">
      <c r="B2116" s="38"/>
    </row>
    <row r="2117" spans="2:2" x14ac:dyDescent="0.2">
      <c r="B2117" s="38"/>
    </row>
    <row r="2118" spans="2:2" x14ac:dyDescent="0.2">
      <c r="B2118" s="38"/>
    </row>
    <row r="2119" spans="2:2" x14ac:dyDescent="0.2">
      <c r="B2119" s="38"/>
    </row>
    <row r="2120" spans="2:2" x14ac:dyDescent="0.2">
      <c r="B2120" s="38"/>
    </row>
    <row r="2121" spans="2:2" x14ac:dyDescent="0.2">
      <c r="B2121" s="38"/>
    </row>
    <row r="2122" spans="2:2" x14ac:dyDescent="0.2">
      <c r="B2122" s="38"/>
    </row>
    <row r="2123" spans="2:2" x14ac:dyDescent="0.2">
      <c r="B2123" s="38"/>
    </row>
    <row r="2124" spans="2:2" x14ac:dyDescent="0.2">
      <c r="B2124" s="38"/>
    </row>
    <row r="2125" spans="2:2" x14ac:dyDescent="0.2">
      <c r="B2125" s="38"/>
    </row>
    <row r="2126" spans="2:2" x14ac:dyDescent="0.2">
      <c r="B2126" s="38"/>
    </row>
    <row r="2127" spans="2:2" x14ac:dyDescent="0.2">
      <c r="B2127" s="38"/>
    </row>
    <row r="2128" spans="2:2" x14ac:dyDescent="0.2">
      <c r="B2128" s="38"/>
    </row>
    <row r="2129" spans="2:2" x14ac:dyDescent="0.2">
      <c r="B2129" s="38"/>
    </row>
    <row r="2130" spans="2:2" x14ac:dyDescent="0.2">
      <c r="B2130" s="38"/>
    </row>
    <row r="2131" spans="2:2" x14ac:dyDescent="0.2">
      <c r="B2131" s="38"/>
    </row>
    <row r="2132" spans="2:2" x14ac:dyDescent="0.2">
      <c r="B2132" s="38"/>
    </row>
    <row r="2133" spans="2:2" x14ac:dyDescent="0.2">
      <c r="B2133" s="38"/>
    </row>
    <row r="2134" spans="2:2" x14ac:dyDescent="0.2">
      <c r="B2134" s="38"/>
    </row>
    <row r="2135" spans="2:2" x14ac:dyDescent="0.2">
      <c r="B2135" s="38"/>
    </row>
    <row r="2136" spans="2:2" x14ac:dyDescent="0.2">
      <c r="B2136" s="38"/>
    </row>
    <row r="2137" spans="2:2" x14ac:dyDescent="0.2">
      <c r="B2137" s="38"/>
    </row>
    <row r="2138" spans="2:2" x14ac:dyDescent="0.2">
      <c r="B2138" s="38"/>
    </row>
    <row r="2139" spans="2:2" x14ac:dyDescent="0.2">
      <c r="B2139" s="38"/>
    </row>
    <row r="2140" spans="2:2" x14ac:dyDescent="0.2">
      <c r="B2140" s="38"/>
    </row>
    <row r="2141" spans="2:2" x14ac:dyDescent="0.2">
      <c r="B2141" s="38"/>
    </row>
    <row r="2142" spans="2:2" x14ac:dyDescent="0.2">
      <c r="B2142" s="38"/>
    </row>
    <row r="2143" spans="2:2" x14ac:dyDescent="0.2">
      <c r="B2143" s="38"/>
    </row>
    <row r="2144" spans="2:2" x14ac:dyDescent="0.2">
      <c r="B2144" s="38"/>
    </row>
    <row r="2145" spans="2:2" x14ac:dyDescent="0.2">
      <c r="B2145" s="38"/>
    </row>
    <row r="2146" spans="2:2" x14ac:dyDescent="0.2">
      <c r="B2146" s="38"/>
    </row>
    <row r="2147" spans="2:2" x14ac:dyDescent="0.2">
      <c r="B2147" s="38"/>
    </row>
    <row r="2148" spans="2:2" x14ac:dyDescent="0.2">
      <c r="B2148" s="38"/>
    </row>
    <row r="2149" spans="2:2" x14ac:dyDescent="0.2">
      <c r="B2149" s="38"/>
    </row>
    <row r="2150" spans="2:2" x14ac:dyDescent="0.2">
      <c r="B2150" s="38"/>
    </row>
    <row r="2151" spans="2:2" x14ac:dyDescent="0.2">
      <c r="B2151" s="38"/>
    </row>
    <row r="2152" spans="2:2" x14ac:dyDescent="0.2">
      <c r="B2152" s="38"/>
    </row>
    <row r="2153" spans="2:2" x14ac:dyDescent="0.2">
      <c r="B2153" s="38"/>
    </row>
    <row r="2154" spans="2:2" x14ac:dyDescent="0.2">
      <c r="B2154" s="38"/>
    </row>
    <row r="2155" spans="2:2" x14ac:dyDescent="0.2">
      <c r="B2155" s="38"/>
    </row>
    <row r="2156" spans="2:2" x14ac:dyDescent="0.2">
      <c r="B2156" s="38"/>
    </row>
    <row r="2157" spans="2:2" x14ac:dyDescent="0.2">
      <c r="B2157" s="38"/>
    </row>
    <row r="2158" spans="2:2" x14ac:dyDescent="0.2">
      <c r="B2158" s="38"/>
    </row>
    <row r="2159" spans="2:2" x14ac:dyDescent="0.2">
      <c r="B2159" s="38"/>
    </row>
    <row r="2160" spans="2:2" x14ac:dyDescent="0.2">
      <c r="B2160" s="38"/>
    </row>
    <row r="2161" spans="2:2" x14ac:dyDescent="0.2">
      <c r="B2161" s="38"/>
    </row>
    <row r="2162" spans="2:2" x14ac:dyDescent="0.2">
      <c r="B2162" s="38"/>
    </row>
    <row r="2163" spans="2:2" x14ac:dyDescent="0.2">
      <c r="B2163" s="38"/>
    </row>
    <row r="2164" spans="2:2" x14ac:dyDescent="0.2">
      <c r="B2164" s="38"/>
    </row>
    <row r="2165" spans="2:2" x14ac:dyDescent="0.2">
      <c r="B2165" s="38"/>
    </row>
    <row r="2166" spans="2:2" x14ac:dyDescent="0.2">
      <c r="B2166" s="38"/>
    </row>
    <row r="2167" spans="2:2" x14ac:dyDescent="0.2">
      <c r="B2167" s="38"/>
    </row>
    <row r="2168" spans="2:2" x14ac:dyDescent="0.2">
      <c r="B2168" s="38"/>
    </row>
    <row r="2169" spans="2:2" x14ac:dyDescent="0.2">
      <c r="B2169" s="38"/>
    </row>
    <row r="2170" spans="2:2" x14ac:dyDescent="0.2">
      <c r="B2170" s="38"/>
    </row>
    <row r="2171" spans="2:2" x14ac:dyDescent="0.2">
      <c r="B2171" s="38"/>
    </row>
    <row r="2172" spans="2:2" x14ac:dyDescent="0.2">
      <c r="B2172" s="38"/>
    </row>
    <row r="2173" spans="2:2" x14ac:dyDescent="0.2">
      <c r="B2173" s="38"/>
    </row>
    <row r="2174" spans="2:2" x14ac:dyDescent="0.2">
      <c r="B2174" s="38"/>
    </row>
    <row r="2175" spans="2:2" x14ac:dyDescent="0.2">
      <c r="B2175" s="38"/>
    </row>
    <row r="2176" spans="2:2" x14ac:dyDescent="0.2">
      <c r="B2176" s="38"/>
    </row>
    <row r="2177" spans="2:2" x14ac:dyDescent="0.2">
      <c r="B2177" s="38"/>
    </row>
    <row r="2178" spans="2:2" x14ac:dyDescent="0.2">
      <c r="B2178" s="38"/>
    </row>
    <row r="2179" spans="2:2" x14ac:dyDescent="0.2">
      <c r="B2179" s="38"/>
    </row>
    <row r="2180" spans="2:2" x14ac:dyDescent="0.2">
      <c r="B2180" s="38"/>
    </row>
    <row r="2181" spans="2:2" x14ac:dyDescent="0.2">
      <c r="B2181" s="38"/>
    </row>
    <row r="2182" spans="2:2" x14ac:dyDescent="0.2">
      <c r="B2182" s="38"/>
    </row>
    <row r="2183" spans="2:2" x14ac:dyDescent="0.2">
      <c r="B2183" s="38"/>
    </row>
    <row r="2184" spans="2:2" x14ac:dyDescent="0.2">
      <c r="B2184" s="38"/>
    </row>
    <row r="2185" spans="2:2" x14ac:dyDescent="0.2">
      <c r="B2185" s="38"/>
    </row>
    <row r="2186" spans="2:2" x14ac:dyDescent="0.2">
      <c r="B2186" s="38"/>
    </row>
    <row r="2187" spans="2:2" x14ac:dyDescent="0.2">
      <c r="B2187" s="38"/>
    </row>
    <row r="2188" spans="2:2" x14ac:dyDescent="0.2">
      <c r="B2188" s="38"/>
    </row>
    <row r="2189" spans="2:2" x14ac:dyDescent="0.2">
      <c r="B2189" s="38"/>
    </row>
    <row r="2190" spans="2:2" x14ac:dyDescent="0.2">
      <c r="B2190" s="38"/>
    </row>
    <row r="2191" spans="2:2" x14ac:dyDescent="0.2">
      <c r="B2191" s="38"/>
    </row>
    <row r="2192" spans="2:2" x14ac:dyDescent="0.2">
      <c r="B2192" s="38"/>
    </row>
    <row r="2193" spans="2:2" x14ac:dyDescent="0.2">
      <c r="B2193" s="38"/>
    </row>
    <row r="2194" spans="2:2" x14ac:dyDescent="0.2">
      <c r="B2194" s="38"/>
    </row>
    <row r="2195" spans="2:2" x14ac:dyDescent="0.2">
      <c r="B2195" s="38"/>
    </row>
    <row r="2196" spans="2:2" x14ac:dyDescent="0.2">
      <c r="B2196" s="38"/>
    </row>
    <row r="2197" spans="2:2" x14ac:dyDescent="0.2">
      <c r="B2197" s="38"/>
    </row>
    <row r="2198" spans="2:2" x14ac:dyDescent="0.2">
      <c r="B2198" s="38"/>
    </row>
    <row r="2199" spans="2:2" x14ac:dyDescent="0.2">
      <c r="B2199" s="38"/>
    </row>
    <row r="2200" spans="2:2" x14ac:dyDescent="0.2">
      <c r="B2200" s="38"/>
    </row>
    <row r="2201" spans="2:2" x14ac:dyDescent="0.2">
      <c r="B2201" s="38"/>
    </row>
    <row r="2202" spans="2:2" x14ac:dyDescent="0.2">
      <c r="B2202" s="38"/>
    </row>
    <row r="2203" spans="2:2" x14ac:dyDescent="0.2">
      <c r="B2203" s="38"/>
    </row>
    <row r="2204" spans="2:2" x14ac:dyDescent="0.2">
      <c r="B2204" s="38"/>
    </row>
    <row r="2205" spans="2:2" x14ac:dyDescent="0.2">
      <c r="B2205" s="38"/>
    </row>
    <row r="2206" spans="2:2" x14ac:dyDescent="0.2">
      <c r="B2206" s="38"/>
    </row>
    <row r="2207" spans="2:2" x14ac:dyDescent="0.2">
      <c r="B2207" s="38"/>
    </row>
    <row r="2208" spans="2:2" x14ac:dyDescent="0.2">
      <c r="B2208" s="38"/>
    </row>
    <row r="2209" spans="2:2" x14ac:dyDescent="0.2">
      <c r="B2209" s="38"/>
    </row>
    <row r="2210" spans="2:2" x14ac:dyDescent="0.2">
      <c r="B2210" s="38"/>
    </row>
    <row r="2211" spans="2:2" x14ac:dyDescent="0.2">
      <c r="B2211" s="38"/>
    </row>
    <row r="2212" spans="2:2" x14ac:dyDescent="0.2">
      <c r="B2212" s="38"/>
    </row>
    <row r="2213" spans="2:2" x14ac:dyDescent="0.2">
      <c r="B2213" s="38"/>
    </row>
    <row r="2214" spans="2:2" x14ac:dyDescent="0.2">
      <c r="B2214" s="38"/>
    </row>
    <row r="2215" spans="2:2" x14ac:dyDescent="0.2">
      <c r="B2215" s="38"/>
    </row>
    <row r="2216" spans="2:2" x14ac:dyDescent="0.2">
      <c r="B2216" s="38"/>
    </row>
    <row r="2217" spans="2:2" x14ac:dyDescent="0.2">
      <c r="B2217" s="38"/>
    </row>
    <row r="2218" spans="2:2" x14ac:dyDescent="0.2">
      <c r="B2218" s="38"/>
    </row>
    <row r="2219" spans="2:2" x14ac:dyDescent="0.2">
      <c r="B2219" s="38"/>
    </row>
    <row r="2220" spans="2:2" x14ac:dyDescent="0.2">
      <c r="B2220" s="38"/>
    </row>
    <row r="2221" spans="2:2" x14ac:dyDescent="0.2">
      <c r="B2221" s="38"/>
    </row>
    <row r="2222" spans="2:2" x14ac:dyDescent="0.2">
      <c r="B2222" s="38"/>
    </row>
    <row r="2223" spans="2:2" x14ac:dyDescent="0.2">
      <c r="B2223" s="38"/>
    </row>
    <row r="2224" spans="2:2" x14ac:dyDescent="0.2">
      <c r="B2224" s="38"/>
    </row>
    <row r="2225" spans="2:2" x14ac:dyDescent="0.2">
      <c r="B2225" s="38"/>
    </row>
    <row r="2226" spans="2:2" x14ac:dyDescent="0.2">
      <c r="B2226" s="38"/>
    </row>
    <row r="2227" spans="2:2" x14ac:dyDescent="0.2">
      <c r="B2227" s="38"/>
    </row>
    <row r="2228" spans="2:2" x14ac:dyDescent="0.2">
      <c r="B2228" s="38"/>
    </row>
    <row r="2229" spans="2:2" x14ac:dyDescent="0.2">
      <c r="B2229" s="38"/>
    </row>
    <row r="2230" spans="2:2" x14ac:dyDescent="0.2">
      <c r="B2230" s="38"/>
    </row>
    <row r="2231" spans="2:2" x14ac:dyDescent="0.2">
      <c r="B2231" s="38"/>
    </row>
    <row r="2232" spans="2:2" x14ac:dyDescent="0.2">
      <c r="B2232" s="38"/>
    </row>
    <row r="2233" spans="2:2" x14ac:dyDescent="0.2">
      <c r="B2233" s="38"/>
    </row>
    <row r="2234" spans="2:2" x14ac:dyDescent="0.2">
      <c r="B2234" s="38"/>
    </row>
    <row r="2235" spans="2:2" x14ac:dyDescent="0.2">
      <c r="B2235" s="38"/>
    </row>
    <row r="2236" spans="2:2" x14ac:dyDescent="0.2">
      <c r="B2236" s="38"/>
    </row>
    <row r="2237" spans="2:2" x14ac:dyDescent="0.2">
      <c r="B2237" s="38"/>
    </row>
    <row r="2238" spans="2:2" x14ac:dyDescent="0.2">
      <c r="B2238" s="38"/>
    </row>
    <row r="2239" spans="2:2" x14ac:dyDescent="0.2">
      <c r="B2239" s="38"/>
    </row>
    <row r="2240" spans="2:2" x14ac:dyDescent="0.2">
      <c r="B2240" s="38"/>
    </row>
    <row r="2241" spans="2:2" x14ac:dyDescent="0.2">
      <c r="B2241" s="38"/>
    </row>
    <row r="2242" spans="2:2" x14ac:dyDescent="0.2">
      <c r="B2242" s="38"/>
    </row>
    <row r="2243" spans="2:2" x14ac:dyDescent="0.2">
      <c r="B2243" s="38"/>
    </row>
    <row r="2244" spans="2:2" x14ac:dyDescent="0.2">
      <c r="B2244" s="38"/>
    </row>
    <row r="2245" spans="2:2" x14ac:dyDescent="0.2">
      <c r="B2245" s="38"/>
    </row>
    <row r="2246" spans="2:2" x14ac:dyDescent="0.2">
      <c r="B2246" s="38"/>
    </row>
    <row r="2247" spans="2:2" x14ac:dyDescent="0.2">
      <c r="B2247" s="38"/>
    </row>
    <row r="2248" spans="2:2" x14ac:dyDescent="0.2">
      <c r="B2248" s="38"/>
    </row>
    <row r="2249" spans="2:2" x14ac:dyDescent="0.2">
      <c r="B2249" s="38"/>
    </row>
    <row r="2250" spans="2:2" x14ac:dyDescent="0.2">
      <c r="B2250" s="38"/>
    </row>
    <row r="2251" spans="2:2" x14ac:dyDescent="0.2">
      <c r="B2251" s="38"/>
    </row>
    <row r="2252" spans="2:2" x14ac:dyDescent="0.2">
      <c r="B2252" s="38"/>
    </row>
    <row r="2253" spans="2:2" x14ac:dyDescent="0.2">
      <c r="B2253" s="38"/>
    </row>
    <row r="2254" spans="2:2" x14ac:dyDescent="0.2">
      <c r="B2254" s="38"/>
    </row>
    <row r="2255" spans="2:2" x14ac:dyDescent="0.2">
      <c r="B2255" s="38"/>
    </row>
    <row r="2256" spans="2:2" x14ac:dyDescent="0.2">
      <c r="B2256" s="38"/>
    </row>
    <row r="2257" spans="2:2" x14ac:dyDescent="0.2">
      <c r="B2257" s="38"/>
    </row>
    <row r="2258" spans="2:2" x14ac:dyDescent="0.2">
      <c r="B2258" s="38"/>
    </row>
    <row r="2259" spans="2:2" x14ac:dyDescent="0.2">
      <c r="B2259" s="38"/>
    </row>
    <row r="2260" spans="2:2" x14ac:dyDescent="0.2">
      <c r="B2260" s="38"/>
    </row>
    <row r="2261" spans="2:2" x14ac:dyDescent="0.2">
      <c r="B2261" s="38"/>
    </row>
    <row r="2262" spans="2:2" x14ac:dyDescent="0.2">
      <c r="B2262" s="38"/>
    </row>
    <row r="2263" spans="2:2" x14ac:dyDescent="0.2">
      <c r="B2263" s="38"/>
    </row>
    <row r="2264" spans="2:2" x14ac:dyDescent="0.2">
      <c r="B2264" s="38"/>
    </row>
    <row r="2265" spans="2:2" x14ac:dyDescent="0.2">
      <c r="B2265" s="38"/>
    </row>
    <row r="2266" spans="2:2" x14ac:dyDescent="0.2">
      <c r="B2266" s="38"/>
    </row>
    <row r="2267" spans="2:2" x14ac:dyDescent="0.2">
      <c r="B2267" s="38"/>
    </row>
    <row r="2268" spans="2:2" x14ac:dyDescent="0.2">
      <c r="B2268" s="38"/>
    </row>
    <row r="2269" spans="2:2" x14ac:dyDescent="0.2">
      <c r="B2269" s="38"/>
    </row>
    <row r="2270" spans="2:2" x14ac:dyDescent="0.2">
      <c r="B2270" s="38"/>
    </row>
    <row r="2271" spans="2:2" x14ac:dyDescent="0.2">
      <c r="B2271" s="38"/>
    </row>
    <row r="2272" spans="2:2" x14ac:dyDescent="0.2">
      <c r="B2272" s="38"/>
    </row>
    <row r="2273" spans="2:2" x14ac:dyDescent="0.2">
      <c r="B2273" s="38"/>
    </row>
    <row r="2274" spans="2:2" x14ac:dyDescent="0.2">
      <c r="B2274" s="38"/>
    </row>
    <row r="2275" spans="2:2" x14ac:dyDescent="0.2">
      <c r="B2275" s="38"/>
    </row>
    <row r="2276" spans="2:2" x14ac:dyDescent="0.2">
      <c r="B2276" s="38"/>
    </row>
    <row r="2277" spans="2:2" x14ac:dyDescent="0.2">
      <c r="B2277" s="38"/>
    </row>
    <row r="2278" spans="2:2" x14ac:dyDescent="0.2">
      <c r="B2278" s="38"/>
    </row>
    <row r="2279" spans="2:2" x14ac:dyDescent="0.2">
      <c r="B2279" s="38"/>
    </row>
    <row r="2280" spans="2:2" x14ac:dyDescent="0.2">
      <c r="B2280" s="38"/>
    </row>
    <row r="2281" spans="2:2" x14ac:dyDescent="0.2">
      <c r="B2281" s="38"/>
    </row>
    <row r="2282" spans="2:2" x14ac:dyDescent="0.2">
      <c r="B2282" s="38"/>
    </row>
    <row r="2283" spans="2:2" x14ac:dyDescent="0.2">
      <c r="B2283" s="38"/>
    </row>
    <row r="2284" spans="2:2" x14ac:dyDescent="0.2">
      <c r="B2284" s="38"/>
    </row>
    <row r="2285" spans="2:2" x14ac:dyDescent="0.2">
      <c r="B2285" s="38"/>
    </row>
    <row r="2286" spans="2:2" x14ac:dyDescent="0.2">
      <c r="B2286" s="38"/>
    </row>
    <row r="2287" spans="2:2" x14ac:dyDescent="0.2">
      <c r="B2287" s="38"/>
    </row>
    <row r="2288" spans="2:2" x14ac:dyDescent="0.2">
      <c r="B2288" s="38"/>
    </row>
    <row r="2289" spans="2:2" x14ac:dyDescent="0.2">
      <c r="B2289" s="38"/>
    </row>
    <row r="2290" spans="2:2" x14ac:dyDescent="0.2">
      <c r="B2290" s="38"/>
    </row>
    <row r="2291" spans="2:2" x14ac:dyDescent="0.2">
      <c r="B2291" s="38"/>
    </row>
    <row r="2292" spans="2:2" x14ac:dyDescent="0.2">
      <c r="B2292" s="38"/>
    </row>
    <row r="2293" spans="2:2" x14ac:dyDescent="0.2">
      <c r="B2293" s="38"/>
    </row>
    <row r="2294" spans="2:2" x14ac:dyDescent="0.2">
      <c r="B2294" s="38"/>
    </row>
    <row r="2295" spans="2:2" x14ac:dyDescent="0.2">
      <c r="B2295" s="38"/>
    </row>
    <row r="2296" spans="2:2" x14ac:dyDescent="0.2">
      <c r="B2296" s="38"/>
    </row>
    <row r="2297" spans="2:2" x14ac:dyDescent="0.2">
      <c r="B2297" s="38"/>
    </row>
    <row r="2298" spans="2:2" x14ac:dyDescent="0.2">
      <c r="B2298" s="38"/>
    </row>
    <row r="2299" spans="2:2" x14ac:dyDescent="0.2">
      <c r="B2299" s="38"/>
    </row>
    <row r="2300" spans="2:2" x14ac:dyDescent="0.2">
      <c r="B2300" s="38"/>
    </row>
    <row r="2301" spans="2:2" x14ac:dyDescent="0.2">
      <c r="B2301" s="38"/>
    </row>
    <row r="2302" spans="2:2" x14ac:dyDescent="0.2">
      <c r="B2302" s="38"/>
    </row>
    <row r="2303" spans="2:2" x14ac:dyDescent="0.2">
      <c r="B2303" s="38"/>
    </row>
    <row r="2304" spans="2:2" x14ac:dyDescent="0.2">
      <c r="B2304" s="38"/>
    </row>
    <row r="2305" spans="2:2" x14ac:dyDescent="0.2">
      <c r="B2305" s="38"/>
    </row>
    <row r="2306" spans="2:2" x14ac:dyDescent="0.2">
      <c r="B2306" s="38"/>
    </row>
    <row r="2307" spans="2:2" x14ac:dyDescent="0.2">
      <c r="B2307" s="38"/>
    </row>
    <row r="2308" spans="2:2" x14ac:dyDescent="0.2">
      <c r="B2308" s="38"/>
    </row>
    <row r="2309" spans="2:2" x14ac:dyDescent="0.2">
      <c r="B2309" s="38"/>
    </row>
    <row r="2310" spans="2:2" x14ac:dyDescent="0.2">
      <c r="B2310" s="38"/>
    </row>
    <row r="2311" spans="2:2" x14ac:dyDescent="0.2">
      <c r="B2311" s="38"/>
    </row>
    <row r="2312" spans="2:2" x14ac:dyDescent="0.2">
      <c r="B2312" s="38"/>
    </row>
    <row r="2313" spans="2:2" x14ac:dyDescent="0.2">
      <c r="B2313" s="38"/>
    </row>
    <row r="2314" spans="2:2" x14ac:dyDescent="0.2">
      <c r="B2314" s="38"/>
    </row>
    <row r="2315" spans="2:2" x14ac:dyDescent="0.2">
      <c r="B2315" s="38"/>
    </row>
    <row r="2316" spans="2:2" x14ac:dyDescent="0.2">
      <c r="B2316" s="38"/>
    </row>
    <row r="2317" spans="2:2" x14ac:dyDescent="0.2">
      <c r="B2317" s="38"/>
    </row>
    <row r="2318" spans="2:2" x14ac:dyDescent="0.2">
      <c r="B2318" s="38"/>
    </row>
    <row r="2319" spans="2:2" x14ac:dyDescent="0.2">
      <c r="B2319" s="38"/>
    </row>
    <row r="2320" spans="2:2" x14ac:dyDescent="0.2">
      <c r="B2320" s="38"/>
    </row>
    <row r="2321" spans="2:2" x14ac:dyDescent="0.2">
      <c r="B2321" s="38"/>
    </row>
    <row r="2322" spans="2:2" x14ac:dyDescent="0.2">
      <c r="B2322" s="38"/>
    </row>
    <row r="2323" spans="2:2" x14ac:dyDescent="0.2">
      <c r="B2323" s="38"/>
    </row>
    <row r="2324" spans="2:2" x14ac:dyDescent="0.2">
      <c r="B2324" s="38"/>
    </row>
    <row r="2325" spans="2:2" x14ac:dyDescent="0.2">
      <c r="B2325" s="38"/>
    </row>
    <row r="2326" spans="2:2" x14ac:dyDescent="0.2">
      <c r="B2326" s="38"/>
    </row>
    <row r="2327" spans="2:2" x14ac:dyDescent="0.2">
      <c r="B2327" s="38"/>
    </row>
    <row r="2328" spans="2:2" x14ac:dyDescent="0.2">
      <c r="B2328" s="38"/>
    </row>
    <row r="2329" spans="2:2" x14ac:dyDescent="0.2">
      <c r="B2329" s="38"/>
    </row>
    <row r="2330" spans="2:2" x14ac:dyDescent="0.2">
      <c r="B2330" s="38"/>
    </row>
    <row r="2331" spans="2:2" x14ac:dyDescent="0.2">
      <c r="B2331" s="38"/>
    </row>
    <row r="2332" spans="2:2" x14ac:dyDescent="0.2">
      <c r="B2332" s="38"/>
    </row>
    <row r="2333" spans="2:2" x14ac:dyDescent="0.2">
      <c r="B2333" s="38"/>
    </row>
    <row r="2334" spans="2:2" x14ac:dyDescent="0.2">
      <c r="B2334" s="38"/>
    </row>
    <row r="2335" spans="2:2" x14ac:dyDescent="0.2">
      <c r="B2335" s="38"/>
    </row>
    <row r="2336" spans="2:2" x14ac:dyDescent="0.2">
      <c r="B2336" s="38"/>
    </row>
    <row r="2337" spans="2:2" x14ac:dyDescent="0.2">
      <c r="B2337" s="38"/>
    </row>
    <row r="2338" spans="2:2" x14ac:dyDescent="0.2">
      <c r="B2338" s="38"/>
    </row>
    <row r="2339" spans="2:2" x14ac:dyDescent="0.2">
      <c r="B2339" s="38"/>
    </row>
    <row r="2340" spans="2:2" x14ac:dyDescent="0.2">
      <c r="B2340" s="38"/>
    </row>
    <row r="2341" spans="2:2" x14ac:dyDescent="0.2">
      <c r="B2341" s="38"/>
    </row>
    <row r="2342" spans="2:2" x14ac:dyDescent="0.2">
      <c r="B2342" s="38"/>
    </row>
    <row r="2343" spans="2:2" x14ac:dyDescent="0.2">
      <c r="B2343" s="38"/>
    </row>
    <row r="2344" spans="2:2" x14ac:dyDescent="0.2">
      <c r="B2344" s="38"/>
    </row>
    <row r="2345" spans="2:2" x14ac:dyDescent="0.2">
      <c r="B2345" s="38"/>
    </row>
    <row r="2346" spans="2:2" x14ac:dyDescent="0.2">
      <c r="B2346" s="38"/>
    </row>
    <row r="2347" spans="2:2" x14ac:dyDescent="0.2">
      <c r="B2347" s="38"/>
    </row>
    <row r="2348" spans="2:2" x14ac:dyDescent="0.2">
      <c r="B2348" s="38"/>
    </row>
    <row r="2349" spans="2:2" x14ac:dyDescent="0.2">
      <c r="B2349" s="38"/>
    </row>
    <row r="2350" spans="2:2" x14ac:dyDescent="0.2">
      <c r="B2350" s="38"/>
    </row>
    <row r="2351" spans="2:2" x14ac:dyDescent="0.2">
      <c r="B2351" s="38"/>
    </row>
    <row r="2352" spans="2:2" x14ac:dyDescent="0.2">
      <c r="B2352" s="38"/>
    </row>
    <row r="2353" spans="2:2" x14ac:dyDescent="0.2">
      <c r="B2353" s="38"/>
    </row>
    <row r="2354" spans="2:2" x14ac:dyDescent="0.2">
      <c r="B2354" s="38"/>
    </row>
    <row r="2355" spans="2:2" x14ac:dyDescent="0.2">
      <c r="B2355" s="38"/>
    </row>
    <row r="2356" spans="2:2" x14ac:dyDescent="0.2">
      <c r="B2356" s="38"/>
    </row>
    <row r="2357" spans="2:2" x14ac:dyDescent="0.2">
      <c r="B2357" s="38"/>
    </row>
    <row r="2358" spans="2:2" x14ac:dyDescent="0.2">
      <c r="B2358" s="38"/>
    </row>
    <row r="2359" spans="2:2" x14ac:dyDescent="0.2">
      <c r="B2359" s="38"/>
    </row>
    <row r="2360" spans="2:2" x14ac:dyDescent="0.2">
      <c r="B2360" s="38"/>
    </row>
    <row r="2361" spans="2:2" x14ac:dyDescent="0.2">
      <c r="B2361" s="38"/>
    </row>
    <row r="2362" spans="2:2" x14ac:dyDescent="0.2">
      <c r="B2362" s="38"/>
    </row>
    <row r="2363" spans="2:2" x14ac:dyDescent="0.2">
      <c r="B2363" s="38"/>
    </row>
    <row r="2364" spans="2:2" x14ac:dyDescent="0.2">
      <c r="B2364" s="38"/>
    </row>
    <row r="2365" spans="2:2" x14ac:dyDescent="0.2">
      <c r="B2365" s="38"/>
    </row>
    <row r="2366" spans="2:2" x14ac:dyDescent="0.2">
      <c r="B2366" s="38"/>
    </row>
    <row r="2367" spans="2:2" x14ac:dyDescent="0.2">
      <c r="B2367" s="38"/>
    </row>
    <row r="2368" spans="2:2" x14ac:dyDescent="0.2">
      <c r="B2368" s="38"/>
    </row>
    <row r="2369" spans="2:2" x14ac:dyDescent="0.2">
      <c r="B2369" s="38"/>
    </row>
    <row r="2370" spans="2:2" x14ac:dyDescent="0.2">
      <c r="B2370" s="38"/>
    </row>
    <row r="2371" spans="2:2" x14ac:dyDescent="0.2">
      <c r="B2371" s="38"/>
    </row>
    <row r="2372" spans="2:2" x14ac:dyDescent="0.2">
      <c r="B2372" s="38"/>
    </row>
    <row r="2373" spans="2:2" x14ac:dyDescent="0.2">
      <c r="B2373" s="38"/>
    </row>
    <row r="2374" spans="2:2" x14ac:dyDescent="0.2">
      <c r="B2374" s="38"/>
    </row>
    <row r="2375" spans="2:2" x14ac:dyDescent="0.2">
      <c r="B2375" s="38"/>
    </row>
    <row r="2376" spans="2:2" x14ac:dyDescent="0.2">
      <c r="B2376" s="38"/>
    </row>
    <row r="2377" spans="2:2" x14ac:dyDescent="0.2">
      <c r="B2377" s="38"/>
    </row>
    <row r="2378" spans="2:2" x14ac:dyDescent="0.2">
      <c r="B2378" s="38"/>
    </row>
    <row r="2379" spans="2:2" x14ac:dyDescent="0.2">
      <c r="B2379" s="38"/>
    </row>
    <row r="2380" spans="2:2" x14ac:dyDescent="0.2">
      <c r="B2380" s="38"/>
    </row>
    <row r="2381" spans="2:2" x14ac:dyDescent="0.2">
      <c r="B2381" s="38"/>
    </row>
    <row r="2382" spans="2:2" x14ac:dyDescent="0.2">
      <c r="B2382" s="38"/>
    </row>
    <row r="2383" spans="2:2" x14ac:dyDescent="0.2">
      <c r="B2383" s="38"/>
    </row>
    <row r="2384" spans="2:2" x14ac:dyDescent="0.2">
      <c r="B2384" s="38"/>
    </row>
    <row r="2385" spans="2:2" x14ac:dyDescent="0.2">
      <c r="B2385" s="38"/>
    </row>
    <row r="2386" spans="2:2" x14ac:dyDescent="0.2">
      <c r="B2386" s="38"/>
    </row>
    <row r="2387" spans="2:2" x14ac:dyDescent="0.2">
      <c r="B2387" s="38"/>
    </row>
    <row r="2388" spans="2:2" x14ac:dyDescent="0.2">
      <c r="B2388" s="38"/>
    </row>
    <row r="2389" spans="2:2" x14ac:dyDescent="0.2">
      <c r="B2389" s="38"/>
    </row>
    <row r="2390" spans="2:2" x14ac:dyDescent="0.2">
      <c r="B2390" s="38"/>
    </row>
    <row r="2391" spans="2:2" x14ac:dyDescent="0.2">
      <c r="B2391" s="38"/>
    </row>
    <row r="2392" spans="2:2" x14ac:dyDescent="0.2">
      <c r="B2392" s="38"/>
    </row>
    <row r="2393" spans="2:2" x14ac:dyDescent="0.2">
      <c r="B2393" s="38"/>
    </row>
    <row r="2394" spans="2:2" x14ac:dyDescent="0.2">
      <c r="B2394" s="38"/>
    </row>
    <row r="2395" spans="2:2" x14ac:dyDescent="0.2">
      <c r="B2395" s="38"/>
    </row>
    <row r="2396" spans="2:2" x14ac:dyDescent="0.2">
      <c r="B2396" s="38"/>
    </row>
    <row r="2397" spans="2:2" x14ac:dyDescent="0.2">
      <c r="B2397" s="38"/>
    </row>
    <row r="2398" spans="2:2" x14ac:dyDescent="0.2">
      <c r="B2398" s="38"/>
    </row>
    <row r="2399" spans="2:2" x14ac:dyDescent="0.2">
      <c r="B2399" s="38"/>
    </row>
    <row r="2400" spans="2:2" x14ac:dyDescent="0.2">
      <c r="B2400" s="38"/>
    </row>
    <row r="2401" spans="2:2" x14ac:dyDescent="0.2">
      <c r="B2401" s="38"/>
    </row>
    <row r="2402" spans="2:2" x14ac:dyDescent="0.2">
      <c r="B2402" s="38"/>
    </row>
    <row r="2403" spans="2:2" x14ac:dyDescent="0.2">
      <c r="B2403" s="38"/>
    </row>
    <row r="2404" spans="2:2" x14ac:dyDescent="0.2">
      <c r="B2404" s="38"/>
    </row>
    <row r="2405" spans="2:2" x14ac:dyDescent="0.2">
      <c r="B2405" s="38"/>
    </row>
    <row r="2406" spans="2:2" x14ac:dyDescent="0.2">
      <c r="B2406" s="38"/>
    </row>
    <row r="2407" spans="2:2" x14ac:dyDescent="0.2">
      <c r="B2407" s="38"/>
    </row>
    <row r="2408" spans="2:2" x14ac:dyDescent="0.2">
      <c r="B2408" s="38"/>
    </row>
    <row r="2409" spans="2:2" x14ac:dyDescent="0.2">
      <c r="B2409" s="38"/>
    </row>
    <row r="2410" spans="2:2" x14ac:dyDescent="0.2">
      <c r="B2410" s="38"/>
    </row>
    <row r="2411" spans="2:2" x14ac:dyDescent="0.2">
      <c r="B2411" s="38"/>
    </row>
    <row r="2412" spans="2:2" x14ac:dyDescent="0.2">
      <c r="B2412" s="38"/>
    </row>
    <row r="2413" spans="2:2" x14ac:dyDescent="0.2">
      <c r="B2413" s="38"/>
    </row>
    <row r="2414" spans="2:2" x14ac:dyDescent="0.2">
      <c r="B2414" s="38"/>
    </row>
    <row r="2415" spans="2:2" x14ac:dyDescent="0.2">
      <c r="B2415" s="38"/>
    </row>
    <row r="2416" spans="2:2" x14ac:dyDescent="0.2">
      <c r="B2416" s="38"/>
    </row>
    <row r="2417" spans="2:2" x14ac:dyDescent="0.2">
      <c r="B2417" s="38"/>
    </row>
    <row r="2418" spans="2:2" x14ac:dyDescent="0.2">
      <c r="B2418" s="38"/>
    </row>
    <row r="2419" spans="2:2" x14ac:dyDescent="0.2">
      <c r="B2419" s="38"/>
    </row>
    <row r="2420" spans="2:2" x14ac:dyDescent="0.2">
      <c r="B2420" s="38"/>
    </row>
    <row r="2421" spans="2:2" x14ac:dyDescent="0.2">
      <c r="B2421" s="38"/>
    </row>
    <row r="2422" spans="2:2" x14ac:dyDescent="0.2">
      <c r="B2422" s="38"/>
    </row>
    <row r="2423" spans="2:2" x14ac:dyDescent="0.2">
      <c r="B2423" s="38"/>
    </row>
    <row r="2424" spans="2:2" x14ac:dyDescent="0.2">
      <c r="B2424" s="38"/>
    </row>
    <row r="2425" spans="2:2" x14ac:dyDescent="0.2">
      <c r="B2425" s="38"/>
    </row>
    <row r="2426" spans="2:2" x14ac:dyDescent="0.2">
      <c r="B2426" s="38"/>
    </row>
    <row r="2427" spans="2:2" x14ac:dyDescent="0.2">
      <c r="B2427" s="38"/>
    </row>
    <row r="2428" spans="2:2" x14ac:dyDescent="0.2">
      <c r="B2428" s="38"/>
    </row>
    <row r="2429" spans="2:2" x14ac:dyDescent="0.2">
      <c r="B2429" s="38"/>
    </row>
    <row r="2430" spans="2:2" x14ac:dyDescent="0.2">
      <c r="B2430" s="38"/>
    </row>
    <row r="2431" spans="2:2" x14ac:dyDescent="0.2">
      <c r="B2431" s="38"/>
    </row>
    <row r="2432" spans="2:2" x14ac:dyDescent="0.2">
      <c r="B2432" s="38"/>
    </row>
    <row r="2433" spans="2:2" x14ac:dyDescent="0.2">
      <c r="B2433" s="38"/>
    </row>
    <row r="2434" spans="2:2" x14ac:dyDescent="0.2">
      <c r="B2434" s="38"/>
    </row>
    <row r="2435" spans="2:2" x14ac:dyDescent="0.2">
      <c r="B2435" s="38"/>
    </row>
    <row r="2436" spans="2:2" x14ac:dyDescent="0.2">
      <c r="B2436" s="38"/>
    </row>
    <row r="2437" spans="2:2" x14ac:dyDescent="0.2">
      <c r="B2437" s="38"/>
    </row>
    <row r="2438" spans="2:2" x14ac:dyDescent="0.2">
      <c r="B2438" s="38"/>
    </row>
    <row r="2439" spans="2:2" x14ac:dyDescent="0.2">
      <c r="B2439" s="38"/>
    </row>
    <row r="2440" spans="2:2" x14ac:dyDescent="0.2">
      <c r="B2440" s="38"/>
    </row>
    <row r="2441" spans="2:2" x14ac:dyDescent="0.2">
      <c r="B2441" s="38"/>
    </row>
    <row r="2442" spans="2:2" x14ac:dyDescent="0.2">
      <c r="B2442" s="38"/>
    </row>
    <row r="2443" spans="2:2" x14ac:dyDescent="0.2">
      <c r="B2443" s="38"/>
    </row>
    <row r="2444" spans="2:2" x14ac:dyDescent="0.2">
      <c r="B2444" s="38"/>
    </row>
    <row r="2445" spans="2:2" x14ac:dyDescent="0.2">
      <c r="B2445" s="38"/>
    </row>
    <row r="2446" spans="2:2" x14ac:dyDescent="0.2">
      <c r="B2446" s="38"/>
    </row>
    <row r="2447" spans="2:2" x14ac:dyDescent="0.2">
      <c r="B2447" s="38"/>
    </row>
    <row r="2448" spans="2:2" x14ac:dyDescent="0.2">
      <c r="B2448" s="38"/>
    </row>
    <row r="2449" spans="2:2" x14ac:dyDescent="0.2">
      <c r="B2449" s="38"/>
    </row>
    <row r="2450" spans="2:2" x14ac:dyDescent="0.2">
      <c r="B2450" s="38"/>
    </row>
    <row r="2451" spans="2:2" x14ac:dyDescent="0.2">
      <c r="B2451" s="38"/>
    </row>
    <row r="2452" spans="2:2" x14ac:dyDescent="0.2">
      <c r="B2452" s="38"/>
    </row>
    <row r="2453" spans="2:2" x14ac:dyDescent="0.2">
      <c r="B2453" s="38"/>
    </row>
    <row r="2454" spans="2:2" x14ac:dyDescent="0.2">
      <c r="B2454" s="38"/>
    </row>
    <row r="2455" spans="2:2" x14ac:dyDescent="0.2">
      <c r="B2455" s="38"/>
    </row>
    <row r="2456" spans="2:2" x14ac:dyDescent="0.2">
      <c r="B2456" s="38"/>
    </row>
    <row r="2457" spans="2:2" x14ac:dyDescent="0.2">
      <c r="B2457" s="38"/>
    </row>
    <row r="2458" spans="2:2" x14ac:dyDescent="0.2">
      <c r="B2458" s="38"/>
    </row>
    <row r="2459" spans="2:2" x14ac:dyDescent="0.2">
      <c r="B2459" s="38"/>
    </row>
    <row r="2460" spans="2:2" x14ac:dyDescent="0.2">
      <c r="B2460" s="38"/>
    </row>
    <row r="2461" spans="2:2" x14ac:dyDescent="0.2">
      <c r="B2461" s="38"/>
    </row>
    <row r="2462" spans="2:2" x14ac:dyDescent="0.2">
      <c r="B2462" s="38"/>
    </row>
    <row r="2463" spans="2:2" x14ac:dyDescent="0.2">
      <c r="B2463" s="38"/>
    </row>
    <row r="2464" spans="2:2" x14ac:dyDescent="0.2">
      <c r="B2464" s="38"/>
    </row>
    <row r="2465" spans="2:2" x14ac:dyDescent="0.2">
      <c r="B2465" s="38"/>
    </row>
    <row r="2466" spans="2:2" x14ac:dyDescent="0.2">
      <c r="B2466" s="38"/>
    </row>
    <row r="2467" spans="2:2" x14ac:dyDescent="0.2">
      <c r="B2467" s="38"/>
    </row>
    <row r="2468" spans="2:2" x14ac:dyDescent="0.2">
      <c r="B2468" s="38"/>
    </row>
    <row r="2469" spans="2:2" x14ac:dyDescent="0.2">
      <c r="B2469" s="38"/>
    </row>
    <row r="2470" spans="2:2" x14ac:dyDescent="0.2">
      <c r="B2470" s="38"/>
    </row>
    <row r="2471" spans="2:2" x14ac:dyDescent="0.2">
      <c r="B2471" s="38"/>
    </row>
    <row r="2472" spans="2:2" x14ac:dyDescent="0.2">
      <c r="B2472" s="38"/>
    </row>
    <row r="2473" spans="2:2" x14ac:dyDescent="0.2">
      <c r="B2473" s="38"/>
    </row>
    <row r="2474" spans="2:2" x14ac:dyDescent="0.2">
      <c r="B2474" s="38"/>
    </row>
    <row r="2475" spans="2:2" x14ac:dyDescent="0.2">
      <c r="B2475" s="38"/>
    </row>
    <row r="2476" spans="2:2" x14ac:dyDescent="0.2">
      <c r="B2476" s="38"/>
    </row>
    <row r="2477" spans="2:2" x14ac:dyDescent="0.2">
      <c r="B2477" s="38"/>
    </row>
    <row r="2478" spans="2:2" x14ac:dyDescent="0.2">
      <c r="B2478" s="38"/>
    </row>
    <row r="2479" spans="2:2" x14ac:dyDescent="0.2">
      <c r="B2479" s="38"/>
    </row>
    <row r="2480" spans="2:2" x14ac:dyDescent="0.2">
      <c r="B2480" s="38"/>
    </row>
    <row r="2481" spans="2:2" x14ac:dyDescent="0.2">
      <c r="B2481" s="38"/>
    </row>
    <row r="2482" spans="2:2" x14ac:dyDescent="0.2">
      <c r="B2482" s="38"/>
    </row>
    <row r="2483" spans="2:2" x14ac:dyDescent="0.2">
      <c r="B2483" s="38"/>
    </row>
    <row r="2484" spans="2:2" x14ac:dyDescent="0.2">
      <c r="B2484" s="38"/>
    </row>
    <row r="2485" spans="2:2" x14ac:dyDescent="0.2">
      <c r="B2485" s="38"/>
    </row>
    <row r="2486" spans="2:2" x14ac:dyDescent="0.2">
      <c r="B2486" s="38"/>
    </row>
    <row r="2487" spans="2:2" x14ac:dyDescent="0.2">
      <c r="B2487" s="38"/>
    </row>
    <row r="2488" spans="2:2" x14ac:dyDescent="0.2">
      <c r="B2488" s="38"/>
    </row>
    <row r="2489" spans="2:2" x14ac:dyDescent="0.2">
      <c r="B2489" s="38"/>
    </row>
    <row r="2490" spans="2:2" x14ac:dyDescent="0.2">
      <c r="B2490" s="38"/>
    </row>
    <row r="2491" spans="2:2" x14ac:dyDescent="0.2">
      <c r="B2491" s="38"/>
    </row>
    <row r="2492" spans="2:2" x14ac:dyDescent="0.2">
      <c r="B2492" s="38"/>
    </row>
    <row r="2493" spans="2:2" x14ac:dyDescent="0.2">
      <c r="B2493" s="38"/>
    </row>
    <row r="2494" spans="2:2" x14ac:dyDescent="0.2">
      <c r="B2494" s="38"/>
    </row>
    <row r="2495" spans="2:2" x14ac:dyDescent="0.2">
      <c r="B2495" s="38"/>
    </row>
    <row r="2496" spans="2:2" x14ac:dyDescent="0.2">
      <c r="B2496" s="38"/>
    </row>
    <row r="2497" spans="2:2" x14ac:dyDescent="0.2">
      <c r="B2497" s="38"/>
    </row>
    <row r="2498" spans="2:2" x14ac:dyDescent="0.2">
      <c r="B2498" s="38"/>
    </row>
    <row r="2499" spans="2:2" x14ac:dyDescent="0.2">
      <c r="B2499" s="38"/>
    </row>
    <row r="2500" spans="2:2" x14ac:dyDescent="0.2">
      <c r="B2500" s="38"/>
    </row>
    <row r="2501" spans="2:2" x14ac:dyDescent="0.2">
      <c r="B2501" s="38"/>
    </row>
    <row r="2502" spans="2:2" x14ac:dyDescent="0.2">
      <c r="B2502" s="38"/>
    </row>
    <row r="2503" spans="2:2" x14ac:dyDescent="0.2">
      <c r="B2503" s="38"/>
    </row>
    <row r="2504" spans="2:2" x14ac:dyDescent="0.2">
      <c r="B2504" s="38"/>
    </row>
    <row r="2505" spans="2:2" x14ac:dyDescent="0.2">
      <c r="B2505" s="38"/>
    </row>
    <row r="2506" spans="2:2" x14ac:dyDescent="0.2">
      <c r="B2506" s="38"/>
    </row>
    <row r="2507" spans="2:2" x14ac:dyDescent="0.2">
      <c r="B2507" s="38"/>
    </row>
    <row r="2508" spans="2:2" x14ac:dyDescent="0.2">
      <c r="B2508" s="38"/>
    </row>
    <row r="2509" spans="2:2" x14ac:dyDescent="0.2">
      <c r="B2509" s="38"/>
    </row>
    <row r="2510" spans="2:2" x14ac:dyDescent="0.2">
      <c r="B2510" s="38"/>
    </row>
    <row r="2511" spans="2:2" x14ac:dyDescent="0.2">
      <c r="B2511" s="38"/>
    </row>
    <row r="2512" spans="2:2" x14ac:dyDescent="0.2">
      <c r="B2512" s="38"/>
    </row>
    <row r="2513" spans="2:2" x14ac:dyDescent="0.2">
      <c r="B2513" s="38"/>
    </row>
    <row r="2514" spans="2:2" x14ac:dyDescent="0.2">
      <c r="B2514" s="38"/>
    </row>
    <row r="2515" spans="2:2" x14ac:dyDescent="0.2">
      <c r="B2515" s="38"/>
    </row>
    <row r="2516" spans="2:2" x14ac:dyDescent="0.2">
      <c r="B2516" s="38"/>
    </row>
    <row r="2517" spans="2:2" x14ac:dyDescent="0.2">
      <c r="B2517" s="38"/>
    </row>
    <row r="2518" spans="2:2" x14ac:dyDescent="0.2">
      <c r="B2518" s="38"/>
    </row>
    <row r="2519" spans="2:2" x14ac:dyDescent="0.2">
      <c r="B2519" s="38"/>
    </row>
    <row r="2520" spans="2:2" x14ac:dyDescent="0.2">
      <c r="B2520" s="38"/>
    </row>
    <row r="2521" spans="2:2" x14ac:dyDescent="0.2">
      <c r="B2521" s="38"/>
    </row>
    <row r="2522" spans="2:2" x14ac:dyDescent="0.2">
      <c r="B2522" s="38"/>
    </row>
    <row r="2523" spans="2:2" x14ac:dyDescent="0.2">
      <c r="B2523" s="38"/>
    </row>
    <row r="2524" spans="2:2" x14ac:dyDescent="0.2">
      <c r="B2524" s="38"/>
    </row>
    <row r="2525" spans="2:2" x14ac:dyDescent="0.2">
      <c r="B2525" s="38"/>
    </row>
    <row r="2526" spans="2:2" x14ac:dyDescent="0.2">
      <c r="B2526" s="38"/>
    </row>
    <row r="2527" spans="2:2" x14ac:dyDescent="0.2">
      <c r="B2527" s="38"/>
    </row>
    <row r="2528" spans="2:2" x14ac:dyDescent="0.2">
      <c r="B2528" s="38"/>
    </row>
    <row r="2529" spans="2:2" x14ac:dyDescent="0.2">
      <c r="B2529" s="38"/>
    </row>
    <row r="2530" spans="2:2" x14ac:dyDescent="0.2">
      <c r="B2530" s="38"/>
    </row>
    <row r="2531" spans="2:2" x14ac:dyDescent="0.2">
      <c r="B2531" s="38"/>
    </row>
    <row r="2532" spans="2:2" x14ac:dyDescent="0.2">
      <c r="B2532" s="38"/>
    </row>
    <row r="2533" spans="2:2" x14ac:dyDescent="0.2">
      <c r="B2533" s="38"/>
    </row>
    <row r="2534" spans="2:2" x14ac:dyDescent="0.2">
      <c r="B2534" s="38"/>
    </row>
    <row r="2535" spans="2:2" x14ac:dyDescent="0.2">
      <c r="B2535" s="38"/>
    </row>
    <row r="2536" spans="2:2" x14ac:dyDescent="0.2">
      <c r="B2536" s="38"/>
    </row>
    <row r="2537" spans="2:2" x14ac:dyDescent="0.2">
      <c r="B2537" s="38"/>
    </row>
    <row r="2538" spans="2:2" x14ac:dyDescent="0.2">
      <c r="B2538" s="38"/>
    </row>
    <row r="2539" spans="2:2" x14ac:dyDescent="0.2">
      <c r="B2539" s="38"/>
    </row>
    <row r="2540" spans="2:2" x14ac:dyDescent="0.2">
      <c r="B2540" s="38"/>
    </row>
    <row r="2541" spans="2:2" x14ac:dyDescent="0.2">
      <c r="B2541" s="38"/>
    </row>
    <row r="2542" spans="2:2" x14ac:dyDescent="0.2">
      <c r="B2542" s="38"/>
    </row>
    <row r="2543" spans="2:2" x14ac:dyDescent="0.2">
      <c r="B2543" s="38"/>
    </row>
    <row r="2544" spans="2:2" x14ac:dyDescent="0.2">
      <c r="B2544" s="38"/>
    </row>
    <row r="2545" spans="2:2" x14ac:dyDescent="0.2">
      <c r="B2545" s="38"/>
    </row>
    <row r="2546" spans="2:2" x14ac:dyDescent="0.2">
      <c r="B2546" s="38"/>
    </row>
    <row r="2547" spans="2:2" x14ac:dyDescent="0.2">
      <c r="B2547" s="38"/>
    </row>
    <row r="2548" spans="2:2" x14ac:dyDescent="0.2">
      <c r="B2548" s="38"/>
    </row>
    <row r="2549" spans="2:2" x14ac:dyDescent="0.2">
      <c r="B2549" s="38"/>
    </row>
    <row r="2550" spans="2:2" x14ac:dyDescent="0.2">
      <c r="B2550" s="38"/>
    </row>
    <row r="2551" spans="2:2" x14ac:dyDescent="0.2">
      <c r="B2551" s="38"/>
    </row>
    <row r="2552" spans="2:2" x14ac:dyDescent="0.2">
      <c r="B2552" s="38"/>
    </row>
    <row r="2553" spans="2:2" x14ac:dyDescent="0.2">
      <c r="B2553" s="38"/>
    </row>
    <row r="2554" spans="2:2" x14ac:dyDescent="0.2">
      <c r="B2554" s="38"/>
    </row>
    <row r="2555" spans="2:2" x14ac:dyDescent="0.2">
      <c r="B2555" s="38"/>
    </row>
    <row r="2556" spans="2:2" x14ac:dyDescent="0.2">
      <c r="B2556" s="38"/>
    </row>
    <row r="2557" spans="2:2" x14ac:dyDescent="0.2">
      <c r="B2557" s="38"/>
    </row>
    <row r="2558" spans="2:2" x14ac:dyDescent="0.2">
      <c r="B2558" s="38"/>
    </row>
    <row r="2559" spans="2:2" x14ac:dyDescent="0.2">
      <c r="B2559" s="38"/>
    </row>
    <row r="2560" spans="2:2" x14ac:dyDescent="0.2">
      <c r="B2560" s="38"/>
    </row>
    <row r="2561" spans="2:2" x14ac:dyDescent="0.2">
      <c r="B2561" s="38"/>
    </row>
    <row r="2562" spans="2:2" x14ac:dyDescent="0.2">
      <c r="B2562" s="38"/>
    </row>
    <row r="2563" spans="2:2" x14ac:dyDescent="0.2">
      <c r="B2563" s="38"/>
    </row>
    <row r="2564" spans="2:2" x14ac:dyDescent="0.2">
      <c r="B2564" s="38"/>
    </row>
    <row r="2565" spans="2:2" x14ac:dyDescent="0.2">
      <c r="B2565" s="38"/>
    </row>
    <row r="2566" spans="2:2" x14ac:dyDescent="0.2">
      <c r="B2566" s="38"/>
    </row>
    <row r="2567" spans="2:2" x14ac:dyDescent="0.2">
      <c r="B2567" s="38"/>
    </row>
    <row r="2568" spans="2:2" x14ac:dyDescent="0.2">
      <c r="B2568" s="38"/>
    </row>
    <row r="2569" spans="2:2" x14ac:dyDescent="0.2">
      <c r="B2569" s="38"/>
    </row>
    <row r="2570" spans="2:2" x14ac:dyDescent="0.2">
      <c r="B2570" s="38"/>
    </row>
    <row r="2571" spans="2:2" x14ac:dyDescent="0.2">
      <c r="B2571" s="38"/>
    </row>
    <row r="2572" spans="2:2" x14ac:dyDescent="0.2">
      <c r="B2572" s="38"/>
    </row>
    <row r="2573" spans="2:2" x14ac:dyDescent="0.2">
      <c r="B2573" s="38"/>
    </row>
    <row r="2574" spans="2:2" x14ac:dyDescent="0.2">
      <c r="B2574" s="38"/>
    </row>
    <row r="2575" spans="2:2" x14ac:dyDescent="0.2">
      <c r="B2575" s="38"/>
    </row>
    <row r="2576" spans="2:2" x14ac:dyDescent="0.2">
      <c r="B2576" s="38"/>
    </row>
    <row r="2577" spans="2:2" x14ac:dyDescent="0.2">
      <c r="B2577" s="38"/>
    </row>
    <row r="2578" spans="2:2" x14ac:dyDescent="0.2">
      <c r="B2578" s="38"/>
    </row>
    <row r="2579" spans="2:2" x14ac:dyDescent="0.2">
      <c r="B2579" s="38"/>
    </row>
    <row r="2580" spans="2:2" x14ac:dyDescent="0.2">
      <c r="B2580" s="38"/>
    </row>
    <row r="2581" spans="2:2" x14ac:dyDescent="0.2">
      <c r="B2581" s="38"/>
    </row>
    <row r="2582" spans="2:2" x14ac:dyDescent="0.2">
      <c r="B2582" s="38"/>
    </row>
    <row r="2583" spans="2:2" x14ac:dyDescent="0.2">
      <c r="B2583" s="38"/>
    </row>
    <row r="2584" spans="2:2" x14ac:dyDescent="0.2">
      <c r="B2584" s="38"/>
    </row>
    <row r="2585" spans="2:2" x14ac:dyDescent="0.2">
      <c r="B2585" s="38"/>
    </row>
    <row r="2586" spans="2:2" x14ac:dyDescent="0.2">
      <c r="B2586" s="38"/>
    </row>
    <row r="2587" spans="2:2" x14ac:dyDescent="0.2">
      <c r="B2587" s="38"/>
    </row>
    <row r="2588" spans="2:2" x14ac:dyDescent="0.2">
      <c r="B2588" s="38"/>
    </row>
    <row r="2589" spans="2:2" x14ac:dyDescent="0.2">
      <c r="B2589" s="38"/>
    </row>
    <row r="2590" spans="2:2" x14ac:dyDescent="0.2">
      <c r="B2590" s="38"/>
    </row>
    <row r="2591" spans="2:2" x14ac:dyDescent="0.2">
      <c r="B2591" s="38"/>
    </row>
    <row r="2592" spans="2:2" x14ac:dyDescent="0.2">
      <c r="B2592" s="38"/>
    </row>
    <row r="2593" spans="2:2" x14ac:dyDescent="0.2">
      <c r="B2593" s="38"/>
    </row>
    <row r="2594" spans="2:2" x14ac:dyDescent="0.2">
      <c r="B2594" s="38"/>
    </row>
    <row r="2595" spans="2:2" x14ac:dyDescent="0.2">
      <c r="B2595" s="38"/>
    </row>
    <row r="2596" spans="2:2" x14ac:dyDescent="0.2">
      <c r="B2596" s="38"/>
    </row>
    <row r="2597" spans="2:2" x14ac:dyDescent="0.2">
      <c r="B2597" s="38"/>
    </row>
    <row r="2598" spans="2:2" x14ac:dyDescent="0.2">
      <c r="B2598" s="38"/>
    </row>
    <row r="2599" spans="2:2" x14ac:dyDescent="0.2">
      <c r="B2599" s="38"/>
    </row>
    <row r="2600" spans="2:2" x14ac:dyDescent="0.2">
      <c r="B2600" s="38"/>
    </row>
    <row r="2601" spans="2:2" x14ac:dyDescent="0.2">
      <c r="B2601" s="38"/>
    </row>
    <row r="2602" spans="2:2" x14ac:dyDescent="0.2">
      <c r="B2602" s="38"/>
    </row>
    <row r="2603" spans="2:2" x14ac:dyDescent="0.2">
      <c r="B2603" s="38"/>
    </row>
    <row r="2604" spans="2:2" x14ac:dyDescent="0.2">
      <c r="B2604" s="38"/>
    </row>
    <row r="2605" spans="2:2" x14ac:dyDescent="0.2">
      <c r="B2605" s="38"/>
    </row>
    <row r="2606" spans="2:2" x14ac:dyDescent="0.2">
      <c r="B2606" s="38"/>
    </row>
    <row r="2607" spans="2:2" x14ac:dyDescent="0.2">
      <c r="B2607" s="38"/>
    </row>
    <row r="2608" spans="2:2" x14ac:dyDescent="0.2">
      <c r="B2608" s="38"/>
    </row>
    <row r="2609" spans="2:2" x14ac:dyDescent="0.2">
      <c r="B2609" s="38"/>
    </row>
    <row r="2610" spans="2:2" x14ac:dyDescent="0.2">
      <c r="B2610" s="38"/>
    </row>
    <row r="2611" spans="2:2" x14ac:dyDescent="0.2">
      <c r="B2611" s="38"/>
    </row>
    <row r="2612" spans="2:2" x14ac:dyDescent="0.2">
      <c r="B2612" s="38"/>
    </row>
    <row r="2613" spans="2:2" x14ac:dyDescent="0.2">
      <c r="B2613" s="38"/>
    </row>
    <row r="2614" spans="2:2" x14ac:dyDescent="0.2">
      <c r="B2614" s="38"/>
    </row>
    <row r="2615" spans="2:2" x14ac:dyDescent="0.2">
      <c r="B2615" s="38"/>
    </row>
    <row r="2616" spans="2:2" x14ac:dyDescent="0.2">
      <c r="B2616" s="38"/>
    </row>
    <row r="2617" spans="2:2" x14ac:dyDescent="0.2">
      <c r="B2617" s="38"/>
    </row>
    <row r="2618" spans="2:2" x14ac:dyDescent="0.2">
      <c r="B2618" s="38"/>
    </row>
    <row r="2619" spans="2:2" x14ac:dyDescent="0.2">
      <c r="B2619" s="38"/>
    </row>
    <row r="2620" spans="2:2" x14ac:dyDescent="0.2">
      <c r="B2620" s="38"/>
    </row>
    <row r="2621" spans="2:2" x14ac:dyDescent="0.2">
      <c r="B2621" s="38"/>
    </row>
    <row r="2622" spans="2:2" x14ac:dyDescent="0.2">
      <c r="B2622" s="38"/>
    </row>
    <row r="2623" spans="2:2" x14ac:dyDescent="0.2">
      <c r="B2623" s="38"/>
    </row>
    <row r="2624" spans="2:2" x14ac:dyDescent="0.2">
      <c r="B2624" s="38"/>
    </row>
    <row r="2625" spans="2:2" x14ac:dyDescent="0.2">
      <c r="B2625" s="38"/>
    </row>
    <row r="2626" spans="2:2" x14ac:dyDescent="0.2">
      <c r="B2626" s="38"/>
    </row>
    <row r="2627" spans="2:2" x14ac:dyDescent="0.2">
      <c r="B2627" s="38"/>
    </row>
    <row r="2628" spans="2:2" x14ac:dyDescent="0.2">
      <c r="B2628" s="38"/>
    </row>
    <row r="2629" spans="2:2" x14ac:dyDescent="0.2">
      <c r="B2629" s="38"/>
    </row>
    <row r="2630" spans="2:2" x14ac:dyDescent="0.2">
      <c r="B2630" s="38"/>
    </row>
    <row r="2631" spans="2:2" x14ac:dyDescent="0.2">
      <c r="B2631" s="38"/>
    </row>
    <row r="2632" spans="2:2" x14ac:dyDescent="0.2">
      <c r="B2632" s="38"/>
    </row>
    <row r="2633" spans="2:2" x14ac:dyDescent="0.2">
      <c r="B2633" s="38"/>
    </row>
    <row r="2634" spans="2:2" x14ac:dyDescent="0.2">
      <c r="B2634" s="38"/>
    </row>
    <row r="2635" spans="2:2" x14ac:dyDescent="0.2">
      <c r="B2635" s="38"/>
    </row>
    <row r="2636" spans="2:2" x14ac:dyDescent="0.2">
      <c r="B2636" s="38"/>
    </row>
    <row r="2637" spans="2:2" x14ac:dyDescent="0.2">
      <c r="B2637" s="38"/>
    </row>
    <row r="2638" spans="2:2" x14ac:dyDescent="0.2">
      <c r="B2638" s="38"/>
    </row>
    <row r="2639" spans="2:2" x14ac:dyDescent="0.2">
      <c r="B2639" s="38"/>
    </row>
    <row r="2640" spans="2:2" x14ac:dyDescent="0.2">
      <c r="B2640" s="38"/>
    </row>
    <row r="2641" spans="2:2" x14ac:dyDescent="0.2">
      <c r="B2641" s="38"/>
    </row>
    <row r="2642" spans="2:2" x14ac:dyDescent="0.2">
      <c r="B2642" s="38"/>
    </row>
    <row r="2643" spans="2:2" x14ac:dyDescent="0.2">
      <c r="B2643" s="38"/>
    </row>
    <row r="2644" spans="2:2" x14ac:dyDescent="0.2">
      <c r="B2644" s="38"/>
    </row>
    <row r="2645" spans="2:2" x14ac:dyDescent="0.2">
      <c r="B2645" s="38"/>
    </row>
    <row r="2646" spans="2:2" x14ac:dyDescent="0.2">
      <c r="B2646" s="38"/>
    </row>
    <row r="2647" spans="2:2" x14ac:dyDescent="0.2">
      <c r="B2647" s="38"/>
    </row>
    <row r="2648" spans="2:2" x14ac:dyDescent="0.2">
      <c r="B2648" s="38"/>
    </row>
    <row r="2649" spans="2:2" x14ac:dyDescent="0.2">
      <c r="B2649" s="38"/>
    </row>
    <row r="2650" spans="2:2" x14ac:dyDescent="0.2">
      <c r="B2650" s="38"/>
    </row>
    <row r="2651" spans="2:2" x14ac:dyDescent="0.2">
      <c r="B2651" s="38"/>
    </row>
    <row r="2652" spans="2:2" x14ac:dyDescent="0.2">
      <c r="B2652" s="38"/>
    </row>
    <row r="2653" spans="2:2" x14ac:dyDescent="0.2">
      <c r="B2653" s="38"/>
    </row>
    <row r="2654" spans="2:2" x14ac:dyDescent="0.2">
      <c r="B2654" s="38"/>
    </row>
    <row r="2655" spans="2:2" x14ac:dyDescent="0.2">
      <c r="B2655" s="38"/>
    </row>
    <row r="2656" spans="2:2" x14ac:dyDescent="0.2">
      <c r="B2656" s="38"/>
    </row>
    <row r="2657" spans="2:2" x14ac:dyDescent="0.2">
      <c r="B2657" s="38"/>
    </row>
    <row r="2658" spans="2:2" x14ac:dyDescent="0.2">
      <c r="B2658" s="38"/>
    </row>
    <row r="2659" spans="2:2" x14ac:dyDescent="0.2">
      <c r="B2659" s="38"/>
    </row>
    <row r="2660" spans="2:2" x14ac:dyDescent="0.2">
      <c r="B2660" s="38"/>
    </row>
    <row r="2661" spans="2:2" x14ac:dyDescent="0.2">
      <c r="B2661" s="38"/>
    </row>
    <row r="2662" spans="2:2" x14ac:dyDescent="0.2">
      <c r="B2662" s="38"/>
    </row>
    <row r="2663" spans="2:2" x14ac:dyDescent="0.2">
      <c r="B2663" s="38"/>
    </row>
    <row r="2664" spans="2:2" x14ac:dyDescent="0.2">
      <c r="B2664" s="38"/>
    </row>
    <row r="2665" spans="2:2" x14ac:dyDescent="0.2">
      <c r="B2665" s="38"/>
    </row>
    <row r="2666" spans="2:2" x14ac:dyDescent="0.2">
      <c r="B2666" s="38"/>
    </row>
    <row r="2667" spans="2:2" x14ac:dyDescent="0.2">
      <c r="B2667" s="38"/>
    </row>
    <row r="2668" spans="2:2" x14ac:dyDescent="0.2">
      <c r="B2668" s="38"/>
    </row>
    <row r="2669" spans="2:2" x14ac:dyDescent="0.2">
      <c r="B2669" s="38"/>
    </row>
    <row r="2670" spans="2:2" x14ac:dyDescent="0.2">
      <c r="B2670" s="38"/>
    </row>
    <row r="2671" spans="2:2" x14ac:dyDescent="0.2">
      <c r="B2671" s="38"/>
    </row>
    <row r="2672" spans="2:2" x14ac:dyDescent="0.2">
      <c r="B2672" s="38"/>
    </row>
    <row r="2673" spans="2:2" x14ac:dyDescent="0.2">
      <c r="B2673" s="38"/>
    </row>
    <row r="2674" spans="2:2" x14ac:dyDescent="0.2">
      <c r="B2674" s="38"/>
    </row>
    <row r="2675" spans="2:2" x14ac:dyDescent="0.2">
      <c r="B2675" s="38"/>
    </row>
    <row r="2676" spans="2:2" x14ac:dyDescent="0.2">
      <c r="B2676" s="38"/>
    </row>
    <row r="2677" spans="2:2" x14ac:dyDescent="0.2">
      <c r="B2677" s="38"/>
    </row>
    <row r="2678" spans="2:2" x14ac:dyDescent="0.2">
      <c r="B2678" s="38"/>
    </row>
    <row r="2679" spans="2:2" x14ac:dyDescent="0.2">
      <c r="B2679" s="38"/>
    </row>
    <row r="2680" spans="2:2" x14ac:dyDescent="0.2">
      <c r="B2680" s="38"/>
    </row>
    <row r="2681" spans="2:2" x14ac:dyDescent="0.2">
      <c r="B2681" s="38"/>
    </row>
    <row r="2682" spans="2:2" x14ac:dyDescent="0.2">
      <c r="B2682" s="38"/>
    </row>
    <row r="2683" spans="2:2" x14ac:dyDescent="0.2">
      <c r="B2683" s="38"/>
    </row>
    <row r="2684" spans="2:2" x14ac:dyDescent="0.2">
      <c r="B2684" s="38"/>
    </row>
    <row r="2685" spans="2:2" x14ac:dyDescent="0.2">
      <c r="B2685" s="38"/>
    </row>
    <row r="2686" spans="2:2" x14ac:dyDescent="0.2">
      <c r="B2686" s="38"/>
    </row>
    <row r="2687" spans="2:2" x14ac:dyDescent="0.2">
      <c r="B2687" s="38"/>
    </row>
    <row r="2688" spans="2:2" x14ac:dyDescent="0.2">
      <c r="B2688" s="38"/>
    </row>
    <row r="2689" spans="2:2" x14ac:dyDescent="0.2">
      <c r="B2689" s="38"/>
    </row>
    <row r="2690" spans="2:2" x14ac:dyDescent="0.2">
      <c r="B2690" s="38"/>
    </row>
    <row r="2691" spans="2:2" x14ac:dyDescent="0.2">
      <c r="B2691" s="38"/>
    </row>
    <row r="2692" spans="2:2" x14ac:dyDescent="0.2">
      <c r="B2692" s="38"/>
    </row>
    <row r="2693" spans="2:2" x14ac:dyDescent="0.2">
      <c r="B2693" s="38"/>
    </row>
    <row r="2694" spans="2:2" x14ac:dyDescent="0.2">
      <c r="B2694" s="38"/>
    </row>
    <row r="2695" spans="2:2" x14ac:dyDescent="0.2">
      <c r="B2695" s="38"/>
    </row>
    <row r="2696" spans="2:2" x14ac:dyDescent="0.2">
      <c r="B2696" s="38"/>
    </row>
    <row r="2697" spans="2:2" x14ac:dyDescent="0.2">
      <c r="B2697" s="38"/>
    </row>
    <row r="2698" spans="2:2" x14ac:dyDescent="0.2">
      <c r="B2698" s="38"/>
    </row>
    <row r="2699" spans="2:2" x14ac:dyDescent="0.2">
      <c r="B2699" s="38"/>
    </row>
    <row r="2700" spans="2:2" x14ac:dyDescent="0.2">
      <c r="B2700" s="38"/>
    </row>
    <row r="2701" spans="2:2" x14ac:dyDescent="0.2">
      <c r="B2701" s="38"/>
    </row>
    <row r="2702" spans="2:2" x14ac:dyDescent="0.2">
      <c r="B2702" s="38"/>
    </row>
    <row r="2703" spans="2:2" x14ac:dyDescent="0.2">
      <c r="B2703" s="38"/>
    </row>
    <row r="2704" spans="2:2" x14ac:dyDescent="0.2">
      <c r="B2704" s="38"/>
    </row>
    <row r="2705" spans="2:2" x14ac:dyDescent="0.2">
      <c r="B2705" s="38"/>
    </row>
    <row r="2706" spans="2:2" x14ac:dyDescent="0.2">
      <c r="B2706" s="38"/>
    </row>
    <row r="2707" spans="2:2" x14ac:dyDescent="0.2">
      <c r="B2707" s="38"/>
    </row>
    <row r="2708" spans="2:2" x14ac:dyDescent="0.2">
      <c r="B2708" s="38"/>
    </row>
    <row r="2709" spans="2:2" x14ac:dyDescent="0.2">
      <c r="B2709" s="38"/>
    </row>
    <row r="2710" spans="2:2" x14ac:dyDescent="0.2">
      <c r="B2710" s="38"/>
    </row>
    <row r="2711" spans="2:2" x14ac:dyDescent="0.2">
      <c r="B2711" s="38"/>
    </row>
    <row r="2712" spans="2:2" x14ac:dyDescent="0.2">
      <c r="B2712" s="38"/>
    </row>
    <row r="2713" spans="2:2" x14ac:dyDescent="0.2">
      <c r="B2713" s="38"/>
    </row>
    <row r="2714" spans="2:2" x14ac:dyDescent="0.2">
      <c r="B2714" s="38"/>
    </row>
    <row r="2715" spans="2:2" x14ac:dyDescent="0.2">
      <c r="B2715" s="38"/>
    </row>
    <row r="2716" spans="2:2" x14ac:dyDescent="0.2">
      <c r="B2716" s="38"/>
    </row>
    <row r="2717" spans="2:2" x14ac:dyDescent="0.2">
      <c r="B2717" s="38"/>
    </row>
    <row r="2718" spans="2:2" x14ac:dyDescent="0.2">
      <c r="B2718" s="38"/>
    </row>
    <row r="2719" spans="2:2" x14ac:dyDescent="0.2">
      <c r="B2719" s="38"/>
    </row>
    <row r="2720" spans="2:2" x14ac:dyDescent="0.2">
      <c r="B2720" s="38"/>
    </row>
    <row r="2721" spans="2:2" x14ac:dyDescent="0.2">
      <c r="B2721" s="38"/>
    </row>
    <row r="2722" spans="2:2" x14ac:dyDescent="0.2">
      <c r="B2722" s="38"/>
    </row>
    <row r="2723" spans="2:2" x14ac:dyDescent="0.2">
      <c r="B2723" s="38"/>
    </row>
    <row r="2724" spans="2:2" x14ac:dyDescent="0.2">
      <c r="B2724" s="38"/>
    </row>
    <row r="2725" spans="2:2" x14ac:dyDescent="0.2">
      <c r="B2725" s="38"/>
    </row>
    <row r="2726" spans="2:2" x14ac:dyDescent="0.2">
      <c r="B2726" s="38"/>
    </row>
    <row r="2727" spans="2:2" x14ac:dyDescent="0.2">
      <c r="B2727" s="38"/>
    </row>
    <row r="2728" spans="2:2" x14ac:dyDescent="0.2">
      <c r="B2728" s="38"/>
    </row>
    <row r="2729" spans="2:2" x14ac:dyDescent="0.2">
      <c r="B2729" s="38"/>
    </row>
    <row r="2730" spans="2:2" x14ac:dyDescent="0.2">
      <c r="B2730" s="38"/>
    </row>
    <row r="2731" spans="2:2" x14ac:dyDescent="0.2">
      <c r="B2731" s="38"/>
    </row>
    <row r="2732" spans="2:2" x14ac:dyDescent="0.2">
      <c r="B2732" s="38"/>
    </row>
    <row r="2733" spans="2:2" x14ac:dyDescent="0.2">
      <c r="B2733" s="38"/>
    </row>
    <row r="2734" spans="2:2" x14ac:dyDescent="0.2">
      <c r="B2734" s="38"/>
    </row>
    <row r="2735" spans="2:2" x14ac:dyDescent="0.2">
      <c r="B2735" s="38"/>
    </row>
    <row r="2736" spans="2:2" x14ac:dyDescent="0.2">
      <c r="B2736" s="38"/>
    </row>
    <row r="2737" spans="2:2" x14ac:dyDescent="0.2">
      <c r="B2737" s="38"/>
    </row>
    <row r="2738" spans="2:2" x14ac:dyDescent="0.2">
      <c r="B2738" s="38"/>
    </row>
    <row r="2739" spans="2:2" x14ac:dyDescent="0.2">
      <c r="B2739" s="38"/>
    </row>
    <row r="2740" spans="2:2" x14ac:dyDescent="0.2">
      <c r="B2740" s="38"/>
    </row>
    <row r="2741" spans="2:2" x14ac:dyDescent="0.2">
      <c r="B2741" s="38"/>
    </row>
    <row r="2742" spans="2:2" x14ac:dyDescent="0.2">
      <c r="B2742" s="38"/>
    </row>
    <row r="2743" spans="2:2" x14ac:dyDescent="0.2">
      <c r="B2743" s="38"/>
    </row>
    <row r="2744" spans="2:2" x14ac:dyDescent="0.2">
      <c r="B2744" s="38"/>
    </row>
    <row r="2745" spans="2:2" x14ac:dyDescent="0.2">
      <c r="B2745" s="38"/>
    </row>
    <row r="2746" spans="2:2" x14ac:dyDescent="0.2">
      <c r="B2746" s="38"/>
    </row>
    <row r="2747" spans="2:2" x14ac:dyDescent="0.2">
      <c r="B2747" s="38"/>
    </row>
    <row r="2748" spans="2:2" x14ac:dyDescent="0.2">
      <c r="B2748" s="38"/>
    </row>
    <row r="2749" spans="2:2" x14ac:dyDescent="0.2">
      <c r="B2749" s="38"/>
    </row>
    <row r="2750" spans="2:2" x14ac:dyDescent="0.2">
      <c r="B2750" s="38"/>
    </row>
    <row r="2751" spans="2:2" x14ac:dyDescent="0.2">
      <c r="B2751" s="38"/>
    </row>
    <row r="2752" spans="2:2" x14ac:dyDescent="0.2">
      <c r="B2752" s="38"/>
    </row>
    <row r="2753" spans="2:2" x14ac:dyDescent="0.2">
      <c r="B2753" s="38"/>
    </row>
    <row r="2754" spans="2:2" x14ac:dyDescent="0.2">
      <c r="B2754" s="38"/>
    </row>
    <row r="2755" spans="2:2" x14ac:dyDescent="0.2">
      <c r="B2755" s="38"/>
    </row>
    <row r="2756" spans="2:2" x14ac:dyDescent="0.2">
      <c r="B2756" s="38"/>
    </row>
    <row r="2757" spans="2:2" x14ac:dyDescent="0.2">
      <c r="B2757" s="38"/>
    </row>
    <row r="2758" spans="2:2" x14ac:dyDescent="0.2">
      <c r="B2758" s="38"/>
    </row>
    <row r="2759" spans="2:2" x14ac:dyDescent="0.2">
      <c r="B2759" s="38"/>
    </row>
    <row r="2760" spans="2:2" x14ac:dyDescent="0.2">
      <c r="B2760" s="38"/>
    </row>
    <row r="2761" spans="2:2" x14ac:dyDescent="0.2">
      <c r="B2761" s="38"/>
    </row>
    <row r="2762" spans="2:2" x14ac:dyDescent="0.2">
      <c r="B2762" s="38"/>
    </row>
    <row r="2763" spans="2:2" x14ac:dyDescent="0.2">
      <c r="B2763" s="38"/>
    </row>
    <row r="2764" spans="2:2" x14ac:dyDescent="0.2">
      <c r="B2764" s="38"/>
    </row>
    <row r="2765" spans="2:2" x14ac:dyDescent="0.2">
      <c r="B2765" s="38"/>
    </row>
    <row r="2766" spans="2:2" x14ac:dyDescent="0.2">
      <c r="B2766" s="38"/>
    </row>
    <row r="2767" spans="2:2" x14ac:dyDescent="0.2">
      <c r="B2767" s="38"/>
    </row>
    <row r="2768" spans="2:2" x14ac:dyDescent="0.2">
      <c r="B2768" s="38"/>
    </row>
    <row r="2769" spans="2:2" x14ac:dyDescent="0.2">
      <c r="B2769" s="38"/>
    </row>
    <row r="2770" spans="2:2" x14ac:dyDescent="0.2">
      <c r="B2770" s="38"/>
    </row>
    <row r="2771" spans="2:2" x14ac:dyDescent="0.2">
      <c r="B2771" s="38"/>
    </row>
    <row r="2772" spans="2:2" x14ac:dyDescent="0.2">
      <c r="B2772" s="38"/>
    </row>
    <row r="2773" spans="2:2" x14ac:dyDescent="0.2">
      <c r="B2773" s="38"/>
    </row>
    <row r="2774" spans="2:2" x14ac:dyDescent="0.2">
      <c r="B2774" s="38"/>
    </row>
    <row r="2775" spans="2:2" x14ac:dyDescent="0.2">
      <c r="B2775" s="38"/>
    </row>
    <row r="2776" spans="2:2" x14ac:dyDescent="0.2">
      <c r="B2776" s="38"/>
    </row>
    <row r="2777" spans="2:2" x14ac:dyDescent="0.2">
      <c r="B2777" s="38"/>
    </row>
    <row r="2778" spans="2:2" x14ac:dyDescent="0.2">
      <c r="B2778" s="38"/>
    </row>
    <row r="2779" spans="2:2" x14ac:dyDescent="0.2">
      <c r="B2779" s="38"/>
    </row>
    <row r="2780" spans="2:2" x14ac:dyDescent="0.2">
      <c r="B2780" s="38"/>
    </row>
    <row r="2781" spans="2:2" x14ac:dyDescent="0.2">
      <c r="B2781" s="38"/>
    </row>
    <row r="2782" spans="2:2" x14ac:dyDescent="0.2">
      <c r="B2782" s="38"/>
    </row>
    <row r="2783" spans="2:2" x14ac:dyDescent="0.2">
      <c r="B2783" s="38"/>
    </row>
    <row r="2784" spans="2:2" x14ac:dyDescent="0.2">
      <c r="B2784" s="38"/>
    </row>
    <row r="2785" spans="2:2" x14ac:dyDescent="0.2">
      <c r="B2785" s="38"/>
    </row>
    <row r="2786" spans="2:2" x14ac:dyDescent="0.2">
      <c r="B2786" s="38"/>
    </row>
    <row r="2787" spans="2:2" x14ac:dyDescent="0.2">
      <c r="B2787" s="38"/>
    </row>
    <row r="2788" spans="2:2" x14ac:dyDescent="0.2">
      <c r="B2788" s="38"/>
    </row>
    <row r="2789" spans="2:2" x14ac:dyDescent="0.2">
      <c r="B2789" s="38"/>
    </row>
    <row r="2790" spans="2:2" x14ac:dyDescent="0.2">
      <c r="B2790" s="38"/>
    </row>
    <row r="2791" spans="2:2" x14ac:dyDescent="0.2">
      <c r="B2791" s="38"/>
    </row>
    <row r="2792" spans="2:2" x14ac:dyDescent="0.2">
      <c r="B2792" s="38"/>
    </row>
    <row r="2793" spans="2:2" x14ac:dyDescent="0.2">
      <c r="B2793" s="38"/>
    </row>
    <row r="2794" spans="2:2" x14ac:dyDescent="0.2">
      <c r="B2794" s="38"/>
    </row>
    <row r="2795" spans="2:2" x14ac:dyDescent="0.2">
      <c r="B2795" s="38"/>
    </row>
    <row r="2796" spans="2:2" x14ac:dyDescent="0.2">
      <c r="B2796" s="38"/>
    </row>
    <row r="2797" spans="2:2" x14ac:dyDescent="0.2">
      <c r="B2797" s="38"/>
    </row>
    <row r="2798" spans="2:2" x14ac:dyDescent="0.2">
      <c r="B2798" s="38"/>
    </row>
    <row r="2799" spans="2:2" x14ac:dyDescent="0.2">
      <c r="B2799" s="38"/>
    </row>
    <row r="2800" spans="2:2" x14ac:dyDescent="0.2">
      <c r="B2800" s="38"/>
    </row>
    <row r="2801" spans="2:2" x14ac:dyDescent="0.2">
      <c r="B2801" s="38"/>
    </row>
    <row r="2802" spans="2:2" x14ac:dyDescent="0.2">
      <c r="B2802" s="38"/>
    </row>
    <row r="2803" spans="2:2" x14ac:dyDescent="0.2">
      <c r="B2803" s="38"/>
    </row>
    <row r="2804" spans="2:2" x14ac:dyDescent="0.2">
      <c r="B2804" s="38"/>
    </row>
    <row r="2805" spans="2:2" x14ac:dyDescent="0.2">
      <c r="B2805" s="38"/>
    </row>
    <row r="2806" spans="2:2" x14ac:dyDescent="0.2">
      <c r="B2806" s="38"/>
    </row>
    <row r="2807" spans="2:2" x14ac:dyDescent="0.2">
      <c r="B2807" s="38"/>
    </row>
    <row r="2808" spans="2:2" x14ac:dyDescent="0.2">
      <c r="B2808" s="38"/>
    </row>
    <row r="2809" spans="2:2" x14ac:dyDescent="0.2">
      <c r="B2809" s="38"/>
    </row>
    <row r="2810" spans="2:2" x14ac:dyDescent="0.2">
      <c r="B2810" s="38"/>
    </row>
    <row r="2811" spans="2:2" x14ac:dyDescent="0.2">
      <c r="B2811" s="38"/>
    </row>
    <row r="2812" spans="2:2" x14ac:dyDescent="0.2">
      <c r="B2812" s="38"/>
    </row>
    <row r="2813" spans="2:2" x14ac:dyDescent="0.2">
      <c r="B2813" s="38"/>
    </row>
    <row r="2814" spans="2:2" x14ac:dyDescent="0.2">
      <c r="B2814" s="38"/>
    </row>
    <row r="2815" spans="2:2" x14ac:dyDescent="0.2">
      <c r="B2815" s="38"/>
    </row>
    <row r="2816" spans="2:2" x14ac:dyDescent="0.2">
      <c r="B2816" s="38"/>
    </row>
    <row r="2817" spans="2:2" x14ac:dyDescent="0.2">
      <c r="B2817" s="38"/>
    </row>
    <row r="2818" spans="2:2" x14ac:dyDescent="0.2">
      <c r="B2818" s="38"/>
    </row>
    <row r="2819" spans="2:2" x14ac:dyDescent="0.2">
      <c r="B2819" s="38"/>
    </row>
    <row r="2820" spans="2:2" x14ac:dyDescent="0.2">
      <c r="B2820" s="38"/>
    </row>
    <row r="2821" spans="2:2" x14ac:dyDescent="0.2">
      <c r="B2821" s="38"/>
    </row>
    <row r="2822" spans="2:2" x14ac:dyDescent="0.2">
      <c r="B2822" s="38"/>
    </row>
    <row r="2823" spans="2:2" x14ac:dyDescent="0.2">
      <c r="B2823" s="38"/>
    </row>
    <row r="2824" spans="2:2" x14ac:dyDescent="0.2">
      <c r="B2824" s="38"/>
    </row>
    <row r="2825" spans="2:2" x14ac:dyDescent="0.2">
      <c r="B2825" s="38"/>
    </row>
    <row r="2826" spans="2:2" x14ac:dyDescent="0.2">
      <c r="B2826" s="38"/>
    </row>
    <row r="2827" spans="2:2" x14ac:dyDescent="0.2">
      <c r="B2827" s="38"/>
    </row>
    <row r="2828" spans="2:2" x14ac:dyDescent="0.2">
      <c r="B2828" s="38"/>
    </row>
    <row r="2829" spans="2:2" x14ac:dyDescent="0.2">
      <c r="B2829" s="38"/>
    </row>
    <row r="2830" spans="2:2" x14ac:dyDescent="0.2">
      <c r="B2830" s="38"/>
    </row>
    <row r="2831" spans="2:2" x14ac:dyDescent="0.2">
      <c r="B2831" s="38"/>
    </row>
    <row r="2832" spans="2:2" x14ac:dyDescent="0.2">
      <c r="B2832" s="38"/>
    </row>
    <row r="2833" spans="2:2" x14ac:dyDescent="0.2">
      <c r="B2833" s="38"/>
    </row>
    <row r="2834" spans="2:2" x14ac:dyDescent="0.2">
      <c r="B2834" s="38"/>
    </row>
    <row r="2835" spans="2:2" x14ac:dyDescent="0.2">
      <c r="B2835" s="38"/>
    </row>
    <row r="2836" spans="2:2" x14ac:dyDescent="0.2">
      <c r="B2836" s="38"/>
    </row>
    <row r="2837" spans="2:2" x14ac:dyDescent="0.2">
      <c r="B2837" s="38"/>
    </row>
    <row r="2838" spans="2:2" x14ac:dyDescent="0.2">
      <c r="B2838" s="38"/>
    </row>
    <row r="2839" spans="2:2" x14ac:dyDescent="0.2">
      <c r="B2839" s="38"/>
    </row>
    <row r="2840" spans="2:2" x14ac:dyDescent="0.2">
      <c r="B2840" s="38"/>
    </row>
    <row r="2841" spans="2:2" x14ac:dyDescent="0.2">
      <c r="B2841" s="38"/>
    </row>
    <row r="2842" spans="2:2" x14ac:dyDescent="0.2">
      <c r="B2842" s="38"/>
    </row>
    <row r="2843" spans="2:2" x14ac:dyDescent="0.2">
      <c r="B2843" s="38"/>
    </row>
    <row r="2844" spans="2:2" x14ac:dyDescent="0.2">
      <c r="B2844" s="38"/>
    </row>
    <row r="2845" spans="2:2" x14ac:dyDescent="0.2">
      <c r="B2845" s="38"/>
    </row>
    <row r="2846" spans="2:2" x14ac:dyDescent="0.2">
      <c r="B2846" s="38"/>
    </row>
    <row r="2847" spans="2:2" x14ac:dyDescent="0.2">
      <c r="B2847" s="38"/>
    </row>
    <row r="2848" spans="2:2" x14ac:dyDescent="0.2">
      <c r="B2848" s="38"/>
    </row>
    <row r="2849" spans="2:2" x14ac:dyDescent="0.2">
      <c r="B2849" s="38"/>
    </row>
    <row r="2850" spans="2:2" x14ac:dyDescent="0.2">
      <c r="B2850" s="38"/>
    </row>
    <row r="2851" spans="2:2" x14ac:dyDescent="0.2">
      <c r="B2851" s="38"/>
    </row>
    <row r="2852" spans="2:2" x14ac:dyDescent="0.2">
      <c r="B2852" s="38"/>
    </row>
    <row r="2853" spans="2:2" x14ac:dyDescent="0.2">
      <c r="B2853" s="38"/>
    </row>
    <row r="2854" spans="2:2" x14ac:dyDescent="0.2">
      <c r="B2854" s="38"/>
    </row>
    <row r="2855" spans="2:2" x14ac:dyDescent="0.2">
      <c r="B2855" s="38"/>
    </row>
    <row r="2856" spans="2:2" x14ac:dyDescent="0.2">
      <c r="B2856" s="38"/>
    </row>
    <row r="2857" spans="2:2" x14ac:dyDescent="0.2">
      <c r="B2857" s="38"/>
    </row>
    <row r="2858" spans="2:2" x14ac:dyDescent="0.2">
      <c r="B2858" s="38"/>
    </row>
    <row r="2859" spans="2:2" x14ac:dyDescent="0.2">
      <c r="B2859" s="38"/>
    </row>
    <row r="2860" spans="2:2" x14ac:dyDescent="0.2">
      <c r="B2860" s="38"/>
    </row>
    <row r="2861" spans="2:2" x14ac:dyDescent="0.2">
      <c r="B2861" s="38"/>
    </row>
    <row r="2862" spans="2:2" x14ac:dyDescent="0.2">
      <c r="B2862" s="38"/>
    </row>
    <row r="2863" spans="2:2" x14ac:dyDescent="0.2">
      <c r="B2863" s="38"/>
    </row>
    <row r="2864" spans="2:2" x14ac:dyDescent="0.2">
      <c r="B2864" s="38"/>
    </row>
    <row r="2865" spans="2:2" x14ac:dyDescent="0.2">
      <c r="B2865" s="38"/>
    </row>
    <row r="2866" spans="2:2" x14ac:dyDescent="0.2">
      <c r="B2866" s="38"/>
    </row>
    <row r="2867" spans="2:2" x14ac:dyDescent="0.2">
      <c r="B2867" s="38"/>
    </row>
    <row r="2868" spans="2:2" x14ac:dyDescent="0.2">
      <c r="B2868" s="38"/>
    </row>
    <row r="2869" spans="2:2" x14ac:dyDescent="0.2">
      <c r="B2869" s="38"/>
    </row>
    <row r="2870" spans="2:2" x14ac:dyDescent="0.2">
      <c r="B2870" s="38"/>
    </row>
    <row r="2871" spans="2:2" x14ac:dyDescent="0.2">
      <c r="B2871" s="38"/>
    </row>
    <row r="2872" spans="2:2" x14ac:dyDescent="0.2">
      <c r="B2872" s="38"/>
    </row>
    <row r="2873" spans="2:2" x14ac:dyDescent="0.2">
      <c r="B2873" s="38"/>
    </row>
    <row r="2874" spans="2:2" x14ac:dyDescent="0.2">
      <c r="B2874" s="38"/>
    </row>
    <row r="2875" spans="2:2" x14ac:dyDescent="0.2">
      <c r="B2875" s="38"/>
    </row>
    <row r="2876" spans="2:2" x14ac:dyDescent="0.2">
      <c r="B2876" s="38"/>
    </row>
    <row r="2877" spans="2:2" x14ac:dyDescent="0.2">
      <c r="B2877" s="38"/>
    </row>
    <row r="2878" spans="2:2" x14ac:dyDescent="0.2">
      <c r="B2878" s="38"/>
    </row>
    <row r="2879" spans="2:2" x14ac:dyDescent="0.2">
      <c r="B2879" s="38"/>
    </row>
    <row r="2880" spans="2:2" x14ac:dyDescent="0.2">
      <c r="B2880" s="38"/>
    </row>
    <row r="2881" spans="2:2" x14ac:dyDescent="0.2">
      <c r="B2881" s="38"/>
    </row>
    <row r="2882" spans="2:2" x14ac:dyDescent="0.2">
      <c r="B2882" s="38"/>
    </row>
    <row r="2883" spans="2:2" x14ac:dyDescent="0.2">
      <c r="B2883" s="38"/>
    </row>
    <row r="2884" spans="2:2" x14ac:dyDescent="0.2">
      <c r="B2884" s="38"/>
    </row>
    <row r="2885" spans="2:2" x14ac:dyDescent="0.2">
      <c r="B2885" s="38"/>
    </row>
    <row r="2886" spans="2:2" x14ac:dyDescent="0.2">
      <c r="B2886" s="38"/>
    </row>
    <row r="2887" spans="2:2" x14ac:dyDescent="0.2">
      <c r="B2887" s="38"/>
    </row>
    <row r="2888" spans="2:2" x14ac:dyDescent="0.2">
      <c r="B2888" s="38"/>
    </row>
    <row r="2889" spans="2:2" x14ac:dyDescent="0.2">
      <c r="B2889" s="38"/>
    </row>
    <row r="2890" spans="2:2" x14ac:dyDescent="0.2">
      <c r="B2890" s="38"/>
    </row>
    <row r="2891" spans="2:2" x14ac:dyDescent="0.2">
      <c r="B2891" s="38"/>
    </row>
    <row r="2892" spans="2:2" x14ac:dyDescent="0.2">
      <c r="B2892" s="38"/>
    </row>
    <row r="2893" spans="2:2" x14ac:dyDescent="0.2">
      <c r="B2893" s="38"/>
    </row>
    <row r="2894" spans="2:2" x14ac:dyDescent="0.2">
      <c r="B2894" s="38"/>
    </row>
    <row r="2895" spans="2:2" x14ac:dyDescent="0.2">
      <c r="B2895" s="38"/>
    </row>
    <row r="2896" spans="2:2" x14ac:dyDescent="0.2">
      <c r="B2896" s="38"/>
    </row>
    <row r="2897" spans="2:2" x14ac:dyDescent="0.2">
      <c r="B2897" s="38"/>
    </row>
    <row r="2898" spans="2:2" x14ac:dyDescent="0.2">
      <c r="B2898" s="38"/>
    </row>
    <row r="2899" spans="2:2" x14ac:dyDescent="0.2">
      <c r="B2899" s="38"/>
    </row>
    <row r="2900" spans="2:2" x14ac:dyDescent="0.2">
      <c r="B2900" s="38"/>
    </row>
    <row r="2901" spans="2:2" x14ac:dyDescent="0.2">
      <c r="B2901" s="38"/>
    </row>
    <row r="2902" spans="2:2" x14ac:dyDescent="0.2">
      <c r="B2902" s="38"/>
    </row>
    <row r="2903" spans="2:2" x14ac:dyDescent="0.2">
      <c r="B2903" s="38"/>
    </row>
    <row r="2904" spans="2:2" x14ac:dyDescent="0.2">
      <c r="B2904" s="38"/>
    </row>
    <row r="2905" spans="2:2" x14ac:dyDescent="0.2">
      <c r="B2905" s="38"/>
    </row>
    <row r="2906" spans="2:2" x14ac:dyDescent="0.2">
      <c r="B2906" s="38"/>
    </row>
    <row r="2907" spans="2:2" x14ac:dyDescent="0.2">
      <c r="B2907" s="38"/>
    </row>
    <row r="2908" spans="2:2" x14ac:dyDescent="0.2">
      <c r="B2908" s="38"/>
    </row>
    <row r="2909" spans="2:2" x14ac:dyDescent="0.2">
      <c r="B2909" s="38"/>
    </row>
    <row r="2910" spans="2:2" x14ac:dyDescent="0.2">
      <c r="B2910" s="38"/>
    </row>
    <row r="2911" spans="2:2" x14ac:dyDescent="0.2">
      <c r="B2911" s="38"/>
    </row>
    <row r="2912" spans="2:2" x14ac:dyDescent="0.2">
      <c r="B2912" s="38"/>
    </row>
    <row r="2913" spans="2:2" x14ac:dyDescent="0.2">
      <c r="B2913" s="38"/>
    </row>
    <row r="2914" spans="2:2" x14ac:dyDescent="0.2">
      <c r="B2914" s="38"/>
    </row>
    <row r="2915" spans="2:2" x14ac:dyDescent="0.2">
      <c r="B2915" s="38"/>
    </row>
    <row r="2916" spans="2:2" x14ac:dyDescent="0.2">
      <c r="B2916" s="38"/>
    </row>
    <row r="2917" spans="2:2" x14ac:dyDescent="0.2">
      <c r="B2917" s="38"/>
    </row>
    <row r="2918" spans="2:2" x14ac:dyDescent="0.2">
      <c r="B2918" s="38"/>
    </row>
    <row r="2919" spans="2:2" x14ac:dyDescent="0.2">
      <c r="B2919" s="38"/>
    </row>
    <row r="2920" spans="2:2" x14ac:dyDescent="0.2">
      <c r="B2920" s="38"/>
    </row>
    <row r="2921" spans="2:2" x14ac:dyDescent="0.2">
      <c r="B2921" s="38"/>
    </row>
    <row r="2922" spans="2:2" x14ac:dyDescent="0.2">
      <c r="B2922" s="38"/>
    </row>
    <row r="2923" spans="2:2" x14ac:dyDescent="0.2">
      <c r="B2923" s="38"/>
    </row>
    <row r="2924" spans="2:2" x14ac:dyDescent="0.2">
      <c r="B2924" s="38"/>
    </row>
    <row r="2925" spans="2:2" x14ac:dyDescent="0.2">
      <c r="B2925" s="38"/>
    </row>
    <row r="2926" spans="2:2" x14ac:dyDescent="0.2">
      <c r="B2926" s="38"/>
    </row>
    <row r="2927" spans="2:2" x14ac:dyDescent="0.2">
      <c r="B2927" s="38"/>
    </row>
    <row r="2928" spans="2:2" x14ac:dyDescent="0.2">
      <c r="B2928" s="38"/>
    </row>
    <row r="2929" spans="2:2" x14ac:dyDescent="0.2">
      <c r="B2929" s="38"/>
    </row>
    <row r="2930" spans="2:2" x14ac:dyDescent="0.2">
      <c r="B2930" s="38"/>
    </row>
    <row r="2931" spans="2:2" x14ac:dyDescent="0.2">
      <c r="B2931" s="38"/>
    </row>
    <row r="2932" spans="2:2" x14ac:dyDescent="0.2">
      <c r="B2932" s="38"/>
    </row>
    <row r="2933" spans="2:2" x14ac:dyDescent="0.2">
      <c r="B2933" s="38"/>
    </row>
    <row r="2934" spans="2:2" x14ac:dyDescent="0.2">
      <c r="B2934" s="38"/>
    </row>
    <row r="2935" spans="2:2" x14ac:dyDescent="0.2">
      <c r="B2935" s="38"/>
    </row>
    <row r="2936" spans="2:2" x14ac:dyDescent="0.2">
      <c r="B2936" s="38"/>
    </row>
    <row r="2937" spans="2:2" x14ac:dyDescent="0.2">
      <c r="B2937" s="38"/>
    </row>
    <row r="2938" spans="2:2" x14ac:dyDescent="0.2">
      <c r="B2938" s="38"/>
    </row>
    <row r="2939" spans="2:2" x14ac:dyDescent="0.2">
      <c r="B2939" s="38"/>
    </row>
    <row r="2940" spans="2:2" x14ac:dyDescent="0.2">
      <c r="B2940" s="38"/>
    </row>
    <row r="2941" spans="2:2" x14ac:dyDescent="0.2">
      <c r="B2941" s="38"/>
    </row>
    <row r="2942" spans="2:2" x14ac:dyDescent="0.2">
      <c r="B2942" s="38"/>
    </row>
    <row r="2943" spans="2:2" x14ac:dyDescent="0.2">
      <c r="B2943" s="38"/>
    </row>
    <row r="2944" spans="2:2" x14ac:dyDescent="0.2">
      <c r="B2944" s="38"/>
    </row>
    <row r="2945" spans="2:2" x14ac:dyDescent="0.2">
      <c r="B2945" s="38"/>
    </row>
    <row r="2946" spans="2:2" x14ac:dyDescent="0.2">
      <c r="B2946" s="38"/>
    </row>
    <row r="2947" spans="2:2" x14ac:dyDescent="0.2">
      <c r="B2947" s="38"/>
    </row>
    <row r="2948" spans="2:2" x14ac:dyDescent="0.2">
      <c r="B2948" s="38"/>
    </row>
    <row r="2949" spans="2:2" x14ac:dyDescent="0.2">
      <c r="B2949" s="38"/>
    </row>
    <row r="2950" spans="2:2" x14ac:dyDescent="0.2">
      <c r="B2950" s="38"/>
    </row>
    <row r="2951" spans="2:2" x14ac:dyDescent="0.2">
      <c r="B2951" s="38"/>
    </row>
    <row r="2952" spans="2:2" x14ac:dyDescent="0.2">
      <c r="B2952" s="38"/>
    </row>
    <row r="2953" spans="2:2" x14ac:dyDescent="0.2">
      <c r="B2953" s="38"/>
    </row>
    <row r="2954" spans="2:2" x14ac:dyDescent="0.2">
      <c r="B2954" s="38"/>
    </row>
    <row r="2955" spans="2:2" x14ac:dyDescent="0.2">
      <c r="B2955" s="38"/>
    </row>
    <row r="2956" spans="2:2" x14ac:dyDescent="0.2">
      <c r="B2956" s="38"/>
    </row>
    <row r="2957" spans="2:2" x14ac:dyDescent="0.2">
      <c r="B2957" s="38"/>
    </row>
    <row r="2958" spans="2:2" x14ac:dyDescent="0.2">
      <c r="B2958" s="38"/>
    </row>
    <row r="2959" spans="2:2" x14ac:dyDescent="0.2">
      <c r="B2959" s="38"/>
    </row>
    <row r="2960" spans="2:2" x14ac:dyDescent="0.2">
      <c r="B2960" s="38"/>
    </row>
    <row r="2961" spans="2:2" x14ac:dyDescent="0.2">
      <c r="B2961" s="38"/>
    </row>
    <row r="2962" spans="2:2" x14ac:dyDescent="0.2">
      <c r="B2962" s="38"/>
    </row>
    <row r="2963" spans="2:2" x14ac:dyDescent="0.2">
      <c r="B2963" s="38"/>
    </row>
    <row r="2964" spans="2:2" x14ac:dyDescent="0.2">
      <c r="B2964" s="38"/>
    </row>
    <row r="2965" spans="2:2" x14ac:dyDescent="0.2">
      <c r="B2965" s="38"/>
    </row>
    <row r="2966" spans="2:2" x14ac:dyDescent="0.2">
      <c r="B2966" s="38"/>
    </row>
    <row r="2967" spans="2:2" x14ac:dyDescent="0.2">
      <c r="B2967" s="38"/>
    </row>
    <row r="2968" spans="2:2" x14ac:dyDescent="0.2">
      <c r="B2968" s="38"/>
    </row>
    <row r="2969" spans="2:2" x14ac:dyDescent="0.2">
      <c r="B2969" s="38"/>
    </row>
    <row r="2970" spans="2:2" x14ac:dyDescent="0.2">
      <c r="B2970" s="38"/>
    </row>
    <row r="2971" spans="2:2" x14ac:dyDescent="0.2">
      <c r="B2971" s="38"/>
    </row>
    <row r="2972" spans="2:2" x14ac:dyDescent="0.2">
      <c r="B2972" s="38"/>
    </row>
    <row r="2973" spans="2:2" x14ac:dyDescent="0.2">
      <c r="B2973" s="38"/>
    </row>
    <row r="2974" spans="2:2" x14ac:dyDescent="0.2">
      <c r="B2974" s="38"/>
    </row>
    <row r="2975" spans="2:2" x14ac:dyDescent="0.2">
      <c r="B2975" s="38"/>
    </row>
    <row r="2976" spans="2:2" x14ac:dyDescent="0.2">
      <c r="B2976" s="38"/>
    </row>
    <row r="2977" spans="2:2" x14ac:dyDescent="0.2">
      <c r="B2977" s="38"/>
    </row>
    <row r="2978" spans="2:2" x14ac:dyDescent="0.2">
      <c r="B2978" s="38"/>
    </row>
    <row r="2979" spans="2:2" x14ac:dyDescent="0.2">
      <c r="B2979" s="38"/>
    </row>
    <row r="2980" spans="2:2" x14ac:dyDescent="0.2">
      <c r="B2980" s="38"/>
    </row>
    <row r="2981" spans="2:2" x14ac:dyDescent="0.2">
      <c r="B2981" s="38"/>
    </row>
    <row r="2982" spans="2:2" x14ac:dyDescent="0.2">
      <c r="B2982" s="38"/>
    </row>
    <row r="2983" spans="2:2" x14ac:dyDescent="0.2">
      <c r="B2983" s="38"/>
    </row>
    <row r="2984" spans="2:2" x14ac:dyDescent="0.2">
      <c r="B2984" s="38"/>
    </row>
    <row r="2985" spans="2:2" x14ac:dyDescent="0.2">
      <c r="B2985" s="38"/>
    </row>
    <row r="2986" spans="2:2" x14ac:dyDescent="0.2">
      <c r="B2986" s="38"/>
    </row>
    <row r="2987" spans="2:2" x14ac:dyDescent="0.2">
      <c r="B2987" s="38"/>
    </row>
    <row r="2988" spans="2:2" x14ac:dyDescent="0.2">
      <c r="B2988" s="38"/>
    </row>
    <row r="2989" spans="2:2" x14ac:dyDescent="0.2">
      <c r="B2989" s="38"/>
    </row>
    <row r="2990" spans="2:2" x14ac:dyDescent="0.2">
      <c r="B2990" s="38"/>
    </row>
    <row r="2991" spans="2:2" x14ac:dyDescent="0.2">
      <c r="B2991" s="38"/>
    </row>
    <row r="2992" spans="2:2" x14ac:dyDescent="0.2">
      <c r="B2992" s="38"/>
    </row>
    <row r="2993" spans="2:2" x14ac:dyDescent="0.2">
      <c r="B2993" s="38"/>
    </row>
    <row r="2994" spans="2:2" x14ac:dyDescent="0.2">
      <c r="B2994" s="38"/>
    </row>
    <row r="2995" spans="2:2" x14ac:dyDescent="0.2">
      <c r="B2995" s="38"/>
    </row>
    <row r="2996" spans="2:2" x14ac:dyDescent="0.2">
      <c r="B2996" s="38"/>
    </row>
    <row r="2997" spans="2:2" x14ac:dyDescent="0.2">
      <c r="B2997" s="38"/>
    </row>
    <row r="2998" spans="2:2" x14ac:dyDescent="0.2">
      <c r="B2998" s="38"/>
    </row>
    <row r="2999" spans="2:2" x14ac:dyDescent="0.2">
      <c r="B2999" s="38"/>
    </row>
    <row r="3000" spans="2:2" x14ac:dyDescent="0.2">
      <c r="B3000" s="38"/>
    </row>
    <row r="3001" spans="2:2" x14ac:dyDescent="0.2">
      <c r="B3001" s="38"/>
    </row>
    <row r="3002" spans="2:2" x14ac:dyDescent="0.2">
      <c r="B3002" s="38"/>
    </row>
    <row r="3003" spans="2:2" x14ac:dyDescent="0.2">
      <c r="B3003" s="38"/>
    </row>
    <row r="3004" spans="2:2" x14ac:dyDescent="0.2">
      <c r="B3004" s="38"/>
    </row>
    <row r="3005" spans="2:2" x14ac:dyDescent="0.2">
      <c r="B3005" s="38"/>
    </row>
    <row r="3006" spans="2:2" x14ac:dyDescent="0.2">
      <c r="B3006" s="38"/>
    </row>
    <row r="3007" spans="2:2" x14ac:dyDescent="0.2">
      <c r="B3007" s="38"/>
    </row>
    <row r="3008" spans="2:2" x14ac:dyDescent="0.2">
      <c r="B3008" s="38"/>
    </row>
    <row r="3009" spans="2:2" x14ac:dyDescent="0.2">
      <c r="B3009" s="38"/>
    </row>
    <row r="3010" spans="2:2" x14ac:dyDescent="0.2">
      <c r="B3010" s="38"/>
    </row>
    <row r="3011" spans="2:2" x14ac:dyDescent="0.2">
      <c r="B3011" s="38"/>
    </row>
    <row r="3012" spans="2:2" x14ac:dyDescent="0.2">
      <c r="B3012" s="38"/>
    </row>
    <row r="3013" spans="2:2" x14ac:dyDescent="0.2">
      <c r="B3013" s="38"/>
    </row>
    <row r="3014" spans="2:2" x14ac:dyDescent="0.2">
      <c r="B3014" s="38"/>
    </row>
    <row r="3015" spans="2:2" x14ac:dyDescent="0.2">
      <c r="B3015" s="38"/>
    </row>
    <row r="3016" spans="2:2" x14ac:dyDescent="0.2">
      <c r="B3016" s="38"/>
    </row>
    <row r="3017" spans="2:2" x14ac:dyDescent="0.2">
      <c r="B3017" s="38"/>
    </row>
    <row r="3018" spans="2:2" x14ac:dyDescent="0.2">
      <c r="B3018" s="38"/>
    </row>
    <row r="3019" spans="2:2" x14ac:dyDescent="0.2">
      <c r="B3019" s="38"/>
    </row>
    <row r="3020" spans="2:2" x14ac:dyDescent="0.2">
      <c r="B3020" s="38"/>
    </row>
    <row r="3021" spans="2:2" x14ac:dyDescent="0.2">
      <c r="B3021" s="38"/>
    </row>
    <row r="3022" spans="2:2" x14ac:dyDescent="0.2">
      <c r="B3022" s="38"/>
    </row>
    <row r="3023" spans="2:2" x14ac:dyDescent="0.2">
      <c r="B3023" s="38"/>
    </row>
    <row r="3024" spans="2:2" x14ac:dyDescent="0.2">
      <c r="B3024" s="38"/>
    </row>
    <row r="3025" spans="2:2" x14ac:dyDescent="0.2">
      <c r="B3025" s="38"/>
    </row>
    <row r="3026" spans="2:2" x14ac:dyDescent="0.2">
      <c r="B3026" s="38"/>
    </row>
    <row r="3027" spans="2:2" x14ac:dyDescent="0.2">
      <c r="B3027" s="38"/>
    </row>
    <row r="3028" spans="2:2" x14ac:dyDescent="0.2">
      <c r="B3028" s="38"/>
    </row>
    <row r="3029" spans="2:2" x14ac:dyDescent="0.2">
      <c r="B3029" s="38"/>
    </row>
    <row r="3030" spans="2:2" x14ac:dyDescent="0.2">
      <c r="B3030" s="38"/>
    </row>
    <row r="3031" spans="2:2" x14ac:dyDescent="0.2">
      <c r="B3031" s="38"/>
    </row>
    <row r="3032" spans="2:2" x14ac:dyDescent="0.2">
      <c r="B3032" s="38"/>
    </row>
    <row r="3033" spans="2:2" x14ac:dyDescent="0.2">
      <c r="B3033" s="38"/>
    </row>
    <row r="3034" spans="2:2" x14ac:dyDescent="0.2">
      <c r="B3034" s="38"/>
    </row>
    <row r="3035" spans="2:2" x14ac:dyDescent="0.2">
      <c r="B3035" s="38"/>
    </row>
    <row r="3036" spans="2:2" x14ac:dyDescent="0.2">
      <c r="B3036" s="38"/>
    </row>
    <row r="3037" spans="2:2" x14ac:dyDescent="0.2">
      <c r="B3037" s="38"/>
    </row>
    <row r="3038" spans="2:2" x14ac:dyDescent="0.2">
      <c r="B3038" s="38"/>
    </row>
    <row r="3039" spans="2:2" x14ac:dyDescent="0.2">
      <c r="B3039" s="38"/>
    </row>
    <row r="3040" spans="2:2" x14ac:dyDescent="0.2">
      <c r="B3040" s="38"/>
    </row>
    <row r="3041" spans="2:2" x14ac:dyDescent="0.2">
      <c r="B3041" s="38"/>
    </row>
    <row r="3042" spans="2:2" x14ac:dyDescent="0.2">
      <c r="B3042" s="38"/>
    </row>
    <row r="3043" spans="2:2" x14ac:dyDescent="0.2">
      <c r="B3043" s="38"/>
    </row>
    <row r="3044" spans="2:2" x14ac:dyDescent="0.2">
      <c r="B3044" s="38"/>
    </row>
    <row r="3045" spans="2:2" x14ac:dyDescent="0.2">
      <c r="B3045" s="38"/>
    </row>
    <row r="3046" spans="2:2" x14ac:dyDescent="0.2">
      <c r="B3046" s="38"/>
    </row>
    <row r="3047" spans="2:2" x14ac:dyDescent="0.2">
      <c r="B3047" s="38"/>
    </row>
    <row r="3048" spans="2:2" x14ac:dyDescent="0.2">
      <c r="B3048" s="38"/>
    </row>
    <row r="3049" spans="2:2" x14ac:dyDescent="0.2">
      <c r="B3049" s="38"/>
    </row>
    <row r="3050" spans="2:2" x14ac:dyDescent="0.2">
      <c r="B3050" s="38"/>
    </row>
    <row r="3051" spans="2:2" x14ac:dyDescent="0.2">
      <c r="B3051" s="38"/>
    </row>
    <row r="3052" spans="2:2" x14ac:dyDescent="0.2">
      <c r="B3052" s="38"/>
    </row>
    <row r="3053" spans="2:2" x14ac:dyDescent="0.2">
      <c r="B3053" s="38"/>
    </row>
    <row r="3054" spans="2:2" x14ac:dyDescent="0.2">
      <c r="B3054" s="38"/>
    </row>
    <row r="3055" spans="2:2" x14ac:dyDescent="0.2">
      <c r="B3055" s="38"/>
    </row>
    <row r="3056" spans="2:2" x14ac:dyDescent="0.2">
      <c r="B3056" s="38"/>
    </row>
    <row r="3057" spans="2:2" x14ac:dyDescent="0.2">
      <c r="B3057" s="38"/>
    </row>
    <row r="3058" spans="2:2" x14ac:dyDescent="0.2">
      <c r="B3058" s="38"/>
    </row>
    <row r="3059" spans="2:2" x14ac:dyDescent="0.2">
      <c r="B3059" s="38"/>
    </row>
    <row r="3060" spans="2:2" x14ac:dyDescent="0.2">
      <c r="B3060" s="38"/>
    </row>
    <row r="3061" spans="2:2" x14ac:dyDescent="0.2">
      <c r="B3061" s="38"/>
    </row>
    <row r="3062" spans="2:2" x14ac:dyDescent="0.2">
      <c r="B3062" s="38"/>
    </row>
    <row r="3063" spans="2:2" x14ac:dyDescent="0.2">
      <c r="B3063" s="38"/>
    </row>
    <row r="3064" spans="2:2" x14ac:dyDescent="0.2">
      <c r="B3064" s="38"/>
    </row>
    <row r="3065" spans="2:2" x14ac:dyDescent="0.2">
      <c r="B3065" s="38"/>
    </row>
    <row r="3066" spans="2:2" x14ac:dyDescent="0.2">
      <c r="B3066" s="38"/>
    </row>
    <row r="3067" spans="2:2" x14ac:dyDescent="0.2">
      <c r="B3067" s="38"/>
    </row>
    <row r="3068" spans="2:2" x14ac:dyDescent="0.2">
      <c r="B3068" s="38"/>
    </row>
    <row r="3069" spans="2:2" x14ac:dyDescent="0.2">
      <c r="B3069" s="38"/>
    </row>
    <row r="3070" spans="2:2" x14ac:dyDescent="0.2">
      <c r="B3070" s="38"/>
    </row>
    <row r="3071" spans="2:2" x14ac:dyDescent="0.2">
      <c r="B3071" s="38"/>
    </row>
    <row r="3072" spans="2:2" x14ac:dyDescent="0.2">
      <c r="B3072" s="38"/>
    </row>
    <row r="3073" spans="2:2" x14ac:dyDescent="0.2">
      <c r="B3073" s="38"/>
    </row>
    <row r="3074" spans="2:2" x14ac:dyDescent="0.2">
      <c r="B3074" s="38"/>
    </row>
    <row r="3075" spans="2:2" x14ac:dyDescent="0.2">
      <c r="B3075" s="38"/>
    </row>
    <row r="3076" spans="2:2" x14ac:dyDescent="0.2">
      <c r="B3076" s="38"/>
    </row>
    <row r="3077" spans="2:2" x14ac:dyDescent="0.2">
      <c r="B3077" s="38"/>
    </row>
    <row r="3078" spans="2:2" x14ac:dyDescent="0.2">
      <c r="B3078" s="38"/>
    </row>
    <row r="3079" spans="2:2" x14ac:dyDescent="0.2">
      <c r="B3079" s="38"/>
    </row>
    <row r="3080" spans="2:2" x14ac:dyDescent="0.2">
      <c r="B3080" s="38"/>
    </row>
    <row r="3081" spans="2:2" x14ac:dyDescent="0.2">
      <c r="B3081" s="38"/>
    </row>
    <row r="3082" spans="2:2" x14ac:dyDescent="0.2">
      <c r="B3082" s="38"/>
    </row>
    <row r="3083" spans="2:2" x14ac:dyDescent="0.2">
      <c r="B3083" s="38"/>
    </row>
    <row r="3084" spans="2:2" x14ac:dyDescent="0.2">
      <c r="B3084" s="38"/>
    </row>
    <row r="3085" spans="2:2" x14ac:dyDescent="0.2">
      <c r="B3085" s="38"/>
    </row>
    <row r="3086" spans="2:2" x14ac:dyDescent="0.2">
      <c r="B3086" s="38"/>
    </row>
    <row r="3087" spans="2:2" x14ac:dyDescent="0.2">
      <c r="B3087" s="38"/>
    </row>
    <row r="3088" spans="2:2" x14ac:dyDescent="0.2">
      <c r="B3088" s="38"/>
    </row>
    <row r="3089" spans="2:2" x14ac:dyDescent="0.2">
      <c r="B3089" s="38"/>
    </row>
    <row r="3090" spans="2:2" x14ac:dyDescent="0.2">
      <c r="B3090" s="38"/>
    </row>
    <row r="3091" spans="2:2" x14ac:dyDescent="0.2">
      <c r="B3091" s="38"/>
    </row>
    <row r="3092" spans="2:2" x14ac:dyDescent="0.2">
      <c r="B3092" s="38"/>
    </row>
    <row r="3093" spans="2:2" x14ac:dyDescent="0.2">
      <c r="B3093" s="38"/>
    </row>
    <row r="3094" spans="2:2" x14ac:dyDescent="0.2">
      <c r="B3094" s="38"/>
    </row>
    <row r="3095" spans="2:2" x14ac:dyDescent="0.2">
      <c r="B3095" s="38"/>
    </row>
    <row r="3096" spans="2:2" x14ac:dyDescent="0.2">
      <c r="B3096" s="38"/>
    </row>
    <row r="3097" spans="2:2" x14ac:dyDescent="0.2">
      <c r="B3097" s="38"/>
    </row>
    <row r="3098" spans="2:2" x14ac:dyDescent="0.2">
      <c r="B3098" s="38"/>
    </row>
    <row r="3099" spans="2:2" x14ac:dyDescent="0.2">
      <c r="B3099" s="38"/>
    </row>
    <row r="3100" spans="2:2" x14ac:dyDescent="0.2">
      <c r="B3100" s="38"/>
    </row>
    <row r="3101" spans="2:2" x14ac:dyDescent="0.2">
      <c r="B3101" s="38"/>
    </row>
    <row r="3102" spans="2:2" x14ac:dyDescent="0.2">
      <c r="B3102" s="38"/>
    </row>
    <row r="3103" spans="2:2" x14ac:dyDescent="0.2">
      <c r="B3103" s="38"/>
    </row>
    <row r="3104" spans="2:2" x14ac:dyDescent="0.2">
      <c r="B3104" s="38"/>
    </row>
    <row r="3105" spans="2:2" x14ac:dyDescent="0.2">
      <c r="B3105" s="38"/>
    </row>
    <row r="3106" spans="2:2" x14ac:dyDescent="0.2">
      <c r="B3106" s="38"/>
    </row>
    <row r="3107" spans="2:2" x14ac:dyDescent="0.2">
      <c r="B3107" s="38"/>
    </row>
    <row r="3108" spans="2:2" x14ac:dyDescent="0.2">
      <c r="B3108" s="38"/>
    </row>
    <row r="3109" spans="2:2" x14ac:dyDescent="0.2">
      <c r="B3109" s="38"/>
    </row>
    <row r="3110" spans="2:2" x14ac:dyDescent="0.2">
      <c r="B3110" s="38"/>
    </row>
    <row r="3111" spans="2:2" x14ac:dyDescent="0.2">
      <c r="B3111" s="38"/>
    </row>
    <row r="3112" spans="2:2" x14ac:dyDescent="0.2">
      <c r="B3112" s="38"/>
    </row>
    <row r="3113" spans="2:2" x14ac:dyDescent="0.2">
      <c r="B3113" s="38"/>
    </row>
    <row r="3114" spans="2:2" x14ac:dyDescent="0.2">
      <c r="B3114" s="38"/>
    </row>
    <row r="3115" spans="2:2" x14ac:dyDescent="0.2">
      <c r="B3115" s="38"/>
    </row>
    <row r="3116" spans="2:2" x14ac:dyDescent="0.2">
      <c r="B3116" s="38"/>
    </row>
    <row r="3117" spans="2:2" x14ac:dyDescent="0.2">
      <c r="B3117" s="38"/>
    </row>
    <row r="3118" spans="2:2" x14ac:dyDescent="0.2">
      <c r="B3118" s="38"/>
    </row>
    <row r="3119" spans="2:2" x14ac:dyDescent="0.2">
      <c r="B3119" s="38"/>
    </row>
    <row r="3120" spans="2:2" x14ac:dyDescent="0.2">
      <c r="B3120" s="38"/>
    </row>
    <row r="3121" spans="2:2" x14ac:dyDescent="0.2">
      <c r="B3121" s="38"/>
    </row>
    <row r="3122" spans="2:2" x14ac:dyDescent="0.2">
      <c r="B3122" s="38"/>
    </row>
    <row r="3123" spans="2:2" x14ac:dyDescent="0.2">
      <c r="B3123" s="38"/>
    </row>
    <row r="3124" spans="2:2" x14ac:dyDescent="0.2">
      <c r="B3124" s="38"/>
    </row>
    <row r="3125" spans="2:2" x14ac:dyDescent="0.2">
      <c r="B3125" s="38"/>
    </row>
    <row r="3126" spans="2:2" x14ac:dyDescent="0.2">
      <c r="B3126" s="38"/>
    </row>
    <row r="3127" spans="2:2" x14ac:dyDescent="0.2">
      <c r="B3127" s="38"/>
    </row>
    <row r="3128" spans="2:2" x14ac:dyDescent="0.2">
      <c r="B3128" s="38"/>
    </row>
    <row r="3129" spans="2:2" x14ac:dyDescent="0.2">
      <c r="B3129" s="38"/>
    </row>
    <row r="3130" spans="2:2" x14ac:dyDescent="0.2">
      <c r="B3130" s="38"/>
    </row>
    <row r="3131" spans="2:2" x14ac:dyDescent="0.2">
      <c r="B3131" s="38"/>
    </row>
    <row r="3132" spans="2:2" x14ac:dyDescent="0.2">
      <c r="B3132" s="38"/>
    </row>
    <row r="3133" spans="2:2" x14ac:dyDescent="0.2">
      <c r="B3133" s="38"/>
    </row>
    <row r="3134" spans="2:2" x14ac:dyDescent="0.2">
      <c r="B3134" s="38"/>
    </row>
    <row r="3135" spans="2:2" x14ac:dyDescent="0.2">
      <c r="B3135" s="38"/>
    </row>
    <row r="3136" spans="2:2" x14ac:dyDescent="0.2">
      <c r="B3136" s="38"/>
    </row>
    <row r="3137" spans="2:2" x14ac:dyDescent="0.2">
      <c r="B3137" s="38"/>
    </row>
    <row r="3138" spans="2:2" x14ac:dyDescent="0.2">
      <c r="B3138" s="38"/>
    </row>
    <row r="3139" spans="2:2" x14ac:dyDescent="0.2">
      <c r="B3139" s="38"/>
    </row>
    <row r="3140" spans="2:2" x14ac:dyDescent="0.2">
      <c r="B3140" s="38"/>
    </row>
    <row r="3141" spans="2:2" x14ac:dyDescent="0.2">
      <c r="B3141" s="38"/>
    </row>
    <row r="3142" spans="2:2" x14ac:dyDescent="0.2">
      <c r="B3142" s="38"/>
    </row>
    <row r="3143" spans="2:2" x14ac:dyDescent="0.2">
      <c r="B3143" s="38"/>
    </row>
    <row r="3144" spans="2:2" x14ac:dyDescent="0.2">
      <c r="B3144" s="38"/>
    </row>
    <row r="3145" spans="2:2" x14ac:dyDescent="0.2">
      <c r="B3145" s="38"/>
    </row>
    <row r="3146" spans="2:2" x14ac:dyDescent="0.2">
      <c r="B3146" s="38"/>
    </row>
    <row r="3147" spans="2:2" x14ac:dyDescent="0.2">
      <c r="B3147" s="38"/>
    </row>
    <row r="3148" spans="2:2" x14ac:dyDescent="0.2">
      <c r="B3148" s="38"/>
    </row>
    <row r="3149" spans="2:2" x14ac:dyDescent="0.2">
      <c r="B3149" s="38"/>
    </row>
    <row r="3150" spans="2:2" x14ac:dyDescent="0.2">
      <c r="B3150" s="38"/>
    </row>
    <row r="3151" spans="2:2" x14ac:dyDescent="0.2">
      <c r="B3151" s="38"/>
    </row>
    <row r="3152" spans="2:2" x14ac:dyDescent="0.2">
      <c r="B3152" s="38"/>
    </row>
    <row r="3153" spans="2:2" x14ac:dyDescent="0.2">
      <c r="B3153" s="38"/>
    </row>
    <row r="3154" spans="2:2" x14ac:dyDescent="0.2">
      <c r="B3154" s="38"/>
    </row>
    <row r="3155" spans="2:2" x14ac:dyDescent="0.2">
      <c r="B3155" s="38"/>
    </row>
    <row r="3156" spans="2:2" x14ac:dyDescent="0.2">
      <c r="B3156" s="38"/>
    </row>
    <row r="3157" spans="2:2" x14ac:dyDescent="0.2">
      <c r="B3157" s="38"/>
    </row>
    <row r="3158" spans="2:2" x14ac:dyDescent="0.2">
      <c r="B3158" s="38"/>
    </row>
    <row r="3159" spans="2:2" x14ac:dyDescent="0.2">
      <c r="B3159" s="38"/>
    </row>
    <row r="3160" spans="2:2" x14ac:dyDescent="0.2">
      <c r="B3160" s="38"/>
    </row>
    <row r="3161" spans="2:2" x14ac:dyDescent="0.2">
      <c r="B3161" s="38"/>
    </row>
    <row r="3162" spans="2:2" x14ac:dyDescent="0.2">
      <c r="B3162" s="38"/>
    </row>
    <row r="3163" spans="2:2" x14ac:dyDescent="0.2">
      <c r="B3163" s="38"/>
    </row>
    <row r="3164" spans="2:2" x14ac:dyDescent="0.2">
      <c r="B3164" s="38"/>
    </row>
    <row r="3165" spans="2:2" x14ac:dyDescent="0.2">
      <c r="B3165" s="38"/>
    </row>
    <row r="3166" spans="2:2" x14ac:dyDescent="0.2">
      <c r="B3166" s="38"/>
    </row>
    <row r="3167" spans="2:2" x14ac:dyDescent="0.2">
      <c r="B3167" s="38"/>
    </row>
    <row r="3168" spans="2:2" x14ac:dyDescent="0.2">
      <c r="B3168" s="38"/>
    </row>
    <row r="3169" spans="2:2" x14ac:dyDescent="0.2">
      <c r="B3169" s="38"/>
    </row>
    <row r="3170" spans="2:2" x14ac:dyDescent="0.2">
      <c r="B3170" s="38"/>
    </row>
    <row r="3171" spans="2:2" x14ac:dyDescent="0.2">
      <c r="B3171" s="38"/>
    </row>
    <row r="3172" spans="2:2" x14ac:dyDescent="0.2">
      <c r="B3172" s="38"/>
    </row>
    <row r="3173" spans="2:2" x14ac:dyDescent="0.2">
      <c r="B3173" s="38"/>
    </row>
    <row r="3174" spans="2:2" x14ac:dyDescent="0.2">
      <c r="B3174" s="38"/>
    </row>
    <row r="3175" spans="2:2" x14ac:dyDescent="0.2">
      <c r="B3175" s="38"/>
    </row>
    <row r="3176" spans="2:2" x14ac:dyDescent="0.2">
      <c r="B3176" s="38"/>
    </row>
    <row r="3177" spans="2:2" x14ac:dyDescent="0.2">
      <c r="B3177" s="38"/>
    </row>
    <row r="3178" spans="2:2" x14ac:dyDescent="0.2">
      <c r="B3178" s="38"/>
    </row>
    <row r="3179" spans="2:2" x14ac:dyDescent="0.2">
      <c r="B3179" s="38"/>
    </row>
    <row r="3180" spans="2:2" x14ac:dyDescent="0.2">
      <c r="B3180" s="38"/>
    </row>
    <row r="3181" spans="2:2" x14ac:dyDescent="0.2">
      <c r="B3181" s="38"/>
    </row>
    <row r="3182" spans="2:2" x14ac:dyDescent="0.2">
      <c r="B3182" s="38"/>
    </row>
    <row r="3183" spans="2:2" x14ac:dyDescent="0.2">
      <c r="B3183" s="38"/>
    </row>
    <row r="3184" spans="2:2" x14ac:dyDescent="0.2">
      <c r="B3184" s="38"/>
    </row>
    <row r="3185" spans="2:2" x14ac:dyDescent="0.2">
      <c r="B3185" s="38"/>
    </row>
    <row r="3186" spans="2:2" x14ac:dyDescent="0.2">
      <c r="B3186" s="38"/>
    </row>
    <row r="3187" spans="2:2" x14ac:dyDescent="0.2">
      <c r="B3187" s="38"/>
    </row>
    <row r="3188" spans="2:2" x14ac:dyDescent="0.2">
      <c r="B3188" s="38"/>
    </row>
    <row r="3189" spans="2:2" x14ac:dyDescent="0.2">
      <c r="B3189" s="38"/>
    </row>
    <row r="3190" spans="2:2" x14ac:dyDescent="0.2">
      <c r="B3190" s="38"/>
    </row>
    <row r="3191" spans="2:2" x14ac:dyDescent="0.2">
      <c r="B3191" s="38"/>
    </row>
    <row r="3192" spans="2:2" x14ac:dyDescent="0.2">
      <c r="B3192" s="38"/>
    </row>
    <row r="3193" spans="2:2" x14ac:dyDescent="0.2">
      <c r="B3193" s="38"/>
    </row>
    <row r="3194" spans="2:2" x14ac:dyDescent="0.2">
      <c r="B3194" s="38"/>
    </row>
    <row r="3195" spans="2:2" x14ac:dyDescent="0.2">
      <c r="B3195" s="38"/>
    </row>
    <row r="3196" spans="2:2" x14ac:dyDescent="0.2">
      <c r="B3196" s="38"/>
    </row>
    <row r="3197" spans="2:2" x14ac:dyDescent="0.2">
      <c r="B3197" s="38"/>
    </row>
    <row r="3198" spans="2:2" x14ac:dyDescent="0.2">
      <c r="B3198" s="38"/>
    </row>
    <row r="3199" spans="2:2" x14ac:dyDescent="0.2">
      <c r="B3199" s="38"/>
    </row>
    <row r="3200" spans="2:2" x14ac:dyDescent="0.2">
      <c r="B3200" s="38"/>
    </row>
    <row r="3201" spans="2:2" x14ac:dyDescent="0.2">
      <c r="B3201" s="38"/>
    </row>
    <row r="3202" spans="2:2" x14ac:dyDescent="0.2">
      <c r="B3202" s="38"/>
    </row>
    <row r="3203" spans="2:2" x14ac:dyDescent="0.2">
      <c r="B3203" s="38"/>
    </row>
    <row r="3204" spans="2:2" x14ac:dyDescent="0.2">
      <c r="B3204" s="38"/>
    </row>
    <row r="3205" spans="2:2" x14ac:dyDescent="0.2">
      <c r="B3205" s="38"/>
    </row>
    <row r="3206" spans="2:2" x14ac:dyDescent="0.2">
      <c r="B3206" s="38"/>
    </row>
    <row r="3207" spans="2:2" x14ac:dyDescent="0.2">
      <c r="B3207" s="38"/>
    </row>
    <row r="3208" spans="2:2" x14ac:dyDescent="0.2">
      <c r="B3208" s="38"/>
    </row>
    <row r="3209" spans="2:2" x14ac:dyDescent="0.2">
      <c r="B3209" s="38"/>
    </row>
    <row r="3210" spans="2:2" x14ac:dyDescent="0.2">
      <c r="B3210" s="38"/>
    </row>
    <row r="3211" spans="2:2" x14ac:dyDescent="0.2">
      <c r="B3211" s="38"/>
    </row>
    <row r="3212" spans="2:2" x14ac:dyDescent="0.2">
      <c r="B3212" s="38"/>
    </row>
    <row r="3213" spans="2:2" x14ac:dyDescent="0.2">
      <c r="B3213" s="38"/>
    </row>
    <row r="3214" spans="2:2" x14ac:dyDescent="0.2">
      <c r="B3214" s="38"/>
    </row>
    <row r="3215" spans="2:2" x14ac:dyDescent="0.2">
      <c r="B3215" s="38"/>
    </row>
    <row r="3216" spans="2:2" x14ac:dyDescent="0.2">
      <c r="B3216" s="38"/>
    </row>
    <row r="3217" spans="2:2" x14ac:dyDescent="0.2">
      <c r="B3217" s="38"/>
    </row>
    <row r="3218" spans="2:2" x14ac:dyDescent="0.2">
      <c r="B3218" s="38"/>
    </row>
    <row r="3219" spans="2:2" x14ac:dyDescent="0.2">
      <c r="B3219" s="38"/>
    </row>
    <row r="3220" spans="2:2" x14ac:dyDescent="0.2">
      <c r="B3220" s="38"/>
    </row>
    <row r="3221" spans="2:2" x14ac:dyDescent="0.2">
      <c r="B3221" s="38"/>
    </row>
    <row r="3222" spans="2:2" x14ac:dyDescent="0.2">
      <c r="B3222" s="38"/>
    </row>
    <row r="3223" spans="2:2" x14ac:dyDescent="0.2">
      <c r="B3223" s="38"/>
    </row>
    <row r="3224" spans="2:2" x14ac:dyDescent="0.2">
      <c r="B3224" s="38"/>
    </row>
    <row r="3225" spans="2:2" x14ac:dyDescent="0.2">
      <c r="B3225" s="38"/>
    </row>
    <row r="3226" spans="2:2" x14ac:dyDescent="0.2">
      <c r="B3226" s="38"/>
    </row>
    <row r="3227" spans="2:2" x14ac:dyDescent="0.2">
      <c r="B3227" s="38"/>
    </row>
    <row r="3228" spans="2:2" x14ac:dyDescent="0.2">
      <c r="B3228" s="38"/>
    </row>
    <row r="3229" spans="2:2" x14ac:dyDescent="0.2">
      <c r="B3229" s="38"/>
    </row>
    <row r="3230" spans="2:2" x14ac:dyDescent="0.2">
      <c r="B3230" s="38"/>
    </row>
    <row r="3231" spans="2:2" x14ac:dyDescent="0.2">
      <c r="B3231" s="38"/>
    </row>
    <row r="3232" spans="2:2" x14ac:dyDescent="0.2">
      <c r="B3232" s="38"/>
    </row>
    <row r="3233" spans="2:2" x14ac:dyDescent="0.2">
      <c r="B3233" s="38"/>
    </row>
    <row r="3234" spans="2:2" x14ac:dyDescent="0.2">
      <c r="B3234" s="38"/>
    </row>
    <row r="3235" spans="2:2" x14ac:dyDescent="0.2">
      <c r="B3235" s="38"/>
    </row>
    <row r="3236" spans="2:2" x14ac:dyDescent="0.2">
      <c r="B3236" s="38"/>
    </row>
    <row r="3237" spans="2:2" x14ac:dyDescent="0.2">
      <c r="B3237" s="38"/>
    </row>
    <row r="3238" spans="2:2" x14ac:dyDescent="0.2">
      <c r="B3238" s="38"/>
    </row>
    <row r="3239" spans="2:2" x14ac:dyDescent="0.2">
      <c r="B3239" s="38"/>
    </row>
    <row r="3240" spans="2:2" x14ac:dyDescent="0.2">
      <c r="B3240" s="38"/>
    </row>
    <row r="3241" spans="2:2" x14ac:dyDescent="0.2">
      <c r="B3241" s="38"/>
    </row>
    <row r="3242" spans="2:2" x14ac:dyDescent="0.2">
      <c r="B3242" s="38"/>
    </row>
    <row r="3243" spans="2:2" x14ac:dyDescent="0.2">
      <c r="B3243" s="38"/>
    </row>
    <row r="3244" spans="2:2" x14ac:dyDescent="0.2">
      <c r="B3244" s="38"/>
    </row>
    <row r="3245" spans="2:2" x14ac:dyDescent="0.2">
      <c r="B3245" s="38"/>
    </row>
    <row r="3246" spans="2:2" x14ac:dyDescent="0.2">
      <c r="B3246" s="38"/>
    </row>
    <row r="3247" spans="2:2" x14ac:dyDescent="0.2">
      <c r="B3247" s="38"/>
    </row>
    <row r="3248" spans="2:2" x14ac:dyDescent="0.2">
      <c r="B3248" s="38"/>
    </row>
    <row r="3249" spans="2:2" x14ac:dyDescent="0.2">
      <c r="B3249" s="38"/>
    </row>
    <row r="3250" spans="2:2" x14ac:dyDescent="0.2">
      <c r="B3250" s="38"/>
    </row>
    <row r="3251" spans="2:2" x14ac:dyDescent="0.2">
      <c r="B3251" s="38"/>
    </row>
    <row r="3252" spans="2:2" x14ac:dyDescent="0.2">
      <c r="B3252" s="38"/>
    </row>
    <row r="3253" spans="2:2" x14ac:dyDescent="0.2">
      <c r="B3253" s="38"/>
    </row>
    <row r="3254" spans="2:2" x14ac:dyDescent="0.2">
      <c r="B3254" s="38"/>
    </row>
    <row r="3255" spans="2:2" x14ac:dyDescent="0.2">
      <c r="B3255" s="38"/>
    </row>
    <row r="3256" spans="2:2" x14ac:dyDescent="0.2">
      <c r="B3256" s="38"/>
    </row>
    <row r="3257" spans="2:2" x14ac:dyDescent="0.2">
      <c r="B3257" s="38"/>
    </row>
    <row r="3258" spans="2:2" x14ac:dyDescent="0.2">
      <c r="B3258" s="38"/>
    </row>
    <row r="3259" spans="2:2" x14ac:dyDescent="0.2">
      <c r="B3259" s="38"/>
    </row>
    <row r="3260" spans="2:2" x14ac:dyDescent="0.2">
      <c r="B3260" s="38"/>
    </row>
    <row r="3261" spans="2:2" x14ac:dyDescent="0.2">
      <c r="B3261" s="38"/>
    </row>
    <row r="3262" spans="2:2" x14ac:dyDescent="0.2">
      <c r="B3262" s="38"/>
    </row>
    <row r="3263" spans="2:2" x14ac:dyDescent="0.2">
      <c r="B3263" s="38"/>
    </row>
    <row r="3264" spans="2:2" x14ac:dyDescent="0.2">
      <c r="B3264" s="38"/>
    </row>
    <row r="3265" spans="2:2" x14ac:dyDescent="0.2">
      <c r="B3265" s="38"/>
    </row>
    <row r="3266" spans="2:2" x14ac:dyDescent="0.2">
      <c r="B3266" s="38"/>
    </row>
    <row r="3267" spans="2:2" x14ac:dyDescent="0.2">
      <c r="B3267" s="38"/>
    </row>
    <row r="3268" spans="2:2" x14ac:dyDescent="0.2">
      <c r="B3268" s="38"/>
    </row>
    <row r="3269" spans="2:2" x14ac:dyDescent="0.2">
      <c r="B3269" s="38"/>
    </row>
    <row r="3270" spans="2:2" x14ac:dyDescent="0.2">
      <c r="B3270" s="38"/>
    </row>
    <row r="3271" spans="2:2" x14ac:dyDescent="0.2">
      <c r="B3271" s="38"/>
    </row>
    <row r="3272" spans="2:2" x14ac:dyDescent="0.2">
      <c r="B3272" s="38"/>
    </row>
    <row r="3273" spans="2:2" x14ac:dyDescent="0.2">
      <c r="B3273" s="38"/>
    </row>
    <row r="3274" spans="2:2" x14ac:dyDescent="0.2">
      <c r="B3274" s="38"/>
    </row>
    <row r="3275" spans="2:2" x14ac:dyDescent="0.2">
      <c r="B3275" s="38"/>
    </row>
    <row r="3276" spans="2:2" x14ac:dyDescent="0.2">
      <c r="B3276" s="38"/>
    </row>
    <row r="3277" spans="2:2" x14ac:dyDescent="0.2">
      <c r="B3277" s="38"/>
    </row>
    <row r="3278" spans="2:2" x14ac:dyDescent="0.2">
      <c r="B3278" s="38"/>
    </row>
    <row r="3279" spans="2:2" x14ac:dyDescent="0.2">
      <c r="B3279" s="38"/>
    </row>
    <row r="3280" spans="2:2" x14ac:dyDescent="0.2">
      <c r="B3280" s="38"/>
    </row>
    <row r="3281" spans="2:2" x14ac:dyDescent="0.2">
      <c r="B3281" s="38"/>
    </row>
    <row r="3282" spans="2:2" x14ac:dyDescent="0.2">
      <c r="B3282" s="38"/>
    </row>
    <row r="3283" spans="2:2" x14ac:dyDescent="0.2">
      <c r="B3283" s="38"/>
    </row>
    <row r="3284" spans="2:2" x14ac:dyDescent="0.2">
      <c r="B3284" s="38"/>
    </row>
    <row r="3285" spans="2:2" x14ac:dyDescent="0.2">
      <c r="B3285" s="38"/>
    </row>
    <row r="3286" spans="2:2" x14ac:dyDescent="0.2">
      <c r="B3286" s="38"/>
    </row>
    <row r="3287" spans="2:2" x14ac:dyDescent="0.2">
      <c r="B3287" s="38"/>
    </row>
    <row r="3288" spans="2:2" x14ac:dyDescent="0.2">
      <c r="B3288" s="38"/>
    </row>
    <row r="3289" spans="2:2" x14ac:dyDescent="0.2">
      <c r="B3289" s="38"/>
    </row>
    <row r="3290" spans="2:2" x14ac:dyDescent="0.2">
      <c r="B3290" s="38"/>
    </row>
    <row r="3291" spans="2:2" x14ac:dyDescent="0.2">
      <c r="B3291" s="38"/>
    </row>
    <row r="3292" spans="2:2" x14ac:dyDescent="0.2">
      <c r="B3292" s="38"/>
    </row>
    <row r="3293" spans="2:2" x14ac:dyDescent="0.2">
      <c r="B3293" s="38"/>
    </row>
    <row r="3294" spans="2:2" x14ac:dyDescent="0.2">
      <c r="B3294" s="38"/>
    </row>
    <row r="3295" spans="2:2" x14ac:dyDescent="0.2">
      <c r="B3295" s="38"/>
    </row>
    <row r="3296" spans="2:2" x14ac:dyDescent="0.2">
      <c r="B3296" s="38"/>
    </row>
    <row r="3297" spans="2:2" x14ac:dyDescent="0.2">
      <c r="B3297" s="38"/>
    </row>
    <row r="3298" spans="2:2" x14ac:dyDescent="0.2">
      <c r="B3298" s="38"/>
    </row>
    <row r="3299" spans="2:2" x14ac:dyDescent="0.2">
      <c r="B3299" s="38"/>
    </row>
    <row r="3300" spans="2:2" x14ac:dyDescent="0.2">
      <c r="B3300" s="38"/>
    </row>
    <row r="3301" spans="2:2" x14ac:dyDescent="0.2">
      <c r="B3301" s="38"/>
    </row>
    <row r="3302" spans="2:2" x14ac:dyDescent="0.2">
      <c r="B3302" s="38"/>
    </row>
    <row r="3303" spans="2:2" x14ac:dyDescent="0.2">
      <c r="B3303" s="38"/>
    </row>
    <row r="3304" spans="2:2" x14ac:dyDescent="0.2">
      <c r="B3304" s="38"/>
    </row>
    <row r="3305" spans="2:2" x14ac:dyDescent="0.2">
      <c r="B3305" s="38"/>
    </row>
    <row r="3306" spans="2:2" x14ac:dyDescent="0.2">
      <c r="B3306" s="38"/>
    </row>
    <row r="3307" spans="2:2" x14ac:dyDescent="0.2">
      <c r="B3307" s="38"/>
    </row>
    <row r="3308" spans="2:2" x14ac:dyDescent="0.2">
      <c r="B3308" s="38"/>
    </row>
    <row r="3309" spans="2:2" x14ac:dyDescent="0.2">
      <c r="B3309" s="38"/>
    </row>
    <row r="3310" spans="2:2" x14ac:dyDescent="0.2">
      <c r="B3310" s="38"/>
    </row>
    <row r="3311" spans="2:2" x14ac:dyDescent="0.2">
      <c r="B3311" s="38"/>
    </row>
    <row r="3312" spans="2:2" x14ac:dyDescent="0.2">
      <c r="B3312" s="38"/>
    </row>
    <row r="3313" spans="2:2" x14ac:dyDescent="0.2">
      <c r="B3313" s="38"/>
    </row>
    <row r="3314" spans="2:2" x14ac:dyDescent="0.2">
      <c r="B3314" s="38"/>
    </row>
    <row r="3315" spans="2:2" x14ac:dyDescent="0.2">
      <c r="B3315" s="38"/>
    </row>
    <row r="3316" spans="2:2" x14ac:dyDescent="0.2">
      <c r="B3316" s="38"/>
    </row>
    <row r="3317" spans="2:2" x14ac:dyDescent="0.2">
      <c r="B3317" s="38"/>
    </row>
    <row r="3318" spans="2:2" x14ac:dyDescent="0.2">
      <c r="B3318" s="38"/>
    </row>
    <row r="3319" spans="2:2" x14ac:dyDescent="0.2">
      <c r="B3319" s="38"/>
    </row>
    <row r="3320" spans="2:2" x14ac:dyDescent="0.2">
      <c r="B3320" s="38"/>
    </row>
    <row r="3321" spans="2:2" x14ac:dyDescent="0.2">
      <c r="B3321" s="38"/>
    </row>
    <row r="3322" spans="2:2" x14ac:dyDescent="0.2">
      <c r="B3322" s="38"/>
    </row>
    <row r="3323" spans="2:2" x14ac:dyDescent="0.2">
      <c r="B3323" s="38"/>
    </row>
    <row r="3324" spans="2:2" x14ac:dyDescent="0.2">
      <c r="B3324" s="38"/>
    </row>
    <row r="3325" spans="2:2" x14ac:dyDescent="0.2">
      <c r="B3325" s="38"/>
    </row>
    <row r="3326" spans="2:2" x14ac:dyDescent="0.2">
      <c r="B3326" s="38"/>
    </row>
    <row r="3327" spans="2:2" x14ac:dyDescent="0.2">
      <c r="B3327" s="38"/>
    </row>
    <row r="3328" spans="2:2" x14ac:dyDescent="0.2">
      <c r="B3328" s="38"/>
    </row>
    <row r="3329" spans="2:2" x14ac:dyDescent="0.2">
      <c r="B3329" s="38"/>
    </row>
    <row r="3330" spans="2:2" x14ac:dyDescent="0.2">
      <c r="B3330" s="38"/>
    </row>
    <row r="3331" spans="2:2" x14ac:dyDescent="0.2">
      <c r="B3331" s="38"/>
    </row>
    <row r="3332" spans="2:2" x14ac:dyDescent="0.2">
      <c r="B3332" s="38"/>
    </row>
    <row r="3333" spans="2:2" x14ac:dyDescent="0.2">
      <c r="B3333" s="38"/>
    </row>
    <row r="3334" spans="2:2" x14ac:dyDescent="0.2">
      <c r="B3334" s="38"/>
    </row>
    <row r="3335" spans="2:2" x14ac:dyDescent="0.2">
      <c r="B3335" s="38"/>
    </row>
    <row r="3336" spans="2:2" x14ac:dyDescent="0.2">
      <c r="B3336" s="38"/>
    </row>
    <row r="3337" spans="2:2" x14ac:dyDescent="0.2">
      <c r="B3337" s="38"/>
    </row>
    <row r="3338" spans="2:2" x14ac:dyDescent="0.2">
      <c r="B3338" s="38"/>
    </row>
    <row r="3339" spans="2:2" x14ac:dyDescent="0.2">
      <c r="B3339" s="38"/>
    </row>
    <row r="3340" spans="2:2" x14ac:dyDescent="0.2">
      <c r="B3340" s="38"/>
    </row>
    <row r="3341" spans="2:2" x14ac:dyDescent="0.2">
      <c r="B3341" s="38"/>
    </row>
    <row r="3342" spans="2:2" x14ac:dyDescent="0.2">
      <c r="B3342" s="38"/>
    </row>
    <row r="3343" spans="2:2" x14ac:dyDescent="0.2">
      <c r="B3343" s="38"/>
    </row>
    <row r="3344" spans="2:2" x14ac:dyDescent="0.2">
      <c r="B3344" s="38"/>
    </row>
    <row r="3345" spans="2:2" x14ac:dyDescent="0.2">
      <c r="B3345" s="38"/>
    </row>
    <row r="3346" spans="2:2" x14ac:dyDescent="0.2">
      <c r="B3346" s="38"/>
    </row>
    <row r="3347" spans="2:2" x14ac:dyDescent="0.2">
      <c r="B3347" s="38"/>
    </row>
    <row r="3348" spans="2:2" x14ac:dyDescent="0.2">
      <c r="B3348" s="38"/>
    </row>
    <row r="3349" spans="2:2" x14ac:dyDescent="0.2">
      <c r="B3349" s="38"/>
    </row>
    <row r="3350" spans="2:2" x14ac:dyDescent="0.2">
      <c r="B3350" s="38"/>
    </row>
    <row r="3351" spans="2:2" x14ac:dyDescent="0.2">
      <c r="B3351" s="38"/>
    </row>
    <row r="3352" spans="2:2" x14ac:dyDescent="0.2">
      <c r="B3352" s="38"/>
    </row>
    <row r="3353" spans="2:2" x14ac:dyDescent="0.2">
      <c r="B3353" s="38"/>
    </row>
    <row r="3354" spans="2:2" x14ac:dyDescent="0.2">
      <c r="B3354" s="38"/>
    </row>
    <row r="3355" spans="2:2" x14ac:dyDescent="0.2">
      <c r="B3355" s="38"/>
    </row>
    <row r="3356" spans="2:2" x14ac:dyDescent="0.2">
      <c r="B3356" s="38"/>
    </row>
    <row r="3357" spans="2:2" x14ac:dyDescent="0.2">
      <c r="B3357" s="38"/>
    </row>
    <row r="3358" spans="2:2" x14ac:dyDescent="0.2">
      <c r="B3358" s="38"/>
    </row>
    <row r="3359" spans="2:2" x14ac:dyDescent="0.2">
      <c r="B3359" s="38"/>
    </row>
    <row r="3360" spans="2:2" x14ac:dyDescent="0.2">
      <c r="B3360" s="38"/>
    </row>
    <row r="3361" spans="2:2" x14ac:dyDescent="0.2">
      <c r="B3361" s="38"/>
    </row>
    <row r="3362" spans="2:2" x14ac:dyDescent="0.2">
      <c r="B3362" s="38"/>
    </row>
    <row r="3363" spans="2:2" x14ac:dyDescent="0.2">
      <c r="B3363" s="38"/>
    </row>
    <row r="3364" spans="2:2" x14ac:dyDescent="0.2">
      <c r="B3364" s="38"/>
    </row>
    <row r="3365" spans="2:2" x14ac:dyDescent="0.2">
      <c r="B3365" s="38"/>
    </row>
    <row r="3366" spans="2:2" x14ac:dyDescent="0.2">
      <c r="B3366" s="38"/>
    </row>
    <row r="3367" spans="2:2" x14ac:dyDescent="0.2">
      <c r="B3367" s="38"/>
    </row>
    <row r="3368" spans="2:2" x14ac:dyDescent="0.2">
      <c r="B3368" s="38"/>
    </row>
    <row r="3369" spans="2:2" x14ac:dyDescent="0.2">
      <c r="B3369" s="38"/>
    </row>
    <row r="3370" spans="2:2" x14ac:dyDescent="0.2">
      <c r="B3370" s="38"/>
    </row>
    <row r="3371" spans="2:2" x14ac:dyDescent="0.2">
      <c r="B3371" s="38"/>
    </row>
    <row r="3372" spans="2:2" x14ac:dyDescent="0.2">
      <c r="B3372" s="38"/>
    </row>
    <row r="3373" spans="2:2" x14ac:dyDescent="0.2">
      <c r="B3373" s="38"/>
    </row>
    <row r="3374" spans="2:2" x14ac:dyDescent="0.2">
      <c r="B3374" s="38"/>
    </row>
    <row r="3375" spans="2:2" x14ac:dyDescent="0.2">
      <c r="B3375" s="38"/>
    </row>
    <row r="3376" spans="2:2" x14ac:dyDescent="0.2">
      <c r="B3376" s="38"/>
    </row>
    <row r="3377" spans="2:2" x14ac:dyDescent="0.2">
      <c r="B3377" s="38"/>
    </row>
    <row r="3378" spans="2:2" x14ac:dyDescent="0.2">
      <c r="B3378" s="38"/>
    </row>
    <row r="3379" spans="2:2" x14ac:dyDescent="0.2">
      <c r="B3379" s="38"/>
    </row>
    <row r="3380" spans="2:2" x14ac:dyDescent="0.2">
      <c r="B3380" s="38"/>
    </row>
    <row r="3381" spans="2:2" x14ac:dyDescent="0.2">
      <c r="B3381" s="38"/>
    </row>
    <row r="3382" spans="2:2" x14ac:dyDescent="0.2">
      <c r="B3382" s="38"/>
    </row>
    <row r="3383" spans="2:2" x14ac:dyDescent="0.2">
      <c r="B3383" s="38"/>
    </row>
    <row r="3384" spans="2:2" x14ac:dyDescent="0.2">
      <c r="B3384" s="38"/>
    </row>
    <row r="3385" spans="2:2" x14ac:dyDescent="0.2">
      <c r="B3385" s="38"/>
    </row>
    <row r="3386" spans="2:2" x14ac:dyDescent="0.2">
      <c r="B3386" s="38"/>
    </row>
    <row r="3387" spans="2:2" x14ac:dyDescent="0.2">
      <c r="B3387" s="38"/>
    </row>
    <row r="3388" spans="2:2" x14ac:dyDescent="0.2">
      <c r="B3388" s="38"/>
    </row>
    <row r="3389" spans="2:2" x14ac:dyDescent="0.2">
      <c r="B3389" s="38"/>
    </row>
    <row r="3390" spans="2:2" x14ac:dyDescent="0.2">
      <c r="B3390" s="38"/>
    </row>
    <row r="3391" spans="2:2" x14ac:dyDescent="0.2">
      <c r="B3391" s="38"/>
    </row>
    <row r="3392" spans="2:2" x14ac:dyDescent="0.2">
      <c r="B3392" s="38"/>
    </row>
    <row r="3393" spans="2:2" x14ac:dyDescent="0.2">
      <c r="B3393" s="38"/>
    </row>
    <row r="3394" spans="2:2" x14ac:dyDescent="0.2">
      <c r="B3394" s="38"/>
    </row>
    <row r="3395" spans="2:2" x14ac:dyDescent="0.2">
      <c r="B3395" s="38"/>
    </row>
    <row r="3396" spans="2:2" x14ac:dyDescent="0.2">
      <c r="B3396" s="38"/>
    </row>
    <row r="3397" spans="2:2" x14ac:dyDescent="0.2">
      <c r="B3397" s="38"/>
    </row>
    <row r="3398" spans="2:2" x14ac:dyDescent="0.2">
      <c r="B3398" s="38"/>
    </row>
    <row r="3399" spans="2:2" x14ac:dyDescent="0.2">
      <c r="B3399" s="38"/>
    </row>
    <row r="3400" spans="2:2" x14ac:dyDescent="0.2">
      <c r="B3400" s="38"/>
    </row>
    <row r="3401" spans="2:2" x14ac:dyDescent="0.2">
      <c r="B3401" s="38"/>
    </row>
    <row r="3402" spans="2:2" x14ac:dyDescent="0.2">
      <c r="B3402" s="38"/>
    </row>
    <row r="3403" spans="2:2" x14ac:dyDescent="0.2">
      <c r="B3403" s="38"/>
    </row>
    <row r="3404" spans="2:2" x14ac:dyDescent="0.2">
      <c r="B3404" s="38"/>
    </row>
    <row r="3405" spans="2:2" x14ac:dyDescent="0.2">
      <c r="B3405" s="38"/>
    </row>
    <row r="3406" spans="2:2" x14ac:dyDescent="0.2">
      <c r="B3406" s="38"/>
    </row>
    <row r="3407" spans="2:2" x14ac:dyDescent="0.2">
      <c r="B3407" s="38"/>
    </row>
    <row r="3408" spans="2:2" x14ac:dyDescent="0.2">
      <c r="B3408" s="38"/>
    </row>
    <row r="3409" spans="2:2" x14ac:dyDescent="0.2">
      <c r="B3409" s="38"/>
    </row>
    <row r="3410" spans="2:2" x14ac:dyDescent="0.2">
      <c r="B3410" s="38"/>
    </row>
    <row r="3411" spans="2:2" x14ac:dyDescent="0.2">
      <c r="B3411" s="38"/>
    </row>
    <row r="3412" spans="2:2" x14ac:dyDescent="0.2">
      <c r="B3412" s="38"/>
    </row>
    <row r="3413" spans="2:2" x14ac:dyDescent="0.2">
      <c r="B3413" s="38"/>
    </row>
    <row r="3414" spans="2:2" x14ac:dyDescent="0.2">
      <c r="B3414" s="38"/>
    </row>
    <row r="3415" spans="2:2" x14ac:dyDescent="0.2">
      <c r="B3415" s="38"/>
    </row>
    <row r="3416" spans="2:2" x14ac:dyDescent="0.2">
      <c r="B3416" s="38"/>
    </row>
    <row r="3417" spans="2:2" x14ac:dyDescent="0.2">
      <c r="B3417" s="38"/>
    </row>
    <row r="3418" spans="2:2" x14ac:dyDescent="0.2">
      <c r="B3418" s="38"/>
    </row>
    <row r="3419" spans="2:2" x14ac:dyDescent="0.2">
      <c r="B3419" s="38"/>
    </row>
    <row r="3420" spans="2:2" x14ac:dyDescent="0.2">
      <c r="B3420" s="38"/>
    </row>
    <row r="3421" spans="2:2" x14ac:dyDescent="0.2">
      <c r="B3421" s="38"/>
    </row>
    <row r="3422" spans="2:2" x14ac:dyDescent="0.2">
      <c r="B3422" s="38"/>
    </row>
    <row r="3423" spans="2:2" x14ac:dyDescent="0.2">
      <c r="B3423" s="38"/>
    </row>
    <row r="3424" spans="2:2" x14ac:dyDescent="0.2">
      <c r="B3424" s="38"/>
    </row>
    <row r="3425" spans="2:2" x14ac:dyDescent="0.2">
      <c r="B3425" s="38"/>
    </row>
    <row r="3426" spans="2:2" x14ac:dyDescent="0.2">
      <c r="B3426" s="38"/>
    </row>
    <row r="3427" spans="2:2" x14ac:dyDescent="0.2">
      <c r="B3427" s="38"/>
    </row>
    <row r="3428" spans="2:2" x14ac:dyDescent="0.2">
      <c r="B3428" s="38"/>
    </row>
    <row r="3429" spans="2:2" x14ac:dyDescent="0.2">
      <c r="B3429" s="38"/>
    </row>
    <row r="3430" spans="2:2" x14ac:dyDescent="0.2">
      <c r="B3430" s="38"/>
    </row>
    <row r="3431" spans="2:2" x14ac:dyDescent="0.2">
      <c r="B3431" s="38"/>
    </row>
    <row r="3432" spans="2:2" x14ac:dyDescent="0.2">
      <c r="B3432" s="38"/>
    </row>
    <row r="3433" spans="2:2" x14ac:dyDescent="0.2">
      <c r="B3433" s="38"/>
    </row>
    <row r="3434" spans="2:2" x14ac:dyDescent="0.2">
      <c r="B3434" s="38"/>
    </row>
    <row r="3435" spans="2:2" x14ac:dyDescent="0.2">
      <c r="B3435" s="38"/>
    </row>
    <row r="3436" spans="2:2" x14ac:dyDescent="0.2">
      <c r="B3436" s="38"/>
    </row>
    <row r="3437" spans="2:2" x14ac:dyDescent="0.2">
      <c r="B3437" s="38"/>
    </row>
    <row r="3438" spans="2:2" x14ac:dyDescent="0.2">
      <c r="B3438" s="38"/>
    </row>
    <row r="3439" spans="2:2" x14ac:dyDescent="0.2">
      <c r="B3439" s="38"/>
    </row>
    <row r="3440" spans="2:2" x14ac:dyDescent="0.2">
      <c r="B3440" s="38"/>
    </row>
    <row r="3441" spans="2:2" x14ac:dyDescent="0.2">
      <c r="B3441" s="38"/>
    </row>
    <row r="3442" spans="2:2" x14ac:dyDescent="0.2">
      <c r="B3442" s="38"/>
    </row>
    <row r="3443" spans="2:2" x14ac:dyDescent="0.2">
      <c r="B3443" s="38"/>
    </row>
    <row r="3444" spans="2:2" x14ac:dyDescent="0.2">
      <c r="B3444" s="38"/>
    </row>
    <row r="3445" spans="2:2" x14ac:dyDescent="0.2">
      <c r="B3445" s="38"/>
    </row>
    <row r="3446" spans="2:2" x14ac:dyDescent="0.2">
      <c r="B3446" s="38"/>
    </row>
    <row r="3447" spans="2:2" x14ac:dyDescent="0.2">
      <c r="B3447" s="38"/>
    </row>
    <row r="3448" spans="2:2" x14ac:dyDescent="0.2">
      <c r="B3448" s="38"/>
    </row>
    <row r="3449" spans="2:2" x14ac:dyDescent="0.2">
      <c r="B3449" s="38"/>
    </row>
    <row r="3450" spans="2:2" x14ac:dyDescent="0.2">
      <c r="B3450" s="38"/>
    </row>
    <row r="3451" spans="2:2" x14ac:dyDescent="0.2">
      <c r="B3451" s="38"/>
    </row>
    <row r="3452" spans="2:2" x14ac:dyDescent="0.2">
      <c r="B3452" s="38"/>
    </row>
    <row r="3453" spans="2:2" x14ac:dyDescent="0.2">
      <c r="B3453" s="38"/>
    </row>
    <row r="3454" spans="2:2" x14ac:dyDescent="0.2">
      <c r="B3454" s="38"/>
    </row>
    <row r="3455" spans="2:2" x14ac:dyDescent="0.2">
      <c r="B3455" s="38"/>
    </row>
    <row r="3456" spans="2:2" x14ac:dyDescent="0.2">
      <c r="B3456" s="38"/>
    </row>
    <row r="3457" spans="2:2" x14ac:dyDescent="0.2">
      <c r="B3457" s="38"/>
    </row>
    <row r="3458" spans="2:2" x14ac:dyDescent="0.2">
      <c r="B3458" s="38"/>
    </row>
    <row r="3459" spans="2:2" x14ac:dyDescent="0.2">
      <c r="B3459" s="38"/>
    </row>
    <row r="3460" spans="2:2" x14ac:dyDescent="0.2">
      <c r="B3460" s="38"/>
    </row>
    <row r="3461" spans="2:2" x14ac:dyDescent="0.2">
      <c r="B3461" s="38"/>
    </row>
    <row r="3462" spans="2:2" x14ac:dyDescent="0.2">
      <c r="B3462" s="38"/>
    </row>
    <row r="3463" spans="2:2" x14ac:dyDescent="0.2">
      <c r="B3463" s="38"/>
    </row>
    <row r="3464" spans="2:2" x14ac:dyDescent="0.2">
      <c r="B3464" s="38"/>
    </row>
    <row r="3465" spans="2:2" x14ac:dyDescent="0.2">
      <c r="B3465" s="38"/>
    </row>
    <row r="3466" spans="2:2" x14ac:dyDescent="0.2">
      <c r="B3466" s="38"/>
    </row>
    <row r="3467" spans="2:2" x14ac:dyDescent="0.2">
      <c r="B3467" s="38"/>
    </row>
    <row r="3468" spans="2:2" x14ac:dyDescent="0.2">
      <c r="B3468" s="38"/>
    </row>
    <row r="3469" spans="2:2" x14ac:dyDescent="0.2">
      <c r="B3469" s="38"/>
    </row>
    <row r="3470" spans="2:2" x14ac:dyDescent="0.2">
      <c r="B3470" s="38"/>
    </row>
    <row r="3471" spans="2:2" x14ac:dyDescent="0.2">
      <c r="B3471" s="38"/>
    </row>
    <row r="3472" spans="2:2" x14ac:dyDescent="0.2">
      <c r="B3472" s="38"/>
    </row>
    <row r="3473" spans="2:2" x14ac:dyDescent="0.2">
      <c r="B3473" s="38"/>
    </row>
    <row r="3474" spans="2:2" x14ac:dyDescent="0.2">
      <c r="B3474" s="38"/>
    </row>
    <row r="3475" spans="2:2" x14ac:dyDescent="0.2">
      <c r="B3475" s="38"/>
    </row>
    <row r="3476" spans="2:2" x14ac:dyDescent="0.2">
      <c r="B3476" s="38"/>
    </row>
    <row r="3477" spans="2:2" x14ac:dyDescent="0.2">
      <c r="B3477" s="38"/>
    </row>
    <row r="3478" spans="2:2" x14ac:dyDescent="0.2">
      <c r="B3478" s="38"/>
    </row>
    <row r="3479" spans="2:2" x14ac:dyDescent="0.2">
      <c r="B3479" s="38"/>
    </row>
    <row r="3480" spans="2:2" x14ac:dyDescent="0.2">
      <c r="B3480" s="38"/>
    </row>
    <row r="3481" spans="2:2" x14ac:dyDescent="0.2">
      <c r="B3481" s="38"/>
    </row>
    <row r="3482" spans="2:2" x14ac:dyDescent="0.2">
      <c r="B3482" s="38"/>
    </row>
    <row r="3483" spans="2:2" x14ac:dyDescent="0.2">
      <c r="B3483" s="38"/>
    </row>
    <row r="3484" spans="2:2" x14ac:dyDescent="0.2">
      <c r="B3484" s="38"/>
    </row>
    <row r="3485" spans="2:2" x14ac:dyDescent="0.2">
      <c r="B3485" s="38"/>
    </row>
    <row r="3486" spans="2:2" x14ac:dyDescent="0.2">
      <c r="B3486" s="38"/>
    </row>
    <row r="3487" spans="2:2" x14ac:dyDescent="0.2">
      <c r="B3487" s="38"/>
    </row>
    <row r="3488" spans="2:2" x14ac:dyDescent="0.2">
      <c r="B3488" s="38"/>
    </row>
    <row r="3489" spans="2:2" x14ac:dyDescent="0.2">
      <c r="B3489" s="38"/>
    </row>
    <row r="3490" spans="2:2" x14ac:dyDescent="0.2">
      <c r="B3490" s="38"/>
    </row>
    <row r="3491" spans="2:2" x14ac:dyDescent="0.2">
      <c r="B3491" s="38"/>
    </row>
    <row r="3492" spans="2:2" x14ac:dyDescent="0.2">
      <c r="B3492" s="38"/>
    </row>
    <row r="3493" spans="2:2" x14ac:dyDescent="0.2">
      <c r="B3493" s="38"/>
    </row>
    <row r="3494" spans="2:2" x14ac:dyDescent="0.2">
      <c r="B3494" s="38"/>
    </row>
    <row r="3495" spans="2:2" x14ac:dyDescent="0.2">
      <c r="B3495" s="38"/>
    </row>
    <row r="3496" spans="2:2" x14ac:dyDescent="0.2">
      <c r="B3496" s="38"/>
    </row>
    <row r="3497" spans="2:2" x14ac:dyDescent="0.2">
      <c r="B3497" s="38"/>
    </row>
    <row r="3498" spans="2:2" x14ac:dyDescent="0.2">
      <c r="B3498" s="38"/>
    </row>
    <row r="3499" spans="2:2" x14ac:dyDescent="0.2">
      <c r="B3499" s="38"/>
    </row>
    <row r="3500" spans="2:2" x14ac:dyDescent="0.2">
      <c r="B3500" s="38"/>
    </row>
    <row r="3501" spans="2:2" x14ac:dyDescent="0.2">
      <c r="B3501" s="38"/>
    </row>
    <row r="3502" spans="2:2" x14ac:dyDescent="0.2">
      <c r="B3502" s="38"/>
    </row>
    <row r="3503" spans="2:2" x14ac:dyDescent="0.2">
      <c r="B3503" s="38"/>
    </row>
    <row r="3504" spans="2:2" x14ac:dyDescent="0.2">
      <c r="B3504" s="38"/>
    </row>
    <row r="3505" spans="2:2" x14ac:dyDescent="0.2">
      <c r="B3505" s="38"/>
    </row>
    <row r="3506" spans="2:2" x14ac:dyDescent="0.2">
      <c r="B3506" s="38"/>
    </row>
    <row r="3507" spans="2:2" x14ac:dyDescent="0.2">
      <c r="B3507" s="38"/>
    </row>
    <row r="3508" spans="2:2" x14ac:dyDescent="0.2">
      <c r="B3508" s="38"/>
    </row>
    <row r="3509" spans="2:2" x14ac:dyDescent="0.2">
      <c r="B3509" s="38"/>
    </row>
    <row r="3510" spans="2:2" x14ac:dyDescent="0.2">
      <c r="B3510" s="38"/>
    </row>
    <row r="3511" spans="2:2" x14ac:dyDescent="0.2">
      <c r="B3511" s="38"/>
    </row>
    <row r="3512" spans="2:2" x14ac:dyDescent="0.2">
      <c r="B3512" s="38"/>
    </row>
    <row r="3513" spans="2:2" x14ac:dyDescent="0.2">
      <c r="B3513" s="38"/>
    </row>
    <row r="3514" spans="2:2" x14ac:dyDescent="0.2">
      <c r="B3514" s="38"/>
    </row>
    <row r="3515" spans="2:2" x14ac:dyDescent="0.2">
      <c r="B3515" s="38"/>
    </row>
    <row r="3516" spans="2:2" x14ac:dyDescent="0.2">
      <c r="B3516" s="38"/>
    </row>
    <row r="3517" spans="2:2" x14ac:dyDescent="0.2">
      <c r="B3517" s="38"/>
    </row>
    <row r="3518" spans="2:2" x14ac:dyDescent="0.2">
      <c r="B3518" s="38"/>
    </row>
    <row r="3519" spans="2:2" x14ac:dyDescent="0.2">
      <c r="B3519" s="38"/>
    </row>
    <row r="3520" spans="2:2" x14ac:dyDescent="0.2">
      <c r="B3520" s="38"/>
    </row>
    <row r="3521" spans="2:2" x14ac:dyDescent="0.2">
      <c r="B3521" s="38"/>
    </row>
    <row r="3522" spans="2:2" x14ac:dyDescent="0.2">
      <c r="B3522" s="38"/>
    </row>
    <row r="3523" spans="2:2" x14ac:dyDescent="0.2">
      <c r="B3523" s="38"/>
    </row>
    <row r="3524" spans="2:2" x14ac:dyDescent="0.2">
      <c r="B3524" s="38"/>
    </row>
    <row r="3525" spans="2:2" x14ac:dyDescent="0.2">
      <c r="B3525" s="38"/>
    </row>
    <row r="3526" spans="2:2" x14ac:dyDescent="0.2">
      <c r="B3526" s="38"/>
    </row>
    <row r="3527" spans="2:2" x14ac:dyDescent="0.2">
      <c r="B3527" s="38"/>
    </row>
    <row r="3528" spans="2:2" x14ac:dyDescent="0.2">
      <c r="B3528" s="38"/>
    </row>
    <row r="3529" spans="2:2" x14ac:dyDescent="0.2">
      <c r="B3529" s="38"/>
    </row>
    <row r="3530" spans="2:2" x14ac:dyDescent="0.2">
      <c r="B3530" s="38"/>
    </row>
    <row r="3531" spans="2:2" x14ac:dyDescent="0.2">
      <c r="B3531" s="38"/>
    </row>
    <row r="3532" spans="2:2" x14ac:dyDescent="0.2">
      <c r="B3532" s="38"/>
    </row>
    <row r="3533" spans="2:2" x14ac:dyDescent="0.2">
      <c r="B3533" s="38"/>
    </row>
    <row r="3534" spans="2:2" x14ac:dyDescent="0.2">
      <c r="B3534" s="38"/>
    </row>
    <row r="3535" spans="2:2" x14ac:dyDescent="0.2">
      <c r="B3535" s="38"/>
    </row>
    <row r="3536" spans="2:2" x14ac:dyDescent="0.2">
      <c r="B3536" s="38"/>
    </row>
    <row r="3537" spans="2:2" x14ac:dyDescent="0.2">
      <c r="B3537" s="38"/>
    </row>
    <row r="3538" spans="2:2" x14ac:dyDescent="0.2">
      <c r="B3538" s="38"/>
    </row>
    <row r="3539" spans="2:2" x14ac:dyDescent="0.2">
      <c r="B3539" s="38"/>
    </row>
    <row r="3540" spans="2:2" x14ac:dyDescent="0.2">
      <c r="B3540" s="38"/>
    </row>
    <row r="3541" spans="2:2" x14ac:dyDescent="0.2">
      <c r="B3541" s="38"/>
    </row>
    <row r="3542" spans="2:2" x14ac:dyDescent="0.2">
      <c r="B3542" s="38"/>
    </row>
    <row r="3543" spans="2:2" x14ac:dyDescent="0.2">
      <c r="B3543" s="38"/>
    </row>
    <row r="3544" spans="2:2" x14ac:dyDescent="0.2">
      <c r="B3544" s="38"/>
    </row>
    <row r="3545" spans="2:2" x14ac:dyDescent="0.2">
      <c r="B3545" s="38"/>
    </row>
    <row r="3546" spans="2:2" x14ac:dyDescent="0.2">
      <c r="B3546" s="38"/>
    </row>
    <row r="3547" spans="2:2" x14ac:dyDescent="0.2">
      <c r="B3547" s="38"/>
    </row>
    <row r="3548" spans="2:2" x14ac:dyDescent="0.2">
      <c r="B3548" s="38"/>
    </row>
    <row r="3549" spans="2:2" x14ac:dyDescent="0.2">
      <c r="B3549" s="38"/>
    </row>
    <row r="3550" spans="2:2" x14ac:dyDescent="0.2">
      <c r="B3550" s="38"/>
    </row>
    <row r="3551" spans="2:2" x14ac:dyDescent="0.2">
      <c r="B3551" s="38"/>
    </row>
    <row r="3552" spans="2:2" x14ac:dyDescent="0.2">
      <c r="B3552" s="38"/>
    </row>
    <row r="3553" spans="2:2" x14ac:dyDescent="0.2">
      <c r="B3553" s="38"/>
    </row>
    <row r="3554" spans="2:2" x14ac:dyDescent="0.2">
      <c r="B3554" s="38"/>
    </row>
    <row r="3555" spans="2:2" x14ac:dyDescent="0.2">
      <c r="B3555" s="38"/>
    </row>
    <row r="3556" spans="2:2" x14ac:dyDescent="0.2">
      <c r="B3556" s="38"/>
    </row>
    <row r="3557" spans="2:2" x14ac:dyDescent="0.2">
      <c r="B3557" s="38"/>
    </row>
    <row r="3558" spans="2:2" x14ac:dyDescent="0.2">
      <c r="B3558" s="38"/>
    </row>
    <row r="3559" spans="2:2" x14ac:dyDescent="0.2">
      <c r="B3559" s="38"/>
    </row>
    <row r="3560" spans="2:2" x14ac:dyDescent="0.2">
      <c r="B3560" s="38"/>
    </row>
    <row r="3561" spans="2:2" x14ac:dyDescent="0.2">
      <c r="B3561" s="38"/>
    </row>
    <row r="3562" spans="2:2" x14ac:dyDescent="0.2">
      <c r="B3562" s="38"/>
    </row>
    <row r="3563" spans="2:2" x14ac:dyDescent="0.2">
      <c r="B3563" s="38"/>
    </row>
    <row r="3564" spans="2:2" x14ac:dyDescent="0.2">
      <c r="B3564" s="38"/>
    </row>
    <row r="3565" spans="2:2" x14ac:dyDescent="0.2">
      <c r="B3565" s="38"/>
    </row>
    <row r="3566" spans="2:2" x14ac:dyDescent="0.2">
      <c r="B3566" s="38"/>
    </row>
    <row r="3567" spans="2:2" x14ac:dyDescent="0.2">
      <c r="B3567" s="38"/>
    </row>
    <row r="3568" spans="2:2" x14ac:dyDescent="0.2">
      <c r="B3568" s="38"/>
    </row>
    <row r="3569" spans="2:2" x14ac:dyDescent="0.2">
      <c r="B3569" s="38"/>
    </row>
    <row r="3570" spans="2:2" x14ac:dyDescent="0.2">
      <c r="B3570" s="38"/>
    </row>
    <row r="3571" spans="2:2" x14ac:dyDescent="0.2">
      <c r="B3571" s="38"/>
    </row>
    <row r="3572" spans="2:2" x14ac:dyDescent="0.2">
      <c r="B3572" s="38"/>
    </row>
    <row r="3573" spans="2:2" x14ac:dyDescent="0.2">
      <c r="B3573" s="38"/>
    </row>
    <row r="3574" spans="2:2" x14ac:dyDescent="0.2">
      <c r="B3574" s="38"/>
    </row>
    <row r="3575" spans="2:2" x14ac:dyDescent="0.2">
      <c r="B3575" s="38"/>
    </row>
    <row r="3576" spans="2:2" x14ac:dyDescent="0.2">
      <c r="B3576" s="38"/>
    </row>
    <row r="3577" spans="2:2" x14ac:dyDescent="0.2">
      <c r="B3577" s="38"/>
    </row>
    <row r="3578" spans="2:2" x14ac:dyDescent="0.2">
      <c r="B3578" s="38"/>
    </row>
    <row r="3579" spans="2:2" x14ac:dyDescent="0.2">
      <c r="B3579" s="38"/>
    </row>
    <row r="3580" spans="2:2" x14ac:dyDescent="0.2">
      <c r="B3580" s="38"/>
    </row>
    <row r="3581" spans="2:2" x14ac:dyDescent="0.2">
      <c r="B3581" s="38"/>
    </row>
    <row r="3582" spans="2:2" x14ac:dyDescent="0.2">
      <c r="B3582" s="38"/>
    </row>
    <row r="3583" spans="2:2" x14ac:dyDescent="0.2">
      <c r="B3583" s="38"/>
    </row>
    <row r="3584" spans="2:2" x14ac:dyDescent="0.2">
      <c r="B3584" s="38"/>
    </row>
    <row r="3585" spans="2:2" x14ac:dyDescent="0.2">
      <c r="B3585" s="38"/>
    </row>
    <row r="3586" spans="2:2" x14ac:dyDescent="0.2">
      <c r="B3586" s="38"/>
    </row>
    <row r="3587" spans="2:2" x14ac:dyDescent="0.2">
      <c r="B3587" s="38"/>
    </row>
    <row r="3588" spans="2:2" x14ac:dyDescent="0.2">
      <c r="B3588" s="38"/>
    </row>
    <row r="3589" spans="2:2" x14ac:dyDescent="0.2">
      <c r="B3589" s="38"/>
    </row>
    <row r="3590" spans="2:2" x14ac:dyDescent="0.2">
      <c r="B3590" s="38"/>
    </row>
    <row r="3591" spans="2:2" x14ac:dyDescent="0.2">
      <c r="B3591" s="38"/>
    </row>
    <row r="3592" spans="2:2" x14ac:dyDescent="0.2">
      <c r="B3592" s="38"/>
    </row>
    <row r="3593" spans="2:2" x14ac:dyDescent="0.2">
      <c r="B3593" s="38"/>
    </row>
    <row r="3594" spans="2:2" x14ac:dyDescent="0.2">
      <c r="B3594" s="38"/>
    </row>
    <row r="3595" spans="2:2" x14ac:dyDescent="0.2">
      <c r="B3595" s="38"/>
    </row>
    <row r="3596" spans="2:2" x14ac:dyDescent="0.2">
      <c r="B3596" s="38"/>
    </row>
    <row r="3597" spans="2:2" x14ac:dyDescent="0.2">
      <c r="B3597" s="38"/>
    </row>
    <row r="3598" spans="2:2" x14ac:dyDescent="0.2">
      <c r="B3598" s="38"/>
    </row>
    <row r="3599" spans="2:2" x14ac:dyDescent="0.2">
      <c r="B3599" s="38"/>
    </row>
    <row r="3600" spans="2:2" x14ac:dyDescent="0.2">
      <c r="B3600" s="38"/>
    </row>
    <row r="3601" spans="2:2" x14ac:dyDescent="0.2">
      <c r="B3601" s="38"/>
    </row>
    <row r="3602" spans="2:2" x14ac:dyDescent="0.2">
      <c r="B3602" s="38"/>
    </row>
    <row r="3603" spans="2:2" x14ac:dyDescent="0.2">
      <c r="B3603" s="38"/>
    </row>
    <row r="3604" spans="2:2" x14ac:dyDescent="0.2">
      <c r="B3604" s="38"/>
    </row>
    <row r="3605" spans="2:2" x14ac:dyDescent="0.2">
      <c r="B3605" s="38"/>
    </row>
    <row r="3606" spans="2:2" x14ac:dyDescent="0.2">
      <c r="B3606" s="38"/>
    </row>
    <row r="3607" spans="2:2" x14ac:dyDescent="0.2">
      <c r="B3607" s="38"/>
    </row>
    <row r="3608" spans="2:2" x14ac:dyDescent="0.2">
      <c r="B3608" s="38"/>
    </row>
    <row r="3609" spans="2:2" x14ac:dyDescent="0.2">
      <c r="B3609" s="38"/>
    </row>
    <row r="3610" spans="2:2" x14ac:dyDescent="0.2">
      <c r="B3610" s="38"/>
    </row>
    <row r="3611" spans="2:2" x14ac:dyDescent="0.2">
      <c r="B3611" s="38"/>
    </row>
    <row r="3612" spans="2:2" x14ac:dyDescent="0.2">
      <c r="B3612" s="38"/>
    </row>
    <row r="3613" spans="2:2" x14ac:dyDescent="0.2">
      <c r="B3613" s="38"/>
    </row>
    <row r="3614" spans="2:2" x14ac:dyDescent="0.2">
      <c r="B3614" s="38"/>
    </row>
    <row r="3615" spans="2:2" x14ac:dyDescent="0.2">
      <c r="B3615" s="38"/>
    </row>
    <row r="3616" spans="2:2" x14ac:dyDescent="0.2">
      <c r="B3616" s="38"/>
    </row>
    <row r="3617" spans="2:2" x14ac:dyDescent="0.2">
      <c r="B3617" s="38"/>
    </row>
    <row r="3618" spans="2:2" x14ac:dyDescent="0.2">
      <c r="B3618" s="38"/>
    </row>
    <row r="3619" spans="2:2" x14ac:dyDescent="0.2">
      <c r="B3619" s="38"/>
    </row>
    <row r="3620" spans="2:2" x14ac:dyDescent="0.2">
      <c r="B3620" s="38"/>
    </row>
    <row r="3621" spans="2:2" x14ac:dyDescent="0.2">
      <c r="B3621" s="38"/>
    </row>
    <row r="3622" spans="2:2" x14ac:dyDescent="0.2">
      <c r="B3622" s="38"/>
    </row>
    <row r="3623" spans="2:2" x14ac:dyDescent="0.2">
      <c r="B3623" s="38"/>
    </row>
    <row r="3624" spans="2:2" x14ac:dyDescent="0.2">
      <c r="B3624" s="38"/>
    </row>
    <row r="3625" spans="2:2" x14ac:dyDescent="0.2">
      <c r="B3625" s="38"/>
    </row>
    <row r="3626" spans="2:2" x14ac:dyDescent="0.2">
      <c r="B3626" s="38"/>
    </row>
    <row r="3627" spans="2:2" x14ac:dyDescent="0.2">
      <c r="B3627" s="38"/>
    </row>
    <row r="3628" spans="2:2" x14ac:dyDescent="0.2">
      <c r="B3628" s="38"/>
    </row>
    <row r="3629" spans="2:2" x14ac:dyDescent="0.2">
      <c r="B3629" s="38"/>
    </row>
    <row r="3630" spans="2:2" x14ac:dyDescent="0.2">
      <c r="B3630" s="38"/>
    </row>
    <row r="3631" spans="2:2" x14ac:dyDescent="0.2">
      <c r="B3631" s="38"/>
    </row>
    <row r="3632" spans="2:2" x14ac:dyDescent="0.2">
      <c r="B3632" s="38"/>
    </row>
    <row r="3633" spans="2:2" x14ac:dyDescent="0.2">
      <c r="B3633" s="38"/>
    </row>
    <row r="3634" spans="2:2" x14ac:dyDescent="0.2">
      <c r="B3634" s="38"/>
    </row>
    <row r="3635" spans="2:2" x14ac:dyDescent="0.2">
      <c r="B3635" s="38"/>
    </row>
    <row r="3636" spans="2:2" x14ac:dyDescent="0.2">
      <c r="B3636" s="38"/>
    </row>
    <row r="3637" spans="2:2" x14ac:dyDescent="0.2">
      <c r="B3637" s="38"/>
    </row>
    <row r="3638" spans="2:2" x14ac:dyDescent="0.2">
      <c r="B3638" s="38"/>
    </row>
    <row r="3639" spans="2:2" x14ac:dyDescent="0.2">
      <c r="B3639" s="38"/>
    </row>
    <row r="3640" spans="2:2" x14ac:dyDescent="0.2">
      <c r="B3640" s="38"/>
    </row>
    <row r="3641" spans="2:2" x14ac:dyDescent="0.2">
      <c r="B3641" s="38"/>
    </row>
    <row r="3642" spans="2:2" x14ac:dyDescent="0.2">
      <c r="B3642" s="38"/>
    </row>
    <row r="3643" spans="2:2" x14ac:dyDescent="0.2">
      <c r="B3643" s="38"/>
    </row>
    <row r="3644" spans="2:2" x14ac:dyDescent="0.2">
      <c r="B3644" s="38"/>
    </row>
    <row r="3645" spans="2:2" x14ac:dyDescent="0.2">
      <c r="B3645" s="38"/>
    </row>
    <row r="3646" spans="2:2" x14ac:dyDescent="0.2">
      <c r="B3646" s="38"/>
    </row>
    <row r="3647" spans="2:2" x14ac:dyDescent="0.2">
      <c r="B3647" s="38"/>
    </row>
    <row r="3648" spans="2:2" x14ac:dyDescent="0.2">
      <c r="B3648" s="38"/>
    </row>
    <row r="3649" spans="2:2" x14ac:dyDescent="0.2">
      <c r="B3649" s="38"/>
    </row>
    <row r="3650" spans="2:2" x14ac:dyDescent="0.2">
      <c r="B3650" s="38"/>
    </row>
    <row r="3651" spans="2:2" x14ac:dyDescent="0.2">
      <c r="B3651" s="38"/>
    </row>
    <row r="3652" spans="2:2" x14ac:dyDescent="0.2">
      <c r="B3652" s="38"/>
    </row>
    <row r="3653" spans="2:2" x14ac:dyDescent="0.2">
      <c r="B3653" s="38"/>
    </row>
    <row r="3654" spans="2:2" x14ac:dyDescent="0.2">
      <c r="B3654" s="38"/>
    </row>
    <row r="3655" spans="2:2" x14ac:dyDescent="0.2">
      <c r="B3655" s="38"/>
    </row>
    <row r="3656" spans="2:2" x14ac:dyDescent="0.2">
      <c r="B3656" s="38"/>
    </row>
    <row r="3657" spans="2:2" x14ac:dyDescent="0.2">
      <c r="B3657" s="38"/>
    </row>
    <row r="3658" spans="2:2" x14ac:dyDescent="0.2">
      <c r="B3658" s="38"/>
    </row>
    <row r="3659" spans="2:2" x14ac:dyDescent="0.2">
      <c r="B3659" s="38"/>
    </row>
    <row r="3660" spans="2:2" x14ac:dyDescent="0.2">
      <c r="B3660" s="38"/>
    </row>
    <row r="3661" spans="2:2" x14ac:dyDescent="0.2">
      <c r="B3661" s="38"/>
    </row>
    <row r="3662" spans="2:2" x14ac:dyDescent="0.2">
      <c r="B3662" s="38"/>
    </row>
    <row r="3663" spans="2:2" x14ac:dyDescent="0.2">
      <c r="B3663" s="38"/>
    </row>
    <row r="3664" spans="2:2" x14ac:dyDescent="0.2">
      <c r="B3664" s="38"/>
    </row>
    <row r="3665" spans="2:2" x14ac:dyDescent="0.2">
      <c r="B3665" s="38"/>
    </row>
    <row r="3666" spans="2:2" x14ac:dyDescent="0.2">
      <c r="B3666" s="38"/>
    </row>
    <row r="3667" spans="2:2" x14ac:dyDescent="0.2">
      <c r="B3667" s="38"/>
    </row>
    <row r="3668" spans="2:2" x14ac:dyDescent="0.2">
      <c r="B3668" s="38"/>
    </row>
    <row r="3669" spans="2:2" x14ac:dyDescent="0.2">
      <c r="B3669" s="38"/>
    </row>
    <row r="3670" spans="2:2" x14ac:dyDescent="0.2">
      <c r="B3670" s="38"/>
    </row>
    <row r="3671" spans="2:2" x14ac:dyDescent="0.2">
      <c r="B3671" s="38"/>
    </row>
    <row r="3672" spans="2:2" x14ac:dyDescent="0.2">
      <c r="B3672" s="38"/>
    </row>
    <row r="3673" spans="2:2" x14ac:dyDescent="0.2">
      <c r="B3673" s="38"/>
    </row>
    <row r="3674" spans="2:2" x14ac:dyDescent="0.2">
      <c r="B3674" s="38"/>
    </row>
    <row r="3675" spans="2:2" x14ac:dyDescent="0.2">
      <c r="B3675" s="38"/>
    </row>
    <row r="3676" spans="2:2" x14ac:dyDescent="0.2">
      <c r="B3676" s="38"/>
    </row>
    <row r="3677" spans="2:2" x14ac:dyDescent="0.2">
      <c r="B3677" s="38"/>
    </row>
    <row r="3678" spans="2:2" x14ac:dyDescent="0.2">
      <c r="B3678" s="38"/>
    </row>
    <row r="3679" spans="2:2" x14ac:dyDescent="0.2">
      <c r="B3679" s="38"/>
    </row>
    <row r="3680" spans="2:2" x14ac:dyDescent="0.2">
      <c r="B3680" s="38"/>
    </row>
    <row r="3681" spans="2:2" x14ac:dyDescent="0.2">
      <c r="B3681" s="38"/>
    </row>
    <row r="3682" spans="2:2" x14ac:dyDescent="0.2">
      <c r="B3682" s="38"/>
    </row>
    <row r="3683" spans="2:2" x14ac:dyDescent="0.2">
      <c r="B3683" s="38"/>
    </row>
    <row r="3684" spans="2:2" x14ac:dyDescent="0.2">
      <c r="B3684" s="38"/>
    </row>
    <row r="3685" spans="2:2" x14ac:dyDescent="0.2">
      <c r="B3685" s="38"/>
    </row>
    <row r="3686" spans="2:2" x14ac:dyDescent="0.2">
      <c r="B3686" s="38"/>
    </row>
    <row r="3687" spans="2:2" x14ac:dyDescent="0.2">
      <c r="B3687" s="38"/>
    </row>
    <row r="3688" spans="2:2" x14ac:dyDescent="0.2">
      <c r="B3688" s="38"/>
    </row>
    <row r="3689" spans="2:2" x14ac:dyDescent="0.2">
      <c r="B3689" s="38"/>
    </row>
    <row r="3690" spans="2:2" x14ac:dyDescent="0.2">
      <c r="B3690" s="38"/>
    </row>
    <row r="3691" spans="2:2" x14ac:dyDescent="0.2">
      <c r="B3691" s="38"/>
    </row>
    <row r="3692" spans="2:2" x14ac:dyDescent="0.2">
      <c r="B3692" s="38"/>
    </row>
    <row r="3693" spans="2:2" x14ac:dyDescent="0.2">
      <c r="B3693" s="38"/>
    </row>
    <row r="3694" spans="2:2" x14ac:dyDescent="0.2">
      <c r="B3694" s="38"/>
    </row>
    <row r="3695" spans="2:2" x14ac:dyDescent="0.2">
      <c r="B3695" s="38"/>
    </row>
    <row r="3696" spans="2:2" x14ac:dyDescent="0.2">
      <c r="B3696" s="38"/>
    </row>
    <row r="3697" spans="2:2" x14ac:dyDescent="0.2">
      <c r="B3697" s="38"/>
    </row>
    <row r="3698" spans="2:2" x14ac:dyDescent="0.2">
      <c r="B3698" s="38"/>
    </row>
    <row r="3699" spans="2:2" x14ac:dyDescent="0.2">
      <c r="B3699" s="38"/>
    </row>
    <row r="3700" spans="2:2" x14ac:dyDescent="0.2">
      <c r="B3700" s="38"/>
    </row>
    <row r="3701" spans="2:2" x14ac:dyDescent="0.2">
      <c r="B3701" s="38"/>
    </row>
    <row r="3702" spans="2:2" x14ac:dyDescent="0.2">
      <c r="B3702" s="38"/>
    </row>
    <row r="3703" spans="2:2" x14ac:dyDescent="0.2">
      <c r="B3703" s="38"/>
    </row>
    <row r="3704" spans="2:2" x14ac:dyDescent="0.2">
      <c r="B3704" s="38"/>
    </row>
    <row r="3705" spans="2:2" x14ac:dyDescent="0.2">
      <c r="B3705" s="38"/>
    </row>
    <row r="3706" spans="2:2" x14ac:dyDescent="0.2">
      <c r="B3706" s="38"/>
    </row>
    <row r="3707" spans="2:2" x14ac:dyDescent="0.2">
      <c r="B3707" s="38"/>
    </row>
    <row r="3708" spans="2:2" x14ac:dyDescent="0.2">
      <c r="B3708" s="38"/>
    </row>
    <row r="3709" spans="2:2" x14ac:dyDescent="0.2">
      <c r="B3709" s="38"/>
    </row>
    <row r="3710" spans="2:2" x14ac:dyDescent="0.2">
      <c r="B3710" s="38"/>
    </row>
    <row r="3711" spans="2:2" x14ac:dyDescent="0.2">
      <c r="B3711" s="38"/>
    </row>
    <row r="3712" spans="2:2" x14ac:dyDescent="0.2">
      <c r="B3712" s="38"/>
    </row>
    <row r="3713" spans="2:2" x14ac:dyDescent="0.2">
      <c r="B3713" s="38"/>
    </row>
    <row r="3714" spans="2:2" x14ac:dyDescent="0.2">
      <c r="B3714" s="38"/>
    </row>
    <row r="3715" spans="2:2" x14ac:dyDescent="0.2">
      <c r="B3715" s="38"/>
    </row>
    <row r="3716" spans="2:2" x14ac:dyDescent="0.2">
      <c r="B3716" s="38"/>
    </row>
    <row r="3717" spans="2:2" x14ac:dyDescent="0.2">
      <c r="B3717" s="38"/>
    </row>
    <row r="3718" spans="2:2" x14ac:dyDescent="0.2">
      <c r="B3718" s="38"/>
    </row>
    <row r="3719" spans="2:2" x14ac:dyDescent="0.2">
      <c r="B3719" s="38"/>
    </row>
    <row r="3720" spans="2:2" x14ac:dyDescent="0.2">
      <c r="B3720" s="38"/>
    </row>
    <row r="3721" spans="2:2" x14ac:dyDescent="0.2">
      <c r="B3721" s="38"/>
    </row>
    <row r="3722" spans="2:2" x14ac:dyDescent="0.2">
      <c r="B3722" s="38"/>
    </row>
    <row r="3723" spans="2:2" x14ac:dyDescent="0.2">
      <c r="B3723" s="38"/>
    </row>
    <row r="3724" spans="2:2" x14ac:dyDescent="0.2">
      <c r="B3724" s="38"/>
    </row>
    <row r="3725" spans="2:2" x14ac:dyDescent="0.2">
      <c r="B3725" s="38"/>
    </row>
    <row r="3726" spans="2:2" x14ac:dyDescent="0.2">
      <c r="B3726" s="38"/>
    </row>
    <row r="3727" spans="2:2" x14ac:dyDescent="0.2">
      <c r="B3727" s="38"/>
    </row>
    <row r="3728" spans="2:2" x14ac:dyDescent="0.2">
      <c r="B3728" s="38"/>
    </row>
    <row r="3729" spans="2:2" x14ac:dyDescent="0.2">
      <c r="B3729" s="38"/>
    </row>
    <row r="3730" spans="2:2" x14ac:dyDescent="0.2">
      <c r="B3730" s="38"/>
    </row>
    <row r="3731" spans="2:2" x14ac:dyDescent="0.2">
      <c r="B3731" s="38"/>
    </row>
    <row r="3732" spans="2:2" x14ac:dyDescent="0.2">
      <c r="B3732" s="38"/>
    </row>
    <row r="3733" spans="2:2" x14ac:dyDescent="0.2">
      <c r="B3733" s="38"/>
    </row>
    <row r="3734" spans="2:2" x14ac:dyDescent="0.2">
      <c r="B3734" s="38"/>
    </row>
    <row r="3735" spans="2:2" x14ac:dyDescent="0.2">
      <c r="B3735" s="38"/>
    </row>
    <row r="3736" spans="2:2" x14ac:dyDescent="0.2">
      <c r="B3736" s="38"/>
    </row>
    <row r="3737" spans="2:2" x14ac:dyDescent="0.2">
      <c r="B3737" s="38"/>
    </row>
    <row r="3738" spans="2:2" x14ac:dyDescent="0.2">
      <c r="B3738" s="38"/>
    </row>
    <row r="3739" spans="2:2" x14ac:dyDescent="0.2">
      <c r="B3739" s="38"/>
    </row>
    <row r="3740" spans="2:2" x14ac:dyDescent="0.2">
      <c r="B3740" s="38"/>
    </row>
    <row r="3741" spans="2:2" x14ac:dyDescent="0.2">
      <c r="B3741" s="38"/>
    </row>
    <row r="3742" spans="2:2" x14ac:dyDescent="0.2">
      <c r="B3742" s="38"/>
    </row>
    <row r="3743" spans="2:2" x14ac:dyDescent="0.2">
      <c r="B3743" s="38"/>
    </row>
    <row r="3744" spans="2:2" x14ac:dyDescent="0.2">
      <c r="B3744" s="38"/>
    </row>
    <row r="3745" spans="2:2" x14ac:dyDescent="0.2">
      <c r="B3745" s="38"/>
    </row>
    <row r="3746" spans="2:2" x14ac:dyDescent="0.2">
      <c r="B3746" s="38"/>
    </row>
    <row r="3747" spans="2:2" x14ac:dyDescent="0.2">
      <c r="B3747" s="38"/>
    </row>
    <row r="3748" spans="2:2" x14ac:dyDescent="0.2">
      <c r="B3748" s="38"/>
    </row>
    <row r="3749" spans="2:2" x14ac:dyDescent="0.2">
      <c r="B3749" s="38"/>
    </row>
    <row r="3750" spans="2:2" x14ac:dyDescent="0.2">
      <c r="B3750" s="38"/>
    </row>
    <row r="3751" spans="2:2" x14ac:dyDescent="0.2">
      <c r="B3751" s="38"/>
    </row>
    <row r="3752" spans="2:2" x14ac:dyDescent="0.2">
      <c r="B3752" s="38"/>
    </row>
    <row r="3753" spans="2:2" x14ac:dyDescent="0.2">
      <c r="B3753" s="38"/>
    </row>
    <row r="3754" spans="2:2" x14ac:dyDescent="0.2">
      <c r="B3754" s="38"/>
    </row>
    <row r="3755" spans="2:2" x14ac:dyDescent="0.2">
      <c r="B3755" s="38"/>
    </row>
    <row r="3756" spans="2:2" x14ac:dyDescent="0.2">
      <c r="B3756" s="38"/>
    </row>
    <row r="3757" spans="2:2" x14ac:dyDescent="0.2">
      <c r="B3757" s="38"/>
    </row>
    <row r="3758" spans="2:2" x14ac:dyDescent="0.2">
      <c r="B3758" s="38"/>
    </row>
    <row r="3759" spans="2:2" x14ac:dyDescent="0.2">
      <c r="B3759" s="38"/>
    </row>
    <row r="3760" spans="2:2" x14ac:dyDescent="0.2">
      <c r="B3760" s="38"/>
    </row>
    <row r="3761" spans="2:2" x14ac:dyDescent="0.2">
      <c r="B3761" s="38"/>
    </row>
    <row r="3762" spans="2:2" x14ac:dyDescent="0.2">
      <c r="B3762" s="38"/>
    </row>
    <row r="3763" spans="2:2" x14ac:dyDescent="0.2">
      <c r="B3763" s="38"/>
    </row>
    <row r="3764" spans="2:2" x14ac:dyDescent="0.2">
      <c r="B3764" s="38"/>
    </row>
    <row r="3765" spans="2:2" x14ac:dyDescent="0.2">
      <c r="B3765" s="38"/>
    </row>
    <row r="3766" spans="2:2" x14ac:dyDescent="0.2">
      <c r="B3766" s="38"/>
    </row>
    <row r="3767" spans="2:2" x14ac:dyDescent="0.2">
      <c r="B3767" s="38"/>
    </row>
    <row r="3768" spans="2:2" x14ac:dyDescent="0.2">
      <c r="B3768" s="38"/>
    </row>
    <row r="3769" spans="2:2" x14ac:dyDescent="0.2">
      <c r="B3769" s="38"/>
    </row>
    <row r="3770" spans="2:2" x14ac:dyDescent="0.2">
      <c r="B3770" s="38"/>
    </row>
    <row r="3771" spans="2:2" x14ac:dyDescent="0.2">
      <c r="B3771" s="38"/>
    </row>
    <row r="3772" spans="2:2" x14ac:dyDescent="0.2">
      <c r="B3772" s="38"/>
    </row>
    <row r="3773" spans="2:2" x14ac:dyDescent="0.2">
      <c r="B3773" s="38"/>
    </row>
    <row r="3774" spans="2:2" x14ac:dyDescent="0.2">
      <c r="B3774" s="38"/>
    </row>
    <row r="3775" spans="2:2" x14ac:dyDescent="0.2">
      <c r="B3775" s="38"/>
    </row>
    <row r="3776" spans="2:2" x14ac:dyDescent="0.2">
      <c r="B3776" s="38"/>
    </row>
    <row r="3777" spans="2:2" x14ac:dyDescent="0.2">
      <c r="B3777" s="38"/>
    </row>
    <row r="3778" spans="2:2" x14ac:dyDescent="0.2">
      <c r="B3778" s="38"/>
    </row>
    <row r="3779" spans="2:2" x14ac:dyDescent="0.2">
      <c r="B3779" s="38"/>
    </row>
    <row r="3780" spans="2:2" x14ac:dyDescent="0.2">
      <c r="B3780" s="38"/>
    </row>
    <row r="3781" spans="2:2" x14ac:dyDescent="0.2">
      <c r="B3781" s="38"/>
    </row>
    <row r="3782" spans="2:2" x14ac:dyDescent="0.2">
      <c r="B3782" s="38"/>
    </row>
    <row r="3783" spans="2:2" x14ac:dyDescent="0.2">
      <c r="B3783" s="38"/>
    </row>
    <row r="3784" spans="2:2" x14ac:dyDescent="0.2">
      <c r="B3784" s="38"/>
    </row>
    <row r="3785" spans="2:2" x14ac:dyDescent="0.2">
      <c r="B3785" s="38"/>
    </row>
    <row r="3786" spans="2:2" x14ac:dyDescent="0.2">
      <c r="B3786" s="38"/>
    </row>
    <row r="3787" spans="2:2" x14ac:dyDescent="0.2">
      <c r="B3787" s="38"/>
    </row>
    <row r="3788" spans="2:2" x14ac:dyDescent="0.2">
      <c r="B3788" s="38"/>
    </row>
    <row r="3789" spans="2:2" x14ac:dyDescent="0.2">
      <c r="B3789" s="38"/>
    </row>
    <row r="3790" spans="2:2" x14ac:dyDescent="0.2">
      <c r="B3790" s="38"/>
    </row>
    <row r="3791" spans="2:2" x14ac:dyDescent="0.2">
      <c r="B3791" s="38"/>
    </row>
    <row r="3792" spans="2:2" x14ac:dyDescent="0.2">
      <c r="B3792" s="38"/>
    </row>
    <row r="3793" spans="2:2" x14ac:dyDescent="0.2">
      <c r="B3793" s="38"/>
    </row>
    <row r="3794" spans="2:2" x14ac:dyDescent="0.2">
      <c r="B3794" s="38"/>
    </row>
    <row r="3795" spans="2:2" x14ac:dyDescent="0.2">
      <c r="B3795" s="38"/>
    </row>
    <row r="3796" spans="2:2" x14ac:dyDescent="0.2">
      <c r="B3796" s="38"/>
    </row>
    <row r="3797" spans="2:2" x14ac:dyDescent="0.2">
      <c r="B3797" s="38"/>
    </row>
    <row r="3798" spans="2:2" x14ac:dyDescent="0.2">
      <c r="B3798" s="38"/>
    </row>
    <row r="3799" spans="2:2" x14ac:dyDescent="0.2">
      <c r="B3799" s="38"/>
    </row>
    <row r="3800" spans="2:2" x14ac:dyDescent="0.2">
      <c r="B3800" s="38"/>
    </row>
    <row r="3801" spans="2:2" x14ac:dyDescent="0.2">
      <c r="B3801" s="38"/>
    </row>
    <row r="3802" spans="2:2" x14ac:dyDescent="0.2">
      <c r="B3802" s="38"/>
    </row>
    <row r="3803" spans="2:2" x14ac:dyDescent="0.2">
      <c r="B3803" s="38"/>
    </row>
    <row r="3804" spans="2:2" x14ac:dyDescent="0.2">
      <c r="B3804" s="38"/>
    </row>
    <row r="3805" spans="2:2" x14ac:dyDescent="0.2">
      <c r="B3805" s="38"/>
    </row>
    <row r="3806" spans="2:2" x14ac:dyDescent="0.2">
      <c r="B3806" s="38"/>
    </row>
    <row r="3807" spans="2:2" x14ac:dyDescent="0.2">
      <c r="B3807" s="38"/>
    </row>
    <row r="3808" spans="2:2" x14ac:dyDescent="0.2">
      <c r="B3808" s="38"/>
    </row>
    <row r="3809" spans="2:2" x14ac:dyDescent="0.2">
      <c r="B3809" s="38"/>
    </row>
    <row r="3810" spans="2:2" x14ac:dyDescent="0.2">
      <c r="B3810" s="38"/>
    </row>
    <row r="3811" spans="2:2" x14ac:dyDescent="0.2">
      <c r="B3811" s="38"/>
    </row>
    <row r="3812" spans="2:2" x14ac:dyDescent="0.2">
      <c r="B3812" s="38"/>
    </row>
    <row r="3813" spans="2:2" x14ac:dyDescent="0.2">
      <c r="B3813" s="38"/>
    </row>
    <row r="3814" spans="2:2" x14ac:dyDescent="0.2">
      <c r="B3814" s="38"/>
    </row>
    <row r="3815" spans="2:2" x14ac:dyDescent="0.2">
      <c r="B3815" s="38"/>
    </row>
    <row r="3816" spans="2:2" x14ac:dyDescent="0.2">
      <c r="B3816" s="38"/>
    </row>
    <row r="3817" spans="2:2" x14ac:dyDescent="0.2">
      <c r="B3817" s="38"/>
    </row>
    <row r="3818" spans="2:2" x14ac:dyDescent="0.2">
      <c r="B3818" s="38"/>
    </row>
    <row r="3819" spans="2:2" x14ac:dyDescent="0.2">
      <c r="B3819" s="38"/>
    </row>
    <row r="3820" spans="2:2" x14ac:dyDescent="0.2">
      <c r="B3820" s="38"/>
    </row>
    <row r="3821" spans="2:2" x14ac:dyDescent="0.2">
      <c r="B3821" s="38"/>
    </row>
    <row r="3822" spans="2:2" x14ac:dyDescent="0.2">
      <c r="B3822" s="38"/>
    </row>
    <row r="3823" spans="2:2" x14ac:dyDescent="0.2">
      <c r="B3823" s="38"/>
    </row>
    <row r="3824" spans="2:2" x14ac:dyDescent="0.2">
      <c r="B3824" s="38"/>
    </row>
    <row r="3825" spans="2:2" x14ac:dyDescent="0.2">
      <c r="B3825" s="38"/>
    </row>
    <row r="3826" spans="2:2" x14ac:dyDescent="0.2">
      <c r="B3826" s="38"/>
    </row>
    <row r="3827" spans="2:2" x14ac:dyDescent="0.2">
      <c r="B3827" s="38"/>
    </row>
    <row r="3828" spans="2:2" x14ac:dyDescent="0.2">
      <c r="B3828" s="38"/>
    </row>
    <row r="3829" spans="2:2" x14ac:dyDescent="0.2">
      <c r="B3829" s="38"/>
    </row>
    <row r="3830" spans="2:2" x14ac:dyDescent="0.2">
      <c r="B3830" s="38"/>
    </row>
    <row r="3831" spans="2:2" x14ac:dyDescent="0.2">
      <c r="B3831" s="38"/>
    </row>
    <row r="3832" spans="2:2" x14ac:dyDescent="0.2">
      <c r="B3832" s="38"/>
    </row>
    <row r="3833" spans="2:2" x14ac:dyDescent="0.2">
      <c r="B3833" s="38"/>
    </row>
    <row r="3834" spans="2:2" x14ac:dyDescent="0.2">
      <c r="B3834" s="38"/>
    </row>
    <row r="3835" spans="2:2" x14ac:dyDescent="0.2">
      <c r="B3835" s="38"/>
    </row>
    <row r="3836" spans="2:2" x14ac:dyDescent="0.2">
      <c r="B3836" s="38"/>
    </row>
    <row r="3837" spans="2:2" x14ac:dyDescent="0.2">
      <c r="B3837" s="38"/>
    </row>
    <row r="3838" spans="2:2" x14ac:dyDescent="0.2">
      <c r="B3838" s="38"/>
    </row>
    <row r="3839" spans="2:2" x14ac:dyDescent="0.2">
      <c r="B3839" s="38"/>
    </row>
    <row r="3840" spans="2:2" x14ac:dyDescent="0.2">
      <c r="B3840" s="38"/>
    </row>
    <row r="3841" spans="2:2" x14ac:dyDescent="0.2">
      <c r="B3841" s="38"/>
    </row>
    <row r="3842" spans="2:2" x14ac:dyDescent="0.2">
      <c r="B3842" s="38"/>
    </row>
    <row r="3843" spans="2:2" x14ac:dyDescent="0.2">
      <c r="B3843" s="38"/>
    </row>
    <row r="3844" spans="2:2" x14ac:dyDescent="0.2">
      <c r="B3844" s="38"/>
    </row>
    <row r="3845" spans="2:2" x14ac:dyDescent="0.2">
      <c r="B3845" s="38"/>
    </row>
    <row r="3846" spans="2:2" x14ac:dyDescent="0.2">
      <c r="B3846" s="38"/>
    </row>
    <row r="3847" spans="2:2" x14ac:dyDescent="0.2">
      <c r="B3847" s="38"/>
    </row>
    <row r="3848" spans="2:2" x14ac:dyDescent="0.2">
      <c r="B3848" s="38"/>
    </row>
    <row r="3849" spans="2:2" x14ac:dyDescent="0.2">
      <c r="B3849" s="38"/>
    </row>
    <row r="3850" spans="2:2" x14ac:dyDescent="0.2">
      <c r="B3850" s="38"/>
    </row>
    <row r="3851" spans="2:2" x14ac:dyDescent="0.2">
      <c r="B3851" s="38"/>
    </row>
    <row r="3852" spans="2:2" x14ac:dyDescent="0.2">
      <c r="B3852" s="38"/>
    </row>
    <row r="3853" spans="2:2" x14ac:dyDescent="0.2">
      <c r="B3853" s="38"/>
    </row>
    <row r="3854" spans="2:2" x14ac:dyDescent="0.2">
      <c r="B3854" s="38"/>
    </row>
    <row r="3855" spans="2:2" x14ac:dyDescent="0.2">
      <c r="B3855" s="38"/>
    </row>
    <row r="3856" spans="2:2" x14ac:dyDescent="0.2">
      <c r="B3856" s="38"/>
    </row>
    <row r="3857" spans="2:2" x14ac:dyDescent="0.2">
      <c r="B3857" s="38"/>
    </row>
    <row r="3858" spans="2:2" x14ac:dyDescent="0.2">
      <c r="B3858" s="38"/>
    </row>
    <row r="3859" spans="2:2" x14ac:dyDescent="0.2">
      <c r="B3859" s="38"/>
    </row>
    <row r="3860" spans="2:2" x14ac:dyDescent="0.2">
      <c r="B3860" s="38"/>
    </row>
    <row r="3861" spans="2:2" x14ac:dyDescent="0.2">
      <c r="B3861" s="38"/>
    </row>
    <row r="3862" spans="2:2" x14ac:dyDescent="0.2">
      <c r="B3862" s="38"/>
    </row>
    <row r="3863" spans="2:2" x14ac:dyDescent="0.2">
      <c r="B3863" s="38"/>
    </row>
    <row r="3864" spans="2:2" x14ac:dyDescent="0.2">
      <c r="B3864" s="38"/>
    </row>
    <row r="3865" spans="2:2" x14ac:dyDescent="0.2">
      <c r="B3865" s="38"/>
    </row>
    <row r="3866" spans="2:2" x14ac:dyDescent="0.2">
      <c r="B3866" s="38"/>
    </row>
    <row r="3867" spans="2:2" x14ac:dyDescent="0.2">
      <c r="B3867" s="38"/>
    </row>
    <row r="3868" spans="2:2" x14ac:dyDescent="0.2">
      <c r="B3868" s="38"/>
    </row>
    <row r="3869" spans="2:2" x14ac:dyDescent="0.2">
      <c r="B3869" s="38"/>
    </row>
    <row r="3870" spans="2:2" x14ac:dyDescent="0.2">
      <c r="B3870" s="38"/>
    </row>
    <row r="3871" spans="2:2" x14ac:dyDescent="0.2">
      <c r="B3871" s="38"/>
    </row>
    <row r="3872" spans="2:2" x14ac:dyDescent="0.2">
      <c r="B3872" s="38"/>
    </row>
    <row r="3873" spans="2:2" x14ac:dyDescent="0.2">
      <c r="B3873" s="38"/>
    </row>
    <row r="3874" spans="2:2" x14ac:dyDescent="0.2">
      <c r="B3874" s="38"/>
    </row>
    <row r="3875" spans="2:2" x14ac:dyDescent="0.2">
      <c r="B3875" s="38"/>
    </row>
    <row r="3876" spans="2:2" x14ac:dyDescent="0.2">
      <c r="B3876" s="38"/>
    </row>
    <row r="3877" spans="2:2" x14ac:dyDescent="0.2">
      <c r="B3877" s="38"/>
    </row>
    <row r="3878" spans="2:2" x14ac:dyDescent="0.2">
      <c r="B3878" s="38"/>
    </row>
    <row r="3879" spans="2:2" x14ac:dyDescent="0.2">
      <c r="B3879" s="38"/>
    </row>
    <row r="3880" spans="2:2" x14ac:dyDescent="0.2">
      <c r="B3880" s="38"/>
    </row>
    <row r="3881" spans="2:2" x14ac:dyDescent="0.2">
      <c r="B3881" s="38"/>
    </row>
    <row r="3882" spans="2:2" x14ac:dyDescent="0.2">
      <c r="B3882" s="38"/>
    </row>
    <row r="3883" spans="2:2" x14ac:dyDescent="0.2">
      <c r="B3883" s="38"/>
    </row>
    <row r="3884" spans="2:2" x14ac:dyDescent="0.2">
      <c r="B3884" s="38"/>
    </row>
    <row r="3885" spans="2:2" x14ac:dyDescent="0.2">
      <c r="B3885" s="38"/>
    </row>
    <row r="3886" spans="2:2" x14ac:dyDescent="0.2">
      <c r="B3886" s="38"/>
    </row>
    <row r="3887" spans="2:2" x14ac:dyDescent="0.2">
      <c r="B3887" s="38"/>
    </row>
    <row r="3888" spans="2:2" x14ac:dyDescent="0.2">
      <c r="B3888" s="38"/>
    </row>
    <row r="3889" spans="2:2" x14ac:dyDescent="0.2">
      <c r="B3889" s="38"/>
    </row>
    <row r="3890" spans="2:2" x14ac:dyDescent="0.2">
      <c r="B3890" s="38"/>
    </row>
    <row r="3891" spans="2:2" x14ac:dyDescent="0.2">
      <c r="B3891" s="38"/>
    </row>
    <row r="3892" spans="2:2" x14ac:dyDescent="0.2">
      <c r="B3892" s="38"/>
    </row>
    <row r="3893" spans="2:2" x14ac:dyDescent="0.2">
      <c r="B3893" s="38"/>
    </row>
    <row r="3894" spans="2:2" x14ac:dyDescent="0.2">
      <c r="B3894" s="38"/>
    </row>
    <row r="3895" spans="2:2" x14ac:dyDescent="0.2">
      <c r="B3895" s="38"/>
    </row>
    <row r="3896" spans="2:2" x14ac:dyDescent="0.2">
      <c r="B3896" s="38"/>
    </row>
    <row r="3897" spans="2:2" x14ac:dyDescent="0.2">
      <c r="B3897" s="38"/>
    </row>
    <row r="3898" spans="2:2" x14ac:dyDescent="0.2">
      <c r="B3898" s="38"/>
    </row>
    <row r="3899" spans="2:2" x14ac:dyDescent="0.2">
      <c r="B3899" s="38"/>
    </row>
    <row r="3900" spans="2:2" x14ac:dyDescent="0.2">
      <c r="B3900" s="38"/>
    </row>
    <row r="3901" spans="2:2" x14ac:dyDescent="0.2">
      <c r="B3901" s="38"/>
    </row>
    <row r="3902" spans="2:2" x14ac:dyDescent="0.2">
      <c r="B3902" s="38"/>
    </row>
    <row r="3903" spans="2:2" x14ac:dyDescent="0.2">
      <c r="B3903" s="38"/>
    </row>
    <row r="3904" spans="2:2" x14ac:dyDescent="0.2">
      <c r="B3904" s="38"/>
    </row>
    <row r="3905" spans="2:2" x14ac:dyDescent="0.2">
      <c r="B3905" s="38"/>
    </row>
    <row r="3906" spans="2:2" x14ac:dyDescent="0.2">
      <c r="B3906" s="38"/>
    </row>
    <row r="3907" spans="2:2" x14ac:dyDescent="0.2">
      <c r="B3907" s="38"/>
    </row>
    <row r="3908" spans="2:2" x14ac:dyDescent="0.2">
      <c r="B3908" s="38"/>
    </row>
    <row r="3909" spans="2:2" x14ac:dyDescent="0.2">
      <c r="B3909" s="38"/>
    </row>
    <row r="3910" spans="2:2" x14ac:dyDescent="0.2">
      <c r="B3910" s="38"/>
    </row>
    <row r="3911" spans="2:2" x14ac:dyDescent="0.2">
      <c r="B3911" s="38"/>
    </row>
    <row r="3912" spans="2:2" x14ac:dyDescent="0.2">
      <c r="B3912" s="38"/>
    </row>
    <row r="3913" spans="2:2" x14ac:dyDescent="0.2">
      <c r="B3913" s="38"/>
    </row>
    <row r="3914" spans="2:2" x14ac:dyDescent="0.2">
      <c r="B3914" s="38"/>
    </row>
    <row r="3915" spans="2:2" x14ac:dyDescent="0.2">
      <c r="B3915" s="38"/>
    </row>
    <row r="3916" spans="2:2" x14ac:dyDescent="0.2">
      <c r="B3916" s="38"/>
    </row>
    <row r="3917" spans="2:2" x14ac:dyDescent="0.2">
      <c r="B3917" s="38"/>
    </row>
    <row r="3918" spans="2:2" x14ac:dyDescent="0.2">
      <c r="B3918" s="38"/>
    </row>
    <row r="3919" spans="2:2" x14ac:dyDescent="0.2">
      <c r="B3919" s="38"/>
    </row>
    <row r="3920" spans="2:2" x14ac:dyDescent="0.2">
      <c r="B3920" s="38"/>
    </row>
    <row r="3921" spans="2:2" x14ac:dyDescent="0.2">
      <c r="B3921" s="38"/>
    </row>
    <row r="3922" spans="2:2" x14ac:dyDescent="0.2">
      <c r="B3922" s="38"/>
    </row>
    <row r="3923" spans="2:2" x14ac:dyDescent="0.2">
      <c r="B3923" s="38"/>
    </row>
    <row r="3924" spans="2:2" x14ac:dyDescent="0.2">
      <c r="B3924" s="38"/>
    </row>
    <row r="3925" spans="2:2" x14ac:dyDescent="0.2">
      <c r="B3925" s="38"/>
    </row>
    <row r="3926" spans="2:2" x14ac:dyDescent="0.2">
      <c r="B3926" s="38"/>
    </row>
    <row r="3927" spans="2:2" x14ac:dyDescent="0.2">
      <c r="B3927" s="38"/>
    </row>
    <row r="3928" spans="2:2" x14ac:dyDescent="0.2">
      <c r="B3928" s="38"/>
    </row>
    <row r="3929" spans="2:2" x14ac:dyDescent="0.2">
      <c r="B3929" s="38"/>
    </row>
    <row r="3930" spans="2:2" x14ac:dyDescent="0.2">
      <c r="B3930" s="38"/>
    </row>
    <row r="3931" spans="2:2" x14ac:dyDescent="0.2">
      <c r="B3931" s="38"/>
    </row>
    <row r="3932" spans="2:2" x14ac:dyDescent="0.2">
      <c r="B3932" s="38"/>
    </row>
    <row r="3933" spans="2:2" x14ac:dyDescent="0.2">
      <c r="B3933" s="38"/>
    </row>
    <row r="3934" spans="2:2" x14ac:dyDescent="0.2">
      <c r="B3934" s="38"/>
    </row>
    <row r="3935" spans="2:2" x14ac:dyDescent="0.2">
      <c r="B3935" s="38"/>
    </row>
    <row r="3936" spans="2:2" x14ac:dyDescent="0.2">
      <c r="B3936" s="38"/>
    </row>
    <row r="3937" spans="2:2" x14ac:dyDescent="0.2">
      <c r="B3937" s="38"/>
    </row>
    <row r="3938" spans="2:2" x14ac:dyDescent="0.2">
      <c r="B3938" s="38"/>
    </row>
    <row r="3939" spans="2:2" x14ac:dyDescent="0.2">
      <c r="B3939" s="38"/>
    </row>
    <row r="3940" spans="2:2" x14ac:dyDescent="0.2">
      <c r="B3940" s="38"/>
    </row>
    <row r="3941" spans="2:2" x14ac:dyDescent="0.2">
      <c r="B3941" s="38"/>
    </row>
    <row r="3942" spans="2:2" x14ac:dyDescent="0.2">
      <c r="B3942" s="38"/>
    </row>
    <row r="3943" spans="2:2" x14ac:dyDescent="0.2">
      <c r="B3943" s="38"/>
    </row>
    <row r="3944" spans="2:2" x14ac:dyDescent="0.2">
      <c r="B3944" s="38"/>
    </row>
    <row r="3945" spans="2:2" x14ac:dyDescent="0.2">
      <c r="B3945" s="38"/>
    </row>
    <row r="3946" spans="2:2" x14ac:dyDescent="0.2">
      <c r="B3946" s="38"/>
    </row>
    <row r="3947" spans="2:2" x14ac:dyDescent="0.2">
      <c r="B3947" s="38"/>
    </row>
    <row r="3948" spans="2:2" x14ac:dyDescent="0.2">
      <c r="B3948" s="38"/>
    </row>
    <row r="3949" spans="2:2" x14ac:dyDescent="0.2">
      <c r="B3949" s="38"/>
    </row>
    <row r="3950" spans="2:2" x14ac:dyDescent="0.2">
      <c r="B3950" s="38"/>
    </row>
    <row r="3951" spans="2:2" x14ac:dyDescent="0.2">
      <c r="B3951" s="38"/>
    </row>
    <row r="3952" spans="2:2" x14ac:dyDescent="0.2">
      <c r="B3952" s="38"/>
    </row>
    <row r="3953" spans="2:2" x14ac:dyDescent="0.2">
      <c r="B3953" s="38"/>
    </row>
    <row r="3954" spans="2:2" x14ac:dyDescent="0.2">
      <c r="B3954" s="38"/>
    </row>
    <row r="3955" spans="2:2" x14ac:dyDescent="0.2">
      <c r="B3955" s="38"/>
    </row>
    <row r="3956" spans="2:2" x14ac:dyDescent="0.2">
      <c r="B3956" s="38"/>
    </row>
    <row r="3957" spans="2:2" x14ac:dyDescent="0.2">
      <c r="B3957" s="38"/>
    </row>
    <row r="3958" spans="2:2" x14ac:dyDescent="0.2">
      <c r="B3958" s="38"/>
    </row>
    <row r="3959" spans="2:2" x14ac:dyDescent="0.2">
      <c r="B3959" s="38"/>
    </row>
    <row r="3960" spans="2:2" x14ac:dyDescent="0.2">
      <c r="B3960" s="38"/>
    </row>
    <row r="3961" spans="2:2" x14ac:dyDescent="0.2">
      <c r="B3961" s="38"/>
    </row>
    <row r="3962" spans="2:2" x14ac:dyDescent="0.2">
      <c r="B3962" s="38"/>
    </row>
    <row r="3963" spans="2:2" x14ac:dyDescent="0.2">
      <c r="B3963" s="38"/>
    </row>
    <row r="3964" spans="2:2" x14ac:dyDescent="0.2">
      <c r="B3964" s="38"/>
    </row>
    <row r="3965" spans="2:2" x14ac:dyDescent="0.2">
      <c r="B3965" s="38"/>
    </row>
    <row r="3966" spans="2:2" x14ac:dyDescent="0.2">
      <c r="B3966" s="38"/>
    </row>
    <row r="3967" spans="2:2" x14ac:dyDescent="0.2">
      <c r="B3967" s="38"/>
    </row>
    <row r="3968" spans="2:2" x14ac:dyDescent="0.2">
      <c r="B3968" s="38"/>
    </row>
    <row r="3969" spans="2:2" x14ac:dyDescent="0.2">
      <c r="B3969" s="38"/>
    </row>
    <row r="3970" spans="2:2" x14ac:dyDescent="0.2">
      <c r="B3970" s="38"/>
    </row>
    <row r="3971" spans="2:2" x14ac:dyDescent="0.2">
      <c r="B3971" s="38"/>
    </row>
    <row r="3972" spans="2:2" x14ac:dyDescent="0.2">
      <c r="B3972" s="38"/>
    </row>
    <row r="3973" spans="2:2" x14ac:dyDescent="0.2">
      <c r="B3973" s="38"/>
    </row>
    <row r="3974" spans="2:2" x14ac:dyDescent="0.2">
      <c r="B3974" s="38"/>
    </row>
    <row r="3975" spans="2:2" x14ac:dyDescent="0.2">
      <c r="B3975" s="38"/>
    </row>
    <row r="3976" spans="2:2" x14ac:dyDescent="0.2">
      <c r="B3976" s="38"/>
    </row>
    <row r="3977" spans="2:2" x14ac:dyDescent="0.2">
      <c r="B3977" s="38"/>
    </row>
    <row r="3978" spans="2:2" x14ac:dyDescent="0.2">
      <c r="B3978" s="38"/>
    </row>
    <row r="3979" spans="2:2" x14ac:dyDescent="0.2">
      <c r="B3979" s="38"/>
    </row>
    <row r="3980" spans="2:2" x14ac:dyDescent="0.2">
      <c r="B3980" s="38"/>
    </row>
    <row r="3981" spans="2:2" x14ac:dyDescent="0.2">
      <c r="B3981" s="38"/>
    </row>
    <row r="3982" spans="2:2" x14ac:dyDescent="0.2">
      <c r="B3982" s="38"/>
    </row>
    <row r="3983" spans="2:2" x14ac:dyDescent="0.2">
      <c r="B3983" s="38"/>
    </row>
    <row r="3984" spans="2:2" x14ac:dyDescent="0.2">
      <c r="B3984" s="38"/>
    </row>
    <row r="3985" spans="2:2" x14ac:dyDescent="0.2">
      <c r="B3985" s="38"/>
    </row>
    <row r="3986" spans="2:2" x14ac:dyDescent="0.2">
      <c r="B3986" s="38"/>
    </row>
    <row r="3987" spans="2:2" x14ac:dyDescent="0.2">
      <c r="B3987" s="38"/>
    </row>
    <row r="3988" spans="2:2" x14ac:dyDescent="0.2">
      <c r="B3988" s="38"/>
    </row>
    <row r="3989" spans="2:2" x14ac:dyDescent="0.2">
      <c r="B3989" s="38"/>
    </row>
    <row r="3990" spans="2:2" x14ac:dyDescent="0.2">
      <c r="B3990" s="38"/>
    </row>
    <row r="3991" spans="2:2" x14ac:dyDescent="0.2">
      <c r="B3991" s="38"/>
    </row>
    <row r="3992" spans="2:2" x14ac:dyDescent="0.2">
      <c r="B3992" s="38"/>
    </row>
    <row r="3993" spans="2:2" x14ac:dyDescent="0.2">
      <c r="B3993" s="38"/>
    </row>
    <row r="3994" spans="2:2" x14ac:dyDescent="0.2">
      <c r="B3994" s="38"/>
    </row>
    <row r="3995" spans="2:2" x14ac:dyDescent="0.2">
      <c r="B3995" s="38"/>
    </row>
    <row r="3996" spans="2:2" x14ac:dyDescent="0.2">
      <c r="B3996" s="38"/>
    </row>
    <row r="3997" spans="2:2" x14ac:dyDescent="0.2">
      <c r="B3997" s="38"/>
    </row>
    <row r="3998" spans="2:2" x14ac:dyDescent="0.2">
      <c r="B3998" s="38"/>
    </row>
    <row r="3999" spans="2:2" x14ac:dyDescent="0.2">
      <c r="B3999" s="38"/>
    </row>
    <row r="4000" spans="2:2" x14ac:dyDescent="0.2">
      <c r="B4000" s="38"/>
    </row>
    <row r="4001" spans="2:2" x14ac:dyDescent="0.2">
      <c r="B4001" s="38"/>
    </row>
    <row r="4002" spans="2:2" x14ac:dyDescent="0.2">
      <c r="B4002" s="38"/>
    </row>
    <row r="4003" spans="2:2" x14ac:dyDescent="0.2">
      <c r="B4003" s="38"/>
    </row>
    <row r="4004" spans="2:2" x14ac:dyDescent="0.2">
      <c r="B4004" s="38"/>
    </row>
    <row r="4005" spans="2:2" x14ac:dyDescent="0.2">
      <c r="B4005" s="38"/>
    </row>
    <row r="4006" spans="2:2" x14ac:dyDescent="0.2">
      <c r="B4006" s="38"/>
    </row>
    <row r="4007" spans="2:2" x14ac:dyDescent="0.2">
      <c r="B4007" s="38"/>
    </row>
    <row r="4008" spans="2:2" x14ac:dyDescent="0.2">
      <c r="B4008" s="38"/>
    </row>
    <row r="4009" spans="2:2" x14ac:dyDescent="0.2">
      <c r="B4009" s="38"/>
    </row>
    <row r="4010" spans="2:2" x14ac:dyDescent="0.2">
      <c r="B4010" s="38"/>
    </row>
    <row r="4011" spans="2:2" x14ac:dyDescent="0.2">
      <c r="B4011" s="38"/>
    </row>
    <row r="4012" spans="2:2" x14ac:dyDescent="0.2">
      <c r="B4012" s="38"/>
    </row>
    <row r="4013" spans="2:2" x14ac:dyDescent="0.2">
      <c r="B4013" s="38"/>
    </row>
    <row r="4014" spans="2:2" x14ac:dyDescent="0.2">
      <c r="B4014" s="38"/>
    </row>
    <row r="4015" spans="2:2" x14ac:dyDescent="0.2">
      <c r="B4015" s="38"/>
    </row>
    <row r="4016" spans="2:2" x14ac:dyDescent="0.2">
      <c r="B4016" s="38"/>
    </row>
    <row r="4017" spans="2:2" x14ac:dyDescent="0.2">
      <c r="B4017" s="38"/>
    </row>
    <row r="4018" spans="2:2" x14ac:dyDescent="0.2">
      <c r="B4018" s="38"/>
    </row>
    <row r="4019" spans="2:2" x14ac:dyDescent="0.2">
      <c r="B4019" s="38"/>
    </row>
    <row r="4020" spans="2:2" x14ac:dyDescent="0.2">
      <c r="B4020" s="38"/>
    </row>
    <row r="4021" spans="2:2" x14ac:dyDescent="0.2">
      <c r="B4021" s="38"/>
    </row>
    <row r="4022" spans="2:2" x14ac:dyDescent="0.2">
      <c r="B4022" s="38"/>
    </row>
    <row r="4023" spans="2:2" x14ac:dyDescent="0.2">
      <c r="B4023" s="38"/>
    </row>
    <row r="4024" spans="2:2" x14ac:dyDescent="0.2">
      <c r="B4024" s="38"/>
    </row>
    <row r="4025" spans="2:2" x14ac:dyDescent="0.2">
      <c r="B4025" s="38"/>
    </row>
    <row r="4026" spans="2:2" x14ac:dyDescent="0.2">
      <c r="B4026" s="38"/>
    </row>
    <row r="4027" spans="2:2" x14ac:dyDescent="0.2">
      <c r="B4027" s="38"/>
    </row>
    <row r="4028" spans="2:2" x14ac:dyDescent="0.2">
      <c r="B4028" s="38"/>
    </row>
    <row r="4029" spans="2:2" x14ac:dyDescent="0.2">
      <c r="B4029" s="38"/>
    </row>
    <row r="4030" spans="2:2" x14ac:dyDescent="0.2">
      <c r="B4030" s="38"/>
    </row>
    <row r="4031" spans="2:2" x14ac:dyDescent="0.2">
      <c r="B4031" s="38"/>
    </row>
    <row r="4032" spans="2:2" x14ac:dyDescent="0.2">
      <c r="B4032" s="38"/>
    </row>
    <row r="4033" spans="2:2" x14ac:dyDescent="0.2">
      <c r="B4033" s="38"/>
    </row>
    <row r="4034" spans="2:2" x14ac:dyDescent="0.2">
      <c r="B4034" s="38"/>
    </row>
    <row r="4035" spans="2:2" x14ac:dyDescent="0.2">
      <c r="B4035" s="38"/>
    </row>
    <row r="4036" spans="2:2" x14ac:dyDescent="0.2">
      <c r="B4036" s="38"/>
    </row>
    <row r="4037" spans="2:2" x14ac:dyDescent="0.2">
      <c r="B4037" s="38"/>
    </row>
    <row r="4038" spans="2:2" x14ac:dyDescent="0.2">
      <c r="B4038" s="38"/>
    </row>
    <row r="4039" spans="2:2" x14ac:dyDescent="0.2">
      <c r="B4039" s="38"/>
    </row>
    <row r="4040" spans="2:2" x14ac:dyDescent="0.2">
      <c r="B4040" s="38"/>
    </row>
    <row r="4041" spans="2:2" x14ac:dyDescent="0.2">
      <c r="B4041" s="38"/>
    </row>
    <row r="4042" spans="2:2" x14ac:dyDescent="0.2">
      <c r="B4042" s="38"/>
    </row>
    <row r="4043" spans="2:2" x14ac:dyDescent="0.2">
      <c r="B4043" s="38"/>
    </row>
    <row r="4044" spans="2:2" x14ac:dyDescent="0.2">
      <c r="B4044" s="38"/>
    </row>
    <row r="4045" spans="2:2" x14ac:dyDescent="0.2">
      <c r="B4045" s="38"/>
    </row>
    <row r="4046" spans="2:2" x14ac:dyDescent="0.2">
      <c r="B4046" s="38"/>
    </row>
    <row r="4047" spans="2:2" x14ac:dyDescent="0.2">
      <c r="B4047" s="38"/>
    </row>
    <row r="4048" spans="2:2" x14ac:dyDescent="0.2">
      <c r="B4048" s="38"/>
    </row>
    <row r="4049" spans="2:2" x14ac:dyDescent="0.2">
      <c r="B4049" s="38"/>
    </row>
    <row r="4050" spans="2:2" x14ac:dyDescent="0.2">
      <c r="B4050" s="38"/>
    </row>
    <row r="4051" spans="2:2" x14ac:dyDescent="0.2">
      <c r="B4051" s="38"/>
    </row>
    <row r="4052" spans="2:2" x14ac:dyDescent="0.2">
      <c r="B4052" s="38"/>
    </row>
    <row r="4053" spans="2:2" x14ac:dyDescent="0.2">
      <c r="B4053" s="38"/>
    </row>
    <row r="4054" spans="2:2" x14ac:dyDescent="0.2">
      <c r="B4054" s="38"/>
    </row>
    <row r="4055" spans="2:2" x14ac:dyDescent="0.2">
      <c r="B4055" s="38"/>
    </row>
    <row r="4056" spans="2:2" x14ac:dyDescent="0.2">
      <c r="B4056" s="38"/>
    </row>
    <row r="4057" spans="2:2" x14ac:dyDescent="0.2">
      <c r="B4057" s="38"/>
    </row>
    <row r="4058" spans="2:2" x14ac:dyDescent="0.2">
      <c r="B4058" s="38"/>
    </row>
    <row r="4059" spans="2:2" x14ac:dyDescent="0.2">
      <c r="B4059" s="38"/>
    </row>
    <row r="4060" spans="2:2" x14ac:dyDescent="0.2">
      <c r="B4060" s="38"/>
    </row>
    <row r="4061" spans="2:2" x14ac:dyDescent="0.2">
      <c r="B4061" s="38"/>
    </row>
    <row r="4062" spans="2:2" x14ac:dyDescent="0.2">
      <c r="B4062" s="38"/>
    </row>
    <row r="4063" spans="2:2" x14ac:dyDescent="0.2">
      <c r="B4063" s="38"/>
    </row>
    <row r="4064" spans="2:2" x14ac:dyDescent="0.2">
      <c r="B4064" s="38"/>
    </row>
    <row r="4065" spans="2:2" x14ac:dyDescent="0.2">
      <c r="B4065" s="38"/>
    </row>
    <row r="4066" spans="2:2" x14ac:dyDescent="0.2">
      <c r="B4066" s="38"/>
    </row>
    <row r="4067" spans="2:2" x14ac:dyDescent="0.2">
      <c r="B4067" s="38"/>
    </row>
    <row r="4068" spans="2:2" x14ac:dyDescent="0.2">
      <c r="B4068" s="38"/>
    </row>
    <row r="4069" spans="2:2" x14ac:dyDescent="0.2">
      <c r="B4069" s="38"/>
    </row>
    <row r="4070" spans="2:2" x14ac:dyDescent="0.2">
      <c r="B4070" s="38"/>
    </row>
    <row r="4071" spans="2:2" x14ac:dyDescent="0.2">
      <c r="B4071" s="38"/>
    </row>
    <row r="4072" spans="2:2" x14ac:dyDescent="0.2">
      <c r="B4072" s="38"/>
    </row>
    <row r="4073" spans="2:2" x14ac:dyDescent="0.2">
      <c r="B4073" s="38"/>
    </row>
    <row r="4074" spans="2:2" x14ac:dyDescent="0.2">
      <c r="B4074" s="38"/>
    </row>
    <row r="4075" spans="2:2" x14ac:dyDescent="0.2">
      <c r="B4075" s="38"/>
    </row>
    <row r="4076" spans="2:2" x14ac:dyDescent="0.2">
      <c r="B4076" s="38"/>
    </row>
    <row r="4077" spans="2:2" x14ac:dyDescent="0.2">
      <c r="B4077" s="38"/>
    </row>
    <row r="4078" spans="2:2" x14ac:dyDescent="0.2">
      <c r="B4078" s="38"/>
    </row>
    <row r="4079" spans="2:2" x14ac:dyDescent="0.2">
      <c r="B4079" s="38"/>
    </row>
    <row r="4080" spans="2:2" x14ac:dyDescent="0.2">
      <c r="B4080" s="38"/>
    </row>
    <row r="4081" spans="2:2" x14ac:dyDescent="0.2">
      <c r="B4081" s="38"/>
    </row>
    <row r="4082" spans="2:2" x14ac:dyDescent="0.2">
      <c r="B4082" s="38"/>
    </row>
    <row r="4083" spans="2:2" x14ac:dyDescent="0.2">
      <c r="B4083" s="38"/>
    </row>
    <row r="4084" spans="2:2" x14ac:dyDescent="0.2">
      <c r="B4084" s="38"/>
    </row>
    <row r="4085" spans="2:2" x14ac:dyDescent="0.2">
      <c r="B4085" s="38"/>
    </row>
    <row r="4086" spans="2:2" x14ac:dyDescent="0.2">
      <c r="B4086" s="38"/>
    </row>
    <row r="4087" spans="2:2" x14ac:dyDescent="0.2">
      <c r="B4087" s="38"/>
    </row>
    <row r="4088" spans="2:2" x14ac:dyDescent="0.2">
      <c r="B4088" s="38"/>
    </row>
    <row r="4089" spans="2:2" x14ac:dyDescent="0.2">
      <c r="B4089" s="38"/>
    </row>
    <row r="4090" spans="2:2" x14ac:dyDescent="0.2">
      <c r="B4090" s="38"/>
    </row>
    <row r="4091" spans="2:2" x14ac:dyDescent="0.2">
      <c r="B4091" s="38"/>
    </row>
    <row r="4092" spans="2:2" x14ac:dyDescent="0.2">
      <c r="B4092" s="38"/>
    </row>
    <row r="4093" spans="2:2" x14ac:dyDescent="0.2">
      <c r="B4093" s="38"/>
    </row>
    <row r="4094" spans="2:2" x14ac:dyDescent="0.2">
      <c r="B4094" s="38"/>
    </row>
    <row r="4095" spans="2:2" x14ac:dyDescent="0.2">
      <c r="B4095" s="38"/>
    </row>
    <row r="4096" spans="2:2" x14ac:dyDescent="0.2">
      <c r="B4096" s="38"/>
    </row>
    <row r="4097" spans="2:2" x14ac:dyDescent="0.2">
      <c r="B4097" s="38"/>
    </row>
    <row r="4098" spans="2:2" x14ac:dyDescent="0.2">
      <c r="B4098" s="38"/>
    </row>
    <row r="4099" spans="2:2" x14ac:dyDescent="0.2">
      <c r="B4099" s="38"/>
    </row>
    <row r="4100" spans="2:2" x14ac:dyDescent="0.2">
      <c r="B4100" s="38"/>
    </row>
    <row r="4101" spans="2:2" x14ac:dyDescent="0.2">
      <c r="B4101" s="38"/>
    </row>
    <row r="4102" spans="2:2" x14ac:dyDescent="0.2">
      <c r="B4102" s="38"/>
    </row>
    <row r="4103" spans="2:2" x14ac:dyDescent="0.2">
      <c r="B4103" s="38"/>
    </row>
    <row r="4104" spans="2:2" x14ac:dyDescent="0.2">
      <c r="B4104" s="38"/>
    </row>
    <row r="4105" spans="2:2" x14ac:dyDescent="0.2">
      <c r="B4105" s="38"/>
    </row>
    <row r="4106" spans="2:2" x14ac:dyDescent="0.2">
      <c r="B4106" s="38"/>
    </row>
    <row r="4107" spans="2:2" x14ac:dyDescent="0.2">
      <c r="B4107" s="38"/>
    </row>
    <row r="4108" spans="2:2" x14ac:dyDescent="0.2">
      <c r="B4108" s="38"/>
    </row>
    <row r="4109" spans="2:2" x14ac:dyDescent="0.2">
      <c r="B4109" s="38"/>
    </row>
    <row r="4110" spans="2:2" x14ac:dyDescent="0.2">
      <c r="B4110" s="38"/>
    </row>
    <row r="4111" spans="2:2" x14ac:dyDescent="0.2">
      <c r="B4111" s="38"/>
    </row>
    <row r="4112" spans="2:2" x14ac:dyDescent="0.2">
      <c r="B4112" s="38"/>
    </row>
    <row r="4113" spans="2:2" x14ac:dyDescent="0.2">
      <c r="B4113" s="38"/>
    </row>
    <row r="4114" spans="2:2" x14ac:dyDescent="0.2">
      <c r="B4114" s="38"/>
    </row>
    <row r="4115" spans="2:2" x14ac:dyDescent="0.2">
      <c r="B4115" s="38"/>
    </row>
    <row r="4116" spans="2:2" x14ac:dyDescent="0.2">
      <c r="B4116" s="38"/>
    </row>
    <row r="4117" spans="2:2" x14ac:dyDescent="0.2">
      <c r="B4117" s="38"/>
    </row>
    <row r="4118" spans="2:2" x14ac:dyDescent="0.2">
      <c r="B4118" s="38"/>
    </row>
    <row r="4119" spans="2:2" x14ac:dyDescent="0.2">
      <c r="B4119" s="38"/>
    </row>
    <row r="4120" spans="2:2" x14ac:dyDescent="0.2">
      <c r="B4120" s="38"/>
    </row>
    <row r="4121" spans="2:2" x14ac:dyDescent="0.2">
      <c r="B4121" s="38"/>
    </row>
    <row r="4122" spans="2:2" x14ac:dyDescent="0.2">
      <c r="B4122" s="38"/>
    </row>
    <row r="4123" spans="2:2" x14ac:dyDescent="0.2">
      <c r="B4123" s="38"/>
    </row>
    <row r="4124" spans="2:2" x14ac:dyDescent="0.2">
      <c r="B4124" s="38"/>
    </row>
    <row r="4125" spans="2:2" x14ac:dyDescent="0.2">
      <c r="B4125" s="38"/>
    </row>
    <row r="4126" spans="2:2" x14ac:dyDescent="0.2">
      <c r="B4126" s="38"/>
    </row>
    <row r="4127" spans="2:2" x14ac:dyDescent="0.2">
      <c r="B4127" s="38"/>
    </row>
    <row r="4128" spans="2:2" x14ac:dyDescent="0.2">
      <c r="B4128" s="38"/>
    </row>
    <row r="4129" spans="2:2" x14ac:dyDescent="0.2">
      <c r="B4129" s="38"/>
    </row>
    <row r="4130" spans="2:2" x14ac:dyDescent="0.2">
      <c r="B4130" s="38"/>
    </row>
    <row r="4131" spans="2:2" x14ac:dyDescent="0.2">
      <c r="B4131" s="38"/>
    </row>
    <row r="4132" spans="2:2" x14ac:dyDescent="0.2">
      <c r="B4132" s="38"/>
    </row>
    <row r="4133" spans="2:2" x14ac:dyDescent="0.2">
      <c r="B4133" s="38"/>
    </row>
    <row r="4134" spans="2:2" x14ac:dyDescent="0.2">
      <c r="B4134" s="38"/>
    </row>
    <row r="4135" spans="2:2" x14ac:dyDescent="0.2">
      <c r="B4135" s="38"/>
    </row>
    <row r="4136" spans="2:2" x14ac:dyDescent="0.2">
      <c r="B4136" s="38"/>
    </row>
    <row r="4137" spans="2:2" x14ac:dyDescent="0.2">
      <c r="B4137" s="38"/>
    </row>
    <row r="4138" spans="2:2" x14ac:dyDescent="0.2">
      <c r="B4138" s="38"/>
    </row>
    <row r="4139" spans="2:2" x14ac:dyDescent="0.2">
      <c r="B4139" s="38"/>
    </row>
    <row r="4140" spans="2:2" x14ac:dyDescent="0.2">
      <c r="B4140" s="38"/>
    </row>
    <row r="4141" spans="2:2" x14ac:dyDescent="0.2">
      <c r="B4141" s="38"/>
    </row>
    <row r="4142" spans="2:2" x14ac:dyDescent="0.2">
      <c r="B4142" s="38"/>
    </row>
    <row r="4143" spans="2:2" x14ac:dyDescent="0.2">
      <c r="B4143" s="38"/>
    </row>
    <row r="4144" spans="2:2" x14ac:dyDescent="0.2">
      <c r="B4144" s="38"/>
    </row>
    <row r="4145" spans="2:2" x14ac:dyDescent="0.2">
      <c r="B4145" s="38"/>
    </row>
    <row r="4146" spans="2:2" x14ac:dyDescent="0.2">
      <c r="B4146" s="38"/>
    </row>
    <row r="4147" spans="2:2" x14ac:dyDescent="0.2">
      <c r="B4147" s="38"/>
    </row>
    <row r="4148" spans="2:2" x14ac:dyDescent="0.2">
      <c r="B4148" s="38"/>
    </row>
    <row r="4149" spans="2:2" x14ac:dyDescent="0.2">
      <c r="B4149" s="38"/>
    </row>
    <row r="4150" spans="2:2" x14ac:dyDescent="0.2">
      <c r="B4150" s="38"/>
    </row>
    <row r="4151" spans="2:2" x14ac:dyDescent="0.2">
      <c r="B4151" s="38"/>
    </row>
    <row r="4152" spans="2:2" x14ac:dyDescent="0.2">
      <c r="B4152" s="38"/>
    </row>
    <row r="4153" spans="2:2" x14ac:dyDescent="0.2">
      <c r="B4153" s="38"/>
    </row>
    <row r="4154" spans="2:2" x14ac:dyDescent="0.2">
      <c r="B4154" s="38"/>
    </row>
    <row r="4155" spans="2:2" x14ac:dyDescent="0.2">
      <c r="B4155" s="38"/>
    </row>
    <row r="4156" spans="2:2" x14ac:dyDescent="0.2">
      <c r="B4156" s="38"/>
    </row>
    <row r="4157" spans="2:2" x14ac:dyDescent="0.2">
      <c r="B4157" s="38"/>
    </row>
    <row r="4158" spans="2:2" x14ac:dyDescent="0.2">
      <c r="B4158" s="38"/>
    </row>
    <row r="4159" spans="2:2" x14ac:dyDescent="0.2">
      <c r="B4159" s="38"/>
    </row>
    <row r="4160" spans="2:2" x14ac:dyDescent="0.2">
      <c r="B4160" s="38"/>
    </row>
    <row r="4161" spans="2:2" x14ac:dyDescent="0.2">
      <c r="B4161" s="38"/>
    </row>
    <row r="4162" spans="2:2" x14ac:dyDescent="0.2">
      <c r="B4162" s="38"/>
    </row>
    <row r="4163" spans="2:2" x14ac:dyDescent="0.2">
      <c r="B4163" s="38"/>
    </row>
    <row r="4164" spans="2:2" x14ac:dyDescent="0.2">
      <c r="B4164" s="38"/>
    </row>
    <row r="4165" spans="2:2" x14ac:dyDescent="0.2">
      <c r="B4165" s="38"/>
    </row>
    <row r="4166" spans="2:2" x14ac:dyDescent="0.2">
      <c r="B4166" s="38"/>
    </row>
    <row r="4167" spans="2:2" x14ac:dyDescent="0.2">
      <c r="B4167" s="38"/>
    </row>
    <row r="4168" spans="2:2" x14ac:dyDescent="0.2">
      <c r="B4168" s="38"/>
    </row>
    <row r="4169" spans="2:2" x14ac:dyDescent="0.2">
      <c r="B4169" s="38"/>
    </row>
    <row r="4170" spans="2:2" x14ac:dyDescent="0.2">
      <c r="B4170" s="38"/>
    </row>
    <row r="4171" spans="2:2" x14ac:dyDescent="0.2">
      <c r="B4171" s="38"/>
    </row>
    <row r="4172" spans="2:2" x14ac:dyDescent="0.2">
      <c r="B4172" s="38"/>
    </row>
    <row r="4173" spans="2:2" x14ac:dyDescent="0.2">
      <c r="B4173" s="38"/>
    </row>
    <row r="4174" spans="2:2" x14ac:dyDescent="0.2">
      <c r="B4174" s="38"/>
    </row>
    <row r="4175" spans="2:2" x14ac:dyDescent="0.2">
      <c r="B4175" s="38"/>
    </row>
    <row r="4176" spans="2:2" x14ac:dyDescent="0.2">
      <c r="B4176" s="38"/>
    </row>
    <row r="4177" spans="2:2" x14ac:dyDescent="0.2">
      <c r="B4177" s="38"/>
    </row>
    <row r="4178" spans="2:2" x14ac:dyDescent="0.2">
      <c r="B4178" s="38"/>
    </row>
    <row r="4179" spans="2:2" x14ac:dyDescent="0.2">
      <c r="B4179" s="38"/>
    </row>
    <row r="4180" spans="2:2" x14ac:dyDescent="0.2">
      <c r="B4180" s="38"/>
    </row>
    <row r="4181" spans="2:2" x14ac:dyDescent="0.2">
      <c r="B4181" s="38"/>
    </row>
    <row r="4182" spans="2:2" x14ac:dyDescent="0.2">
      <c r="B4182" s="38"/>
    </row>
    <row r="4183" spans="2:2" x14ac:dyDescent="0.2">
      <c r="B4183" s="38"/>
    </row>
    <row r="4184" spans="2:2" x14ac:dyDescent="0.2">
      <c r="B4184" s="38"/>
    </row>
    <row r="4185" spans="2:2" x14ac:dyDescent="0.2">
      <c r="B4185" s="38"/>
    </row>
    <row r="4186" spans="2:2" x14ac:dyDescent="0.2">
      <c r="B4186" s="38"/>
    </row>
    <row r="4187" spans="2:2" x14ac:dyDescent="0.2">
      <c r="B4187" s="38"/>
    </row>
    <row r="4188" spans="2:2" x14ac:dyDescent="0.2">
      <c r="B4188" s="38"/>
    </row>
    <row r="4189" spans="2:2" x14ac:dyDescent="0.2">
      <c r="B4189" s="38"/>
    </row>
    <row r="4190" spans="2:2" x14ac:dyDescent="0.2">
      <c r="B4190" s="38"/>
    </row>
    <row r="4191" spans="2:2" x14ac:dyDescent="0.2">
      <c r="B4191" s="38"/>
    </row>
    <row r="4192" spans="2:2" x14ac:dyDescent="0.2">
      <c r="B4192" s="38"/>
    </row>
    <row r="4193" spans="2:2" x14ac:dyDescent="0.2">
      <c r="B4193" s="38"/>
    </row>
    <row r="4194" spans="2:2" x14ac:dyDescent="0.2">
      <c r="B4194" s="38"/>
    </row>
    <row r="4195" spans="2:2" x14ac:dyDescent="0.2">
      <c r="B4195" s="38"/>
    </row>
    <row r="4196" spans="2:2" x14ac:dyDescent="0.2">
      <c r="B4196" s="38"/>
    </row>
    <row r="4197" spans="2:2" x14ac:dyDescent="0.2">
      <c r="B4197" s="38"/>
    </row>
    <row r="4198" spans="2:2" x14ac:dyDescent="0.2">
      <c r="B4198" s="38"/>
    </row>
    <row r="4199" spans="2:2" x14ac:dyDescent="0.2">
      <c r="B4199" s="38"/>
    </row>
    <row r="4200" spans="2:2" x14ac:dyDescent="0.2">
      <c r="B4200" s="38"/>
    </row>
    <row r="4201" spans="2:2" x14ac:dyDescent="0.2">
      <c r="B4201" s="38"/>
    </row>
    <row r="4202" spans="2:2" x14ac:dyDescent="0.2">
      <c r="B4202" s="38"/>
    </row>
    <row r="4203" spans="2:2" x14ac:dyDescent="0.2">
      <c r="B4203" s="38"/>
    </row>
    <row r="4204" spans="2:2" x14ac:dyDescent="0.2">
      <c r="B4204" s="38"/>
    </row>
    <row r="4205" spans="2:2" x14ac:dyDescent="0.2">
      <c r="B4205" s="38"/>
    </row>
    <row r="4206" spans="2:2" x14ac:dyDescent="0.2">
      <c r="B4206" s="38"/>
    </row>
    <row r="4207" spans="2:2" x14ac:dyDescent="0.2">
      <c r="B4207" s="38"/>
    </row>
    <row r="4208" spans="2:2" x14ac:dyDescent="0.2">
      <c r="B4208" s="38"/>
    </row>
    <row r="4209" spans="2:2" x14ac:dyDescent="0.2">
      <c r="B4209" s="38"/>
    </row>
    <row r="4210" spans="2:2" x14ac:dyDescent="0.2">
      <c r="B4210" s="38"/>
    </row>
    <row r="4211" spans="2:2" x14ac:dyDescent="0.2">
      <c r="B4211" s="38"/>
    </row>
    <row r="4212" spans="2:2" x14ac:dyDescent="0.2">
      <c r="B4212" s="38"/>
    </row>
    <row r="4213" spans="2:2" x14ac:dyDescent="0.2">
      <c r="B4213" s="38"/>
    </row>
    <row r="4214" spans="2:2" x14ac:dyDescent="0.2">
      <c r="B4214" s="38"/>
    </row>
    <row r="4215" spans="2:2" x14ac:dyDescent="0.2">
      <c r="B4215" s="38"/>
    </row>
    <row r="4216" spans="2:2" x14ac:dyDescent="0.2">
      <c r="B4216" s="38"/>
    </row>
    <row r="4217" spans="2:2" x14ac:dyDescent="0.2">
      <c r="B4217" s="38"/>
    </row>
    <row r="4218" spans="2:2" x14ac:dyDescent="0.2">
      <c r="B4218" s="38"/>
    </row>
    <row r="4219" spans="2:2" x14ac:dyDescent="0.2">
      <c r="B4219" s="38"/>
    </row>
    <row r="4220" spans="2:2" x14ac:dyDescent="0.2">
      <c r="B4220" s="38"/>
    </row>
    <row r="4221" spans="2:2" x14ac:dyDescent="0.2">
      <c r="B4221" s="38"/>
    </row>
    <row r="4222" spans="2:2" x14ac:dyDescent="0.2">
      <c r="B4222" s="38"/>
    </row>
    <row r="4223" spans="2:2" x14ac:dyDescent="0.2">
      <c r="B4223" s="38"/>
    </row>
    <row r="4224" spans="2:2" x14ac:dyDescent="0.2">
      <c r="B4224" s="38"/>
    </row>
    <row r="4225" spans="2:2" x14ac:dyDescent="0.2">
      <c r="B4225" s="38"/>
    </row>
    <row r="4226" spans="2:2" x14ac:dyDescent="0.2">
      <c r="B4226" s="38"/>
    </row>
    <row r="4227" spans="2:2" x14ac:dyDescent="0.2">
      <c r="B4227" s="38"/>
    </row>
    <row r="4228" spans="2:2" x14ac:dyDescent="0.2">
      <c r="B4228" s="38"/>
    </row>
    <row r="4229" spans="2:2" x14ac:dyDescent="0.2">
      <c r="B4229" s="38"/>
    </row>
    <row r="4230" spans="2:2" x14ac:dyDescent="0.2">
      <c r="B4230" s="38"/>
    </row>
    <row r="4231" spans="2:2" x14ac:dyDescent="0.2">
      <c r="B4231" s="38"/>
    </row>
    <row r="4232" spans="2:2" x14ac:dyDescent="0.2">
      <c r="B4232" s="38"/>
    </row>
    <row r="4233" spans="2:2" x14ac:dyDescent="0.2">
      <c r="B4233" s="38"/>
    </row>
    <row r="4234" spans="2:2" x14ac:dyDescent="0.2">
      <c r="B4234" s="38"/>
    </row>
    <row r="4235" spans="2:2" x14ac:dyDescent="0.2">
      <c r="B4235" s="38"/>
    </row>
    <row r="4236" spans="2:2" x14ac:dyDescent="0.2">
      <c r="B4236" s="38"/>
    </row>
    <row r="4237" spans="2:2" x14ac:dyDescent="0.2">
      <c r="B4237" s="38"/>
    </row>
    <row r="4238" spans="2:2" x14ac:dyDescent="0.2">
      <c r="B4238" s="38"/>
    </row>
    <row r="4239" spans="2:2" x14ac:dyDescent="0.2">
      <c r="B4239" s="38"/>
    </row>
    <row r="4240" spans="2:2" x14ac:dyDescent="0.2">
      <c r="B4240" s="38"/>
    </row>
    <row r="4241" spans="2:2" x14ac:dyDescent="0.2">
      <c r="B4241" s="38"/>
    </row>
    <row r="4242" spans="2:2" x14ac:dyDescent="0.2">
      <c r="B4242" s="38"/>
    </row>
    <row r="4243" spans="2:2" x14ac:dyDescent="0.2">
      <c r="B4243" s="38"/>
    </row>
    <row r="4244" spans="2:2" x14ac:dyDescent="0.2">
      <c r="B4244" s="38"/>
    </row>
    <row r="4245" spans="2:2" x14ac:dyDescent="0.2">
      <c r="B4245" s="38"/>
    </row>
    <row r="4246" spans="2:2" x14ac:dyDescent="0.2">
      <c r="B4246" s="38"/>
    </row>
    <row r="4247" spans="2:2" x14ac:dyDescent="0.2">
      <c r="B4247" s="38"/>
    </row>
    <row r="4248" spans="2:2" x14ac:dyDescent="0.2">
      <c r="B4248" s="38"/>
    </row>
    <row r="4249" spans="2:2" x14ac:dyDescent="0.2">
      <c r="B4249" s="38"/>
    </row>
    <row r="4250" spans="2:2" x14ac:dyDescent="0.2">
      <c r="B4250" s="38"/>
    </row>
    <row r="4251" spans="2:2" x14ac:dyDescent="0.2">
      <c r="B4251" s="38"/>
    </row>
    <row r="4252" spans="2:2" x14ac:dyDescent="0.2">
      <c r="B4252" s="38"/>
    </row>
    <row r="4253" spans="2:2" x14ac:dyDescent="0.2">
      <c r="B4253" s="38"/>
    </row>
    <row r="4254" spans="2:2" x14ac:dyDescent="0.2">
      <c r="B4254" s="38"/>
    </row>
    <row r="4255" spans="2:2" x14ac:dyDescent="0.2">
      <c r="B4255" s="38"/>
    </row>
    <row r="4256" spans="2:2" x14ac:dyDescent="0.2">
      <c r="B4256" s="38"/>
    </row>
    <row r="4257" spans="2:2" x14ac:dyDescent="0.2">
      <c r="B4257" s="38"/>
    </row>
    <row r="4258" spans="2:2" x14ac:dyDescent="0.2">
      <c r="B4258" s="38"/>
    </row>
    <row r="4259" spans="2:2" x14ac:dyDescent="0.2">
      <c r="B4259" s="38"/>
    </row>
    <row r="4260" spans="2:2" x14ac:dyDescent="0.2">
      <c r="B4260" s="38"/>
    </row>
    <row r="4261" spans="2:2" x14ac:dyDescent="0.2">
      <c r="B4261" s="38"/>
    </row>
    <row r="4262" spans="2:2" x14ac:dyDescent="0.2">
      <c r="B4262" s="38"/>
    </row>
    <row r="4263" spans="2:2" x14ac:dyDescent="0.2">
      <c r="B4263" s="38"/>
    </row>
    <row r="4264" spans="2:2" x14ac:dyDescent="0.2">
      <c r="B4264" s="38"/>
    </row>
    <row r="4265" spans="2:2" x14ac:dyDescent="0.2">
      <c r="B4265" s="38"/>
    </row>
    <row r="4266" spans="2:2" x14ac:dyDescent="0.2">
      <c r="B4266" s="38"/>
    </row>
    <row r="4267" spans="2:2" x14ac:dyDescent="0.2">
      <c r="B4267" s="38"/>
    </row>
    <row r="4268" spans="2:2" x14ac:dyDescent="0.2">
      <c r="B4268" s="38"/>
    </row>
    <row r="4269" spans="2:2" x14ac:dyDescent="0.2">
      <c r="B4269" s="38"/>
    </row>
    <row r="4270" spans="2:2" x14ac:dyDescent="0.2">
      <c r="B4270" s="38"/>
    </row>
    <row r="4271" spans="2:2" x14ac:dyDescent="0.2">
      <c r="B4271" s="38"/>
    </row>
    <row r="4272" spans="2:2" x14ac:dyDescent="0.2">
      <c r="B4272" s="38"/>
    </row>
    <row r="4273" spans="2:2" x14ac:dyDescent="0.2">
      <c r="B4273" s="38"/>
    </row>
    <row r="4274" spans="2:2" x14ac:dyDescent="0.2">
      <c r="B4274" s="38"/>
    </row>
    <row r="4275" spans="2:2" x14ac:dyDescent="0.2">
      <c r="B4275" s="38"/>
    </row>
    <row r="4276" spans="2:2" x14ac:dyDescent="0.2">
      <c r="B4276" s="38"/>
    </row>
    <row r="4277" spans="2:2" x14ac:dyDescent="0.2">
      <c r="B4277" s="38"/>
    </row>
    <row r="4278" spans="2:2" x14ac:dyDescent="0.2">
      <c r="B4278" s="38"/>
    </row>
    <row r="4279" spans="2:2" x14ac:dyDescent="0.2">
      <c r="B4279" s="38"/>
    </row>
    <row r="4280" spans="2:2" x14ac:dyDescent="0.2">
      <c r="B4280" s="38"/>
    </row>
    <row r="4281" spans="2:2" x14ac:dyDescent="0.2">
      <c r="B4281" s="38"/>
    </row>
    <row r="4282" spans="2:2" x14ac:dyDescent="0.2">
      <c r="B4282" s="38"/>
    </row>
    <row r="4283" spans="2:2" x14ac:dyDescent="0.2">
      <c r="B4283" s="38"/>
    </row>
    <row r="4284" spans="2:2" x14ac:dyDescent="0.2">
      <c r="B4284" s="38"/>
    </row>
    <row r="4285" spans="2:2" x14ac:dyDescent="0.2">
      <c r="B4285" s="38"/>
    </row>
    <row r="4286" spans="2:2" x14ac:dyDescent="0.2">
      <c r="B4286" s="38"/>
    </row>
    <row r="4287" spans="2:2" x14ac:dyDescent="0.2">
      <c r="B4287" s="38"/>
    </row>
    <row r="4288" spans="2:2" x14ac:dyDescent="0.2">
      <c r="B4288" s="38"/>
    </row>
    <row r="4289" spans="2:2" x14ac:dyDescent="0.2">
      <c r="B4289" s="38"/>
    </row>
    <row r="4290" spans="2:2" x14ac:dyDescent="0.2">
      <c r="B4290" s="38"/>
    </row>
    <row r="4291" spans="2:2" x14ac:dyDescent="0.2">
      <c r="B4291" s="38"/>
    </row>
    <row r="4292" spans="2:2" x14ac:dyDescent="0.2">
      <c r="B4292" s="38"/>
    </row>
    <row r="4293" spans="2:2" x14ac:dyDescent="0.2">
      <c r="B4293" s="38"/>
    </row>
    <row r="4294" spans="2:2" x14ac:dyDescent="0.2">
      <c r="B4294" s="38"/>
    </row>
    <row r="4295" spans="2:2" x14ac:dyDescent="0.2">
      <c r="B4295" s="38"/>
    </row>
    <row r="4296" spans="2:2" x14ac:dyDescent="0.2">
      <c r="B4296" s="38"/>
    </row>
    <row r="4297" spans="2:2" x14ac:dyDescent="0.2">
      <c r="B4297" s="38"/>
    </row>
    <row r="4298" spans="2:2" x14ac:dyDescent="0.2">
      <c r="B4298" s="38"/>
    </row>
    <row r="4299" spans="2:2" x14ac:dyDescent="0.2">
      <c r="B4299" s="38"/>
    </row>
    <row r="4300" spans="2:2" x14ac:dyDescent="0.2">
      <c r="B4300" s="38"/>
    </row>
    <row r="4301" spans="2:2" x14ac:dyDescent="0.2">
      <c r="B4301" s="38"/>
    </row>
    <row r="4302" spans="2:2" x14ac:dyDescent="0.2">
      <c r="B4302" s="38"/>
    </row>
    <row r="4303" spans="2:2" x14ac:dyDescent="0.2">
      <c r="B4303" s="38"/>
    </row>
    <row r="4304" spans="2:2" x14ac:dyDescent="0.2">
      <c r="B4304" s="38"/>
    </row>
    <row r="4305" spans="2:2" x14ac:dyDescent="0.2">
      <c r="B4305" s="38"/>
    </row>
    <row r="4306" spans="2:2" x14ac:dyDescent="0.2">
      <c r="B4306" s="38"/>
    </row>
    <row r="4307" spans="2:2" x14ac:dyDescent="0.2">
      <c r="B4307" s="38"/>
    </row>
    <row r="4308" spans="2:2" x14ac:dyDescent="0.2">
      <c r="B4308" s="38"/>
    </row>
    <row r="4309" spans="2:2" x14ac:dyDescent="0.2">
      <c r="B4309" s="38"/>
    </row>
    <row r="4310" spans="2:2" x14ac:dyDescent="0.2">
      <c r="B4310" s="38"/>
    </row>
    <row r="4311" spans="2:2" x14ac:dyDescent="0.2">
      <c r="B4311" s="38"/>
    </row>
    <row r="4312" spans="2:2" x14ac:dyDescent="0.2">
      <c r="B4312" s="38"/>
    </row>
    <row r="4313" spans="2:2" x14ac:dyDescent="0.2">
      <c r="B4313" s="38"/>
    </row>
    <row r="4314" spans="2:2" x14ac:dyDescent="0.2">
      <c r="B4314" s="38"/>
    </row>
    <row r="4315" spans="2:2" x14ac:dyDescent="0.2">
      <c r="B4315" s="38"/>
    </row>
    <row r="4316" spans="2:2" x14ac:dyDescent="0.2">
      <c r="B4316" s="38"/>
    </row>
    <row r="4317" spans="2:2" x14ac:dyDescent="0.2">
      <c r="B4317" s="38"/>
    </row>
    <row r="4318" spans="2:2" x14ac:dyDescent="0.2">
      <c r="B4318" s="38"/>
    </row>
    <row r="4319" spans="2:2" x14ac:dyDescent="0.2">
      <c r="B4319" s="38"/>
    </row>
    <row r="4320" spans="2:2" x14ac:dyDescent="0.2">
      <c r="B4320" s="38"/>
    </row>
    <row r="4321" spans="2:2" x14ac:dyDescent="0.2">
      <c r="B4321" s="38"/>
    </row>
    <row r="4322" spans="2:2" x14ac:dyDescent="0.2">
      <c r="B4322" s="38"/>
    </row>
    <row r="4323" spans="2:2" x14ac:dyDescent="0.2">
      <c r="B4323" s="38"/>
    </row>
    <row r="4324" spans="2:2" x14ac:dyDescent="0.2">
      <c r="B4324" s="38"/>
    </row>
    <row r="4325" spans="2:2" x14ac:dyDescent="0.2">
      <c r="B4325" s="38"/>
    </row>
    <row r="4326" spans="2:2" x14ac:dyDescent="0.2">
      <c r="B4326" s="38"/>
    </row>
    <row r="4327" spans="2:2" x14ac:dyDescent="0.2">
      <c r="B4327" s="38"/>
    </row>
    <row r="4328" spans="2:2" x14ac:dyDescent="0.2">
      <c r="B4328" s="38"/>
    </row>
    <row r="4329" spans="2:2" x14ac:dyDescent="0.2">
      <c r="B4329" s="38"/>
    </row>
    <row r="4330" spans="2:2" x14ac:dyDescent="0.2">
      <c r="B4330" s="38"/>
    </row>
    <row r="4331" spans="2:2" x14ac:dyDescent="0.2">
      <c r="B4331" s="38"/>
    </row>
    <row r="4332" spans="2:2" x14ac:dyDescent="0.2">
      <c r="B4332" s="38"/>
    </row>
    <row r="4333" spans="2:2" x14ac:dyDescent="0.2">
      <c r="B4333" s="38"/>
    </row>
    <row r="4334" spans="2:2" x14ac:dyDescent="0.2">
      <c r="B4334" s="38"/>
    </row>
    <row r="4335" spans="2:2" x14ac:dyDescent="0.2">
      <c r="B4335" s="38"/>
    </row>
    <row r="4336" spans="2:2" x14ac:dyDescent="0.2">
      <c r="B4336" s="38"/>
    </row>
    <row r="4337" spans="2:2" x14ac:dyDescent="0.2">
      <c r="B4337" s="38"/>
    </row>
    <row r="4338" spans="2:2" x14ac:dyDescent="0.2">
      <c r="B4338" s="38"/>
    </row>
    <row r="4339" spans="2:2" x14ac:dyDescent="0.2">
      <c r="B4339" s="38"/>
    </row>
    <row r="4340" spans="2:2" x14ac:dyDescent="0.2">
      <c r="B4340" s="38"/>
    </row>
    <row r="4341" spans="2:2" x14ac:dyDescent="0.2">
      <c r="B4341" s="38"/>
    </row>
    <row r="4342" spans="2:2" x14ac:dyDescent="0.2">
      <c r="B4342" s="38"/>
    </row>
    <row r="4343" spans="2:2" x14ac:dyDescent="0.2">
      <c r="B4343" s="38"/>
    </row>
    <row r="4344" spans="2:2" x14ac:dyDescent="0.2">
      <c r="B4344" s="38"/>
    </row>
    <row r="4345" spans="2:2" x14ac:dyDescent="0.2">
      <c r="B4345" s="38"/>
    </row>
    <row r="4346" spans="2:2" x14ac:dyDescent="0.2">
      <c r="B4346" s="38"/>
    </row>
    <row r="4347" spans="2:2" x14ac:dyDescent="0.2">
      <c r="B4347" s="38"/>
    </row>
    <row r="4348" spans="2:2" x14ac:dyDescent="0.2">
      <c r="B4348" s="38"/>
    </row>
    <row r="4349" spans="2:2" x14ac:dyDescent="0.2">
      <c r="B4349" s="38"/>
    </row>
    <row r="4350" spans="2:2" x14ac:dyDescent="0.2">
      <c r="B4350" s="38"/>
    </row>
    <row r="4351" spans="2:2" x14ac:dyDescent="0.2">
      <c r="B4351" s="38"/>
    </row>
    <row r="4352" spans="2:2" x14ac:dyDescent="0.2">
      <c r="B4352" s="38"/>
    </row>
    <row r="4353" spans="2:2" x14ac:dyDescent="0.2">
      <c r="B4353" s="38"/>
    </row>
    <row r="4354" spans="2:2" x14ac:dyDescent="0.2">
      <c r="B4354" s="38"/>
    </row>
    <row r="4355" spans="2:2" x14ac:dyDescent="0.2">
      <c r="B4355" s="38"/>
    </row>
    <row r="4356" spans="2:2" x14ac:dyDescent="0.2">
      <c r="B4356" s="38"/>
    </row>
    <row r="4357" spans="2:2" x14ac:dyDescent="0.2">
      <c r="B4357" s="38"/>
    </row>
    <row r="4358" spans="2:2" x14ac:dyDescent="0.2">
      <c r="B4358" s="38"/>
    </row>
    <row r="4359" spans="2:2" x14ac:dyDescent="0.2">
      <c r="B4359" s="38"/>
    </row>
    <row r="4360" spans="2:2" x14ac:dyDescent="0.2">
      <c r="B4360" s="38"/>
    </row>
    <row r="4361" spans="2:2" x14ac:dyDescent="0.2">
      <c r="B4361" s="38"/>
    </row>
    <row r="4362" spans="2:2" x14ac:dyDescent="0.2">
      <c r="B4362" s="38"/>
    </row>
    <row r="4363" spans="2:2" x14ac:dyDescent="0.2">
      <c r="B4363" s="38"/>
    </row>
    <row r="4364" spans="2:2" x14ac:dyDescent="0.2">
      <c r="B4364" s="38"/>
    </row>
    <row r="4365" spans="2:2" x14ac:dyDescent="0.2">
      <c r="B4365" s="38"/>
    </row>
    <row r="4366" spans="2:2" x14ac:dyDescent="0.2">
      <c r="B4366" s="38"/>
    </row>
    <row r="4367" spans="2:2" x14ac:dyDescent="0.2">
      <c r="B4367" s="38"/>
    </row>
    <row r="4368" spans="2:2" x14ac:dyDescent="0.2">
      <c r="B4368" s="38"/>
    </row>
    <row r="4369" spans="2:2" x14ac:dyDescent="0.2">
      <c r="B4369" s="38"/>
    </row>
    <row r="4370" spans="2:2" x14ac:dyDescent="0.2">
      <c r="B4370" s="38"/>
    </row>
    <row r="4371" spans="2:2" x14ac:dyDescent="0.2">
      <c r="B4371" s="38"/>
    </row>
    <row r="4372" spans="2:2" x14ac:dyDescent="0.2">
      <c r="B4372" s="38"/>
    </row>
    <row r="4373" spans="2:2" x14ac:dyDescent="0.2">
      <c r="B4373" s="38"/>
    </row>
    <row r="4374" spans="2:2" x14ac:dyDescent="0.2">
      <c r="B4374" s="38"/>
    </row>
    <row r="4375" spans="2:2" x14ac:dyDescent="0.2">
      <c r="B4375" s="38"/>
    </row>
    <row r="4376" spans="2:2" x14ac:dyDescent="0.2">
      <c r="B4376" s="38"/>
    </row>
    <row r="4377" spans="2:2" x14ac:dyDescent="0.2">
      <c r="B4377" s="38"/>
    </row>
    <row r="4378" spans="2:2" x14ac:dyDescent="0.2">
      <c r="B4378" s="38"/>
    </row>
    <row r="4379" spans="2:2" x14ac:dyDescent="0.2">
      <c r="B4379" s="38"/>
    </row>
    <row r="4380" spans="2:2" x14ac:dyDescent="0.2">
      <c r="B4380" s="38"/>
    </row>
    <row r="4381" spans="2:2" x14ac:dyDescent="0.2">
      <c r="B4381" s="38"/>
    </row>
    <row r="4382" spans="2:2" x14ac:dyDescent="0.2">
      <c r="B4382" s="38"/>
    </row>
    <row r="4383" spans="2:2" x14ac:dyDescent="0.2">
      <c r="B4383" s="38"/>
    </row>
    <row r="4384" spans="2:2" x14ac:dyDescent="0.2">
      <c r="B4384" s="38"/>
    </row>
    <row r="4385" spans="2:2" x14ac:dyDescent="0.2">
      <c r="B4385" s="38"/>
    </row>
    <row r="4386" spans="2:2" x14ac:dyDescent="0.2">
      <c r="B4386" s="38"/>
    </row>
    <row r="4387" spans="2:2" x14ac:dyDescent="0.2">
      <c r="B4387" s="38"/>
    </row>
    <row r="4388" spans="2:2" x14ac:dyDescent="0.2">
      <c r="B4388" s="38"/>
    </row>
    <row r="4389" spans="2:2" x14ac:dyDescent="0.2">
      <c r="B4389" s="38"/>
    </row>
    <row r="4390" spans="2:2" x14ac:dyDescent="0.2">
      <c r="B4390" s="38"/>
    </row>
    <row r="4391" spans="2:2" x14ac:dyDescent="0.2">
      <c r="B4391" s="38"/>
    </row>
    <row r="4392" spans="2:2" x14ac:dyDescent="0.2">
      <c r="B4392" s="38"/>
    </row>
    <row r="4393" spans="2:2" x14ac:dyDescent="0.2">
      <c r="B4393" s="38"/>
    </row>
    <row r="4394" spans="2:2" x14ac:dyDescent="0.2">
      <c r="B4394" s="38"/>
    </row>
    <row r="4395" spans="2:2" x14ac:dyDescent="0.2">
      <c r="B4395" s="38"/>
    </row>
    <row r="4396" spans="2:2" x14ac:dyDescent="0.2">
      <c r="B4396" s="38"/>
    </row>
    <row r="4397" spans="2:2" x14ac:dyDescent="0.2">
      <c r="B4397" s="38"/>
    </row>
    <row r="4398" spans="2:2" x14ac:dyDescent="0.2">
      <c r="B4398" s="38"/>
    </row>
    <row r="4399" spans="2:2" x14ac:dyDescent="0.2">
      <c r="B4399" s="38"/>
    </row>
    <row r="4400" spans="2:2" x14ac:dyDescent="0.2">
      <c r="B4400" s="38"/>
    </row>
    <row r="4401" spans="2:2" x14ac:dyDescent="0.2">
      <c r="B4401" s="38"/>
    </row>
    <row r="4402" spans="2:2" x14ac:dyDescent="0.2">
      <c r="B4402" s="38"/>
    </row>
    <row r="4403" spans="2:2" x14ac:dyDescent="0.2">
      <c r="B4403" s="38"/>
    </row>
    <row r="4404" spans="2:2" x14ac:dyDescent="0.2">
      <c r="B4404" s="38"/>
    </row>
    <row r="4405" spans="2:2" x14ac:dyDescent="0.2">
      <c r="B4405" s="38"/>
    </row>
    <row r="4406" spans="2:2" x14ac:dyDescent="0.2">
      <c r="B4406" s="38"/>
    </row>
    <row r="4407" spans="2:2" x14ac:dyDescent="0.2">
      <c r="B4407" s="38"/>
    </row>
    <row r="4408" spans="2:2" x14ac:dyDescent="0.2">
      <c r="B4408" s="38"/>
    </row>
    <row r="4409" spans="2:2" x14ac:dyDescent="0.2">
      <c r="B4409" s="38"/>
    </row>
    <row r="4410" spans="2:2" x14ac:dyDescent="0.2">
      <c r="B4410" s="38"/>
    </row>
    <row r="4411" spans="2:2" x14ac:dyDescent="0.2">
      <c r="B4411" s="38"/>
    </row>
    <row r="4412" spans="2:2" x14ac:dyDescent="0.2">
      <c r="B4412" s="38"/>
    </row>
    <row r="4413" spans="2:2" x14ac:dyDescent="0.2">
      <c r="B4413" s="38"/>
    </row>
    <row r="4414" spans="2:2" x14ac:dyDescent="0.2">
      <c r="B4414" s="38"/>
    </row>
    <row r="4415" spans="2:2" x14ac:dyDescent="0.2">
      <c r="B4415" s="38"/>
    </row>
    <row r="4416" spans="2:2" x14ac:dyDescent="0.2">
      <c r="B4416" s="38"/>
    </row>
    <row r="4417" spans="2:2" x14ac:dyDescent="0.2">
      <c r="B4417" s="38"/>
    </row>
    <row r="4418" spans="2:2" x14ac:dyDescent="0.2">
      <c r="B4418" s="38"/>
    </row>
    <row r="4419" spans="2:2" x14ac:dyDescent="0.2">
      <c r="B4419" s="38"/>
    </row>
    <row r="4420" spans="2:2" x14ac:dyDescent="0.2">
      <c r="B4420" s="38"/>
    </row>
    <row r="4421" spans="2:2" x14ac:dyDescent="0.2">
      <c r="B4421" s="38"/>
    </row>
    <row r="4422" spans="2:2" x14ac:dyDescent="0.2">
      <c r="B4422" s="38"/>
    </row>
    <row r="4423" spans="2:2" x14ac:dyDescent="0.2">
      <c r="B4423" s="38"/>
    </row>
    <row r="4424" spans="2:2" x14ac:dyDescent="0.2">
      <c r="B4424" s="38"/>
    </row>
    <row r="4425" spans="2:2" x14ac:dyDescent="0.2">
      <c r="B4425" s="38"/>
    </row>
    <row r="4426" spans="2:2" x14ac:dyDescent="0.2">
      <c r="B4426" s="38"/>
    </row>
    <row r="4427" spans="2:2" x14ac:dyDescent="0.2">
      <c r="B4427" s="38"/>
    </row>
    <row r="4428" spans="2:2" x14ac:dyDescent="0.2">
      <c r="B4428" s="38"/>
    </row>
    <row r="4429" spans="2:2" x14ac:dyDescent="0.2">
      <c r="B4429" s="38"/>
    </row>
    <row r="4430" spans="2:2" x14ac:dyDescent="0.2">
      <c r="B4430" s="38"/>
    </row>
    <row r="4431" spans="2:2" x14ac:dyDescent="0.2">
      <c r="B4431" s="38"/>
    </row>
    <row r="4432" spans="2:2" x14ac:dyDescent="0.2">
      <c r="B4432" s="38"/>
    </row>
    <row r="4433" spans="2:2" x14ac:dyDescent="0.2">
      <c r="B4433" s="38"/>
    </row>
    <row r="4434" spans="2:2" x14ac:dyDescent="0.2">
      <c r="B4434" s="38"/>
    </row>
    <row r="4435" spans="2:2" x14ac:dyDescent="0.2">
      <c r="B4435" s="38"/>
    </row>
    <row r="4436" spans="2:2" x14ac:dyDescent="0.2">
      <c r="B4436" s="38"/>
    </row>
    <row r="4437" spans="2:2" x14ac:dyDescent="0.2">
      <c r="B4437" s="38"/>
    </row>
    <row r="4438" spans="2:2" x14ac:dyDescent="0.2">
      <c r="B4438" s="38"/>
    </row>
    <row r="4439" spans="2:2" x14ac:dyDescent="0.2">
      <c r="B4439" s="38"/>
    </row>
    <row r="4440" spans="2:2" x14ac:dyDescent="0.2">
      <c r="B4440" s="38"/>
    </row>
    <row r="4441" spans="2:2" x14ac:dyDescent="0.2">
      <c r="B4441" s="38"/>
    </row>
    <row r="4442" spans="2:2" x14ac:dyDescent="0.2">
      <c r="B4442" s="38"/>
    </row>
    <row r="4443" spans="2:2" x14ac:dyDescent="0.2">
      <c r="B4443" s="38"/>
    </row>
    <row r="4444" spans="2:2" x14ac:dyDescent="0.2">
      <c r="B4444" s="38"/>
    </row>
    <row r="4445" spans="2:2" x14ac:dyDescent="0.2">
      <c r="B4445" s="38"/>
    </row>
    <row r="4446" spans="2:2" x14ac:dyDescent="0.2">
      <c r="B4446" s="38"/>
    </row>
    <row r="4447" spans="2:2" x14ac:dyDescent="0.2">
      <c r="B4447" s="38"/>
    </row>
    <row r="4448" spans="2:2" x14ac:dyDescent="0.2">
      <c r="B4448" s="38"/>
    </row>
    <row r="4449" spans="2:2" x14ac:dyDescent="0.2">
      <c r="B4449" s="38"/>
    </row>
    <row r="4450" spans="2:2" x14ac:dyDescent="0.2">
      <c r="B4450" s="38"/>
    </row>
    <row r="4451" spans="2:2" x14ac:dyDescent="0.2">
      <c r="B4451" s="38"/>
    </row>
    <row r="4452" spans="2:2" x14ac:dyDescent="0.2">
      <c r="B4452" s="38"/>
    </row>
    <row r="4453" spans="2:2" x14ac:dyDescent="0.2">
      <c r="B4453" s="38"/>
    </row>
    <row r="4454" spans="2:2" x14ac:dyDescent="0.2">
      <c r="B4454" s="38"/>
    </row>
    <row r="4455" spans="2:2" x14ac:dyDescent="0.2">
      <c r="B4455" s="38"/>
    </row>
    <row r="4456" spans="2:2" x14ac:dyDescent="0.2">
      <c r="B4456" s="38"/>
    </row>
    <row r="4457" spans="2:2" x14ac:dyDescent="0.2">
      <c r="B4457" s="38"/>
    </row>
    <row r="4458" spans="2:2" x14ac:dyDescent="0.2">
      <c r="B4458" s="38"/>
    </row>
    <row r="4459" spans="2:2" x14ac:dyDescent="0.2">
      <c r="B4459" s="38"/>
    </row>
    <row r="4460" spans="2:2" x14ac:dyDescent="0.2">
      <c r="B4460" s="38"/>
    </row>
    <row r="4461" spans="2:2" x14ac:dyDescent="0.2">
      <c r="B4461" s="38"/>
    </row>
    <row r="4462" spans="2:2" x14ac:dyDescent="0.2">
      <c r="B4462" s="38"/>
    </row>
    <row r="4463" spans="2:2" x14ac:dyDescent="0.2">
      <c r="B4463" s="38"/>
    </row>
    <row r="4464" spans="2:2" x14ac:dyDescent="0.2">
      <c r="B4464" s="38"/>
    </row>
    <row r="4465" spans="2:2" x14ac:dyDescent="0.2">
      <c r="B4465" s="38"/>
    </row>
    <row r="4466" spans="2:2" x14ac:dyDescent="0.2">
      <c r="B4466" s="38"/>
    </row>
    <row r="4467" spans="2:2" x14ac:dyDescent="0.2">
      <c r="B4467" s="38"/>
    </row>
    <row r="4468" spans="2:2" x14ac:dyDescent="0.2">
      <c r="B4468" s="38"/>
    </row>
    <row r="4469" spans="2:2" x14ac:dyDescent="0.2">
      <c r="B4469" s="38"/>
    </row>
    <row r="4470" spans="2:2" x14ac:dyDescent="0.2">
      <c r="B4470" s="38"/>
    </row>
    <row r="4471" spans="2:2" x14ac:dyDescent="0.2">
      <c r="B4471" s="38"/>
    </row>
    <row r="4472" spans="2:2" x14ac:dyDescent="0.2">
      <c r="B4472" s="38"/>
    </row>
    <row r="4473" spans="2:2" x14ac:dyDescent="0.2">
      <c r="B4473" s="38"/>
    </row>
    <row r="4474" spans="2:2" x14ac:dyDescent="0.2">
      <c r="B4474" s="38"/>
    </row>
    <row r="4475" spans="2:2" x14ac:dyDescent="0.2">
      <c r="B4475" s="38"/>
    </row>
    <row r="4476" spans="2:2" x14ac:dyDescent="0.2">
      <c r="B4476" s="38"/>
    </row>
    <row r="4477" spans="2:2" x14ac:dyDescent="0.2">
      <c r="B4477" s="38"/>
    </row>
    <row r="4478" spans="2:2" x14ac:dyDescent="0.2">
      <c r="B4478" s="38"/>
    </row>
    <row r="4479" spans="2:2" x14ac:dyDescent="0.2">
      <c r="B4479" s="38"/>
    </row>
    <row r="4480" spans="2:2" x14ac:dyDescent="0.2">
      <c r="B4480" s="38"/>
    </row>
    <row r="4481" spans="2:2" x14ac:dyDescent="0.2">
      <c r="B4481" s="38"/>
    </row>
    <row r="4482" spans="2:2" x14ac:dyDescent="0.2">
      <c r="B4482" s="38"/>
    </row>
    <row r="4483" spans="2:2" x14ac:dyDescent="0.2">
      <c r="B4483" s="38"/>
    </row>
    <row r="4484" spans="2:2" x14ac:dyDescent="0.2">
      <c r="B4484" s="38"/>
    </row>
    <row r="4485" spans="2:2" x14ac:dyDescent="0.2">
      <c r="B4485" s="38"/>
    </row>
    <row r="4486" spans="2:2" x14ac:dyDescent="0.2">
      <c r="B4486" s="38"/>
    </row>
    <row r="4487" spans="2:2" x14ac:dyDescent="0.2">
      <c r="B4487" s="38"/>
    </row>
    <row r="4488" spans="2:2" x14ac:dyDescent="0.2">
      <c r="B4488" s="38"/>
    </row>
    <row r="4489" spans="2:2" x14ac:dyDescent="0.2">
      <c r="B4489" s="38"/>
    </row>
    <row r="4490" spans="2:2" x14ac:dyDescent="0.2">
      <c r="B4490" s="38"/>
    </row>
    <row r="4491" spans="2:2" x14ac:dyDescent="0.2">
      <c r="B4491" s="38"/>
    </row>
    <row r="4492" spans="2:2" x14ac:dyDescent="0.2">
      <c r="B4492" s="38"/>
    </row>
    <row r="4493" spans="2:2" x14ac:dyDescent="0.2">
      <c r="B4493" s="38"/>
    </row>
    <row r="4494" spans="2:2" x14ac:dyDescent="0.2">
      <c r="B4494" s="38"/>
    </row>
    <row r="4495" spans="2:2" x14ac:dyDescent="0.2">
      <c r="B4495" s="38"/>
    </row>
    <row r="4496" spans="2:2" x14ac:dyDescent="0.2">
      <c r="B4496" s="38"/>
    </row>
    <row r="4497" spans="2:2" x14ac:dyDescent="0.2">
      <c r="B4497" s="38"/>
    </row>
    <row r="4498" spans="2:2" x14ac:dyDescent="0.2">
      <c r="B4498" s="38"/>
    </row>
    <row r="4499" spans="2:2" x14ac:dyDescent="0.2">
      <c r="B4499" s="38"/>
    </row>
    <row r="4500" spans="2:2" x14ac:dyDescent="0.2">
      <c r="B4500" s="38"/>
    </row>
    <row r="4501" spans="2:2" x14ac:dyDescent="0.2">
      <c r="B4501" s="38"/>
    </row>
    <row r="4502" spans="2:2" x14ac:dyDescent="0.2">
      <c r="B4502" s="38"/>
    </row>
    <row r="4503" spans="2:2" x14ac:dyDescent="0.2">
      <c r="B4503" s="38"/>
    </row>
    <row r="4504" spans="2:2" x14ac:dyDescent="0.2">
      <c r="B4504" s="38"/>
    </row>
    <row r="4505" spans="2:2" x14ac:dyDescent="0.2">
      <c r="B4505" s="38"/>
    </row>
    <row r="4506" spans="2:2" x14ac:dyDescent="0.2">
      <c r="B4506" s="38"/>
    </row>
    <row r="4507" spans="2:2" x14ac:dyDescent="0.2">
      <c r="B4507" s="38"/>
    </row>
    <row r="4508" spans="2:2" x14ac:dyDescent="0.2">
      <c r="B4508" s="38"/>
    </row>
    <row r="4509" spans="2:2" x14ac:dyDescent="0.2">
      <c r="B4509" s="38"/>
    </row>
    <row r="4510" spans="2:2" x14ac:dyDescent="0.2">
      <c r="B4510" s="38"/>
    </row>
    <row r="4511" spans="2:2" x14ac:dyDescent="0.2">
      <c r="B4511" s="38"/>
    </row>
    <row r="4512" spans="2:2" x14ac:dyDescent="0.2">
      <c r="B4512" s="38"/>
    </row>
    <row r="4513" spans="2:2" x14ac:dyDescent="0.2">
      <c r="B4513" s="38"/>
    </row>
    <row r="4514" spans="2:2" x14ac:dyDescent="0.2">
      <c r="B4514" s="38"/>
    </row>
    <row r="4515" spans="2:2" x14ac:dyDescent="0.2">
      <c r="B4515" s="38"/>
    </row>
    <row r="4516" spans="2:2" x14ac:dyDescent="0.2">
      <c r="B4516" s="38"/>
    </row>
    <row r="4517" spans="2:2" x14ac:dyDescent="0.2">
      <c r="B4517" s="38"/>
    </row>
    <row r="4518" spans="2:2" x14ac:dyDescent="0.2">
      <c r="B4518" s="38"/>
    </row>
    <row r="4519" spans="2:2" x14ac:dyDescent="0.2">
      <c r="B4519" s="38"/>
    </row>
    <row r="4520" spans="2:2" x14ac:dyDescent="0.2">
      <c r="B4520" s="38"/>
    </row>
    <row r="4521" spans="2:2" x14ac:dyDescent="0.2">
      <c r="B4521" s="38"/>
    </row>
    <row r="4522" spans="2:2" x14ac:dyDescent="0.2">
      <c r="B4522" s="38"/>
    </row>
    <row r="4523" spans="2:2" x14ac:dyDescent="0.2">
      <c r="B4523" s="38"/>
    </row>
    <row r="4524" spans="2:2" x14ac:dyDescent="0.2">
      <c r="B4524" s="38"/>
    </row>
    <row r="4525" spans="2:2" x14ac:dyDescent="0.2">
      <c r="B4525" s="38"/>
    </row>
    <row r="4526" spans="2:2" x14ac:dyDescent="0.2">
      <c r="B4526" s="38"/>
    </row>
    <row r="4527" spans="2:2" x14ac:dyDescent="0.2">
      <c r="B4527" s="38"/>
    </row>
    <row r="4528" spans="2:2" x14ac:dyDescent="0.2">
      <c r="B4528" s="38"/>
    </row>
    <row r="4529" spans="2:2" x14ac:dyDescent="0.2">
      <c r="B4529" s="38"/>
    </row>
    <row r="4530" spans="2:2" x14ac:dyDescent="0.2">
      <c r="B4530" s="38"/>
    </row>
    <row r="4531" spans="2:2" x14ac:dyDescent="0.2">
      <c r="B4531" s="38"/>
    </row>
    <row r="4532" spans="2:2" x14ac:dyDescent="0.2">
      <c r="B4532" s="38"/>
    </row>
    <row r="4533" spans="2:2" x14ac:dyDescent="0.2">
      <c r="B4533" s="38"/>
    </row>
    <row r="4534" spans="2:2" x14ac:dyDescent="0.2">
      <c r="B4534" s="38"/>
    </row>
    <row r="4535" spans="2:2" x14ac:dyDescent="0.2">
      <c r="B4535" s="38"/>
    </row>
    <row r="4536" spans="2:2" x14ac:dyDescent="0.2">
      <c r="B4536" s="38"/>
    </row>
    <row r="4537" spans="2:2" x14ac:dyDescent="0.2">
      <c r="B4537" s="38"/>
    </row>
    <row r="4538" spans="2:2" x14ac:dyDescent="0.2">
      <c r="B4538" s="38"/>
    </row>
    <row r="4539" spans="2:2" x14ac:dyDescent="0.2">
      <c r="B4539" s="38"/>
    </row>
    <row r="4540" spans="2:2" x14ac:dyDescent="0.2">
      <c r="B4540" s="38"/>
    </row>
    <row r="4541" spans="2:2" x14ac:dyDescent="0.2">
      <c r="B4541" s="38"/>
    </row>
    <row r="4542" spans="2:2" x14ac:dyDescent="0.2">
      <c r="B4542" s="38"/>
    </row>
    <row r="4543" spans="2:2" x14ac:dyDescent="0.2">
      <c r="B4543" s="38"/>
    </row>
    <row r="4544" spans="2:2" x14ac:dyDescent="0.2">
      <c r="B4544" s="38"/>
    </row>
    <row r="4545" spans="2:2" x14ac:dyDescent="0.2">
      <c r="B4545" s="38"/>
    </row>
    <row r="4546" spans="2:2" x14ac:dyDescent="0.2">
      <c r="B4546" s="38"/>
    </row>
    <row r="4547" spans="2:2" x14ac:dyDescent="0.2">
      <c r="B4547" s="38"/>
    </row>
    <row r="4548" spans="2:2" x14ac:dyDescent="0.2">
      <c r="B4548" s="38"/>
    </row>
    <row r="4549" spans="2:2" x14ac:dyDescent="0.2">
      <c r="B4549" s="38"/>
    </row>
    <row r="4550" spans="2:2" x14ac:dyDescent="0.2">
      <c r="B4550" s="38"/>
    </row>
    <row r="4551" spans="2:2" x14ac:dyDescent="0.2">
      <c r="B4551" s="38"/>
    </row>
    <row r="4552" spans="2:2" x14ac:dyDescent="0.2">
      <c r="B4552" s="38"/>
    </row>
    <row r="4553" spans="2:2" x14ac:dyDescent="0.2">
      <c r="B4553" s="38"/>
    </row>
    <row r="4554" spans="2:2" x14ac:dyDescent="0.2">
      <c r="B4554" s="38"/>
    </row>
    <row r="4555" spans="2:2" x14ac:dyDescent="0.2">
      <c r="B4555" s="38"/>
    </row>
    <row r="4556" spans="2:2" x14ac:dyDescent="0.2">
      <c r="B4556" s="38"/>
    </row>
    <row r="4557" spans="2:2" x14ac:dyDescent="0.2">
      <c r="B4557" s="38"/>
    </row>
    <row r="4558" spans="2:2" x14ac:dyDescent="0.2">
      <c r="B4558" s="38"/>
    </row>
    <row r="4559" spans="2:2" x14ac:dyDescent="0.2">
      <c r="B4559" s="38"/>
    </row>
    <row r="4560" spans="2:2" x14ac:dyDescent="0.2">
      <c r="B4560" s="38"/>
    </row>
    <row r="4561" spans="2:2" x14ac:dyDescent="0.2">
      <c r="B4561" s="38"/>
    </row>
    <row r="4562" spans="2:2" x14ac:dyDescent="0.2">
      <c r="B4562" s="38"/>
    </row>
    <row r="4563" spans="2:2" x14ac:dyDescent="0.2">
      <c r="B4563" s="38"/>
    </row>
    <row r="4564" spans="2:2" x14ac:dyDescent="0.2">
      <c r="B4564" s="38"/>
    </row>
    <row r="4565" spans="2:2" x14ac:dyDescent="0.2">
      <c r="B4565" s="38"/>
    </row>
    <row r="4566" spans="2:2" x14ac:dyDescent="0.2">
      <c r="B4566" s="38"/>
    </row>
    <row r="4567" spans="2:2" x14ac:dyDescent="0.2">
      <c r="B4567" s="38"/>
    </row>
    <row r="4568" spans="2:2" x14ac:dyDescent="0.2">
      <c r="B4568" s="38"/>
    </row>
    <row r="4569" spans="2:2" x14ac:dyDescent="0.2">
      <c r="B4569" s="38"/>
    </row>
    <row r="4570" spans="2:2" x14ac:dyDescent="0.2">
      <c r="B4570" s="38"/>
    </row>
    <row r="4571" spans="2:2" x14ac:dyDescent="0.2">
      <c r="B4571" s="38"/>
    </row>
    <row r="4572" spans="2:2" x14ac:dyDescent="0.2">
      <c r="B4572" s="38"/>
    </row>
    <row r="4573" spans="2:2" x14ac:dyDescent="0.2">
      <c r="B4573" s="38"/>
    </row>
    <row r="4574" spans="2:2" x14ac:dyDescent="0.2">
      <c r="B4574" s="38"/>
    </row>
    <row r="4575" spans="2:2" x14ac:dyDescent="0.2">
      <c r="B4575" s="38"/>
    </row>
    <row r="4576" spans="2:2" x14ac:dyDescent="0.2">
      <c r="B4576" s="38"/>
    </row>
    <row r="4577" spans="2:2" x14ac:dyDescent="0.2">
      <c r="B4577" s="38"/>
    </row>
    <row r="4578" spans="2:2" x14ac:dyDescent="0.2">
      <c r="B4578" s="38"/>
    </row>
    <row r="4579" spans="2:2" x14ac:dyDescent="0.2">
      <c r="B4579" s="38"/>
    </row>
    <row r="4580" spans="2:2" x14ac:dyDescent="0.2">
      <c r="B4580" s="38"/>
    </row>
    <row r="4581" spans="2:2" x14ac:dyDescent="0.2">
      <c r="B4581" s="38"/>
    </row>
    <row r="4582" spans="2:2" x14ac:dyDescent="0.2">
      <c r="B4582" s="38"/>
    </row>
    <row r="4583" spans="2:2" x14ac:dyDescent="0.2">
      <c r="B4583" s="38"/>
    </row>
    <row r="4584" spans="2:2" x14ac:dyDescent="0.2">
      <c r="B4584" s="38"/>
    </row>
    <row r="4585" spans="2:2" x14ac:dyDescent="0.2">
      <c r="B4585" s="38"/>
    </row>
    <row r="4586" spans="2:2" x14ac:dyDescent="0.2">
      <c r="B4586" s="38"/>
    </row>
    <row r="4587" spans="2:2" x14ac:dyDescent="0.2">
      <c r="B4587" s="38"/>
    </row>
    <row r="4588" spans="2:2" x14ac:dyDescent="0.2">
      <c r="B4588" s="38"/>
    </row>
    <row r="4589" spans="2:2" x14ac:dyDescent="0.2">
      <c r="B4589" s="38"/>
    </row>
    <row r="4590" spans="2:2" x14ac:dyDescent="0.2">
      <c r="B4590" s="38"/>
    </row>
    <row r="4591" spans="2:2" x14ac:dyDescent="0.2">
      <c r="B4591" s="38"/>
    </row>
    <row r="4592" spans="2:2" x14ac:dyDescent="0.2">
      <c r="B4592" s="38"/>
    </row>
    <row r="4593" spans="2:2" x14ac:dyDescent="0.2">
      <c r="B4593" s="38"/>
    </row>
    <row r="4594" spans="2:2" x14ac:dyDescent="0.2">
      <c r="B4594" s="38"/>
    </row>
    <row r="4595" spans="2:2" x14ac:dyDescent="0.2">
      <c r="B4595" s="38"/>
    </row>
    <row r="4596" spans="2:2" x14ac:dyDescent="0.2">
      <c r="B4596" s="38"/>
    </row>
    <row r="4597" spans="2:2" x14ac:dyDescent="0.2">
      <c r="B4597" s="38"/>
    </row>
    <row r="4598" spans="2:2" x14ac:dyDescent="0.2">
      <c r="B4598" s="38"/>
    </row>
    <row r="4599" spans="2:2" x14ac:dyDescent="0.2">
      <c r="B4599" s="38"/>
    </row>
    <row r="4600" spans="2:2" x14ac:dyDescent="0.2">
      <c r="B4600" s="38"/>
    </row>
    <row r="4601" spans="2:2" x14ac:dyDescent="0.2">
      <c r="B4601" s="38"/>
    </row>
    <row r="4602" spans="2:2" x14ac:dyDescent="0.2">
      <c r="B4602" s="38"/>
    </row>
    <row r="4603" spans="2:2" x14ac:dyDescent="0.2">
      <c r="B4603" s="38"/>
    </row>
    <row r="4604" spans="2:2" x14ac:dyDescent="0.2">
      <c r="B4604" s="38"/>
    </row>
    <row r="4605" spans="2:2" x14ac:dyDescent="0.2">
      <c r="B4605" s="38"/>
    </row>
    <row r="4606" spans="2:2" x14ac:dyDescent="0.2">
      <c r="B4606" s="38"/>
    </row>
    <row r="4607" spans="2:2" x14ac:dyDescent="0.2">
      <c r="B4607" s="38"/>
    </row>
    <row r="4608" spans="2:2" x14ac:dyDescent="0.2">
      <c r="B4608" s="38"/>
    </row>
    <row r="4609" spans="2:2" x14ac:dyDescent="0.2">
      <c r="B4609" s="38"/>
    </row>
    <row r="4610" spans="2:2" x14ac:dyDescent="0.2">
      <c r="B4610" s="38"/>
    </row>
    <row r="4611" spans="2:2" x14ac:dyDescent="0.2">
      <c r="B4611" s="38"/>
    </row>
    <row r="4612" spans="2:2" x14ac:dyDescent="0.2">
      <c r="B4612" s="38"/>
    </row>
    <row r="4613" spans="2:2" x14ac:dyDescent="0.2">
      <c r="B4613" s="38"/>
    </row>
    <row r="4614" spans="2:2" x14ac:dyDescent="0.2">
      <c r="B4614" s="38"/>
    </row>
    <row r="4615" spans="2:2" x14ac:dyDescent="0.2">
      <c r="B4615" s="38"/>
    </row>
    <row r="4616" spans="2:2" x14ac:dyDescent="0.2">
      <c r="B4616" s="38"/>
    </row>
    <row r="4617" spans="2:2" x14ac:dyDescent="0.2">
      <c r="B4617" s="38"/>
    </row>
    <row r="4618" spans="2:2" x14ac:dyDescent="0.2">
      <c r="B4618" s="38"/>
    </row>
    <row r="4619" spans="2:2" x14ac:dyDescent="0.2">
      <c r="B4619" s="38"/>
    </row>
    <row r="4620" spans="2:2" x14ac:dyDescent="0.2">
      <c r="B4620" s="38"/>
    </row>
    <row r="4621" spans="2:2" x14ac:dyDescent="0.2">
      <c r="B4621" s="38"/>
    </row>
    <row r="4622" spans="2:2" x14ac:dyDescent="0.2">
      <c r="B4622" s="38"/>
    </row>
    <row r="4623" spans="2:2" x14ac:dyDescent="0.2">
      <c r="B4623" s="38"/>
    </row>
    <row r="4624" spans="2:2" x14ac:dyDescent="0.2">
      <c r="B4624" s="38"/>
    </row>
    <row r="4625" spans="2:2" x14ac:dyDescent="0.2">
      <c r="B4625" s="38"/>
    </row>
    <row r="4626" spans="2:2" x14ac:dyDescent="0.2">
      <c r="B4626" s="38"/>
    </row>
    <row r="4627" spans="2:2" x14ac:dyDescent="0.2">
      <c r="B4627" s="38"/>
    </row>
    <row r="4628" spans="2:2" x14ac:dyDescent="0.2">
      <c r="B4628" s="38"/>
    </row>
    <row r="4629" spans="2:2" x14ac:dyDescent="0.2">
      <c r="B4629" s="38"/>
    </row>
    <row r="4630" spans="2:2" x14ac:dyDescent="0.2">
      <c r="B4630" s="38"/>
    </row>
    <row r="4631" spans="2:2" x14ac:dyDescent="0.2">
      <c r="B4631" s="38"/>
    </row>
    <row r="4632" spans="2:2" x14ac:dyDescent="0.2">
      <c r="B4632" s="38"/>
    </row>
    <row r="4633" spans="2:2" x14ac:dyDescent="0.2">
      <c r="B4633" s="38"/>
    </row>
    <row r="4634" spans="2:2" x14ac:dyDescent="0.2">
      <c r="B4634" s="38"/>
    </row>
    <row r="4635" spans="2:2" x14ac:dyDescent="0.2">
      <c r="B4635" s="38"/>
    </row>
    <row r="4636" spans="2:2" x14ac:dyDescent="0.2">
      <c r="B4636" s="38"/>
    </row>
    <row r="4637" spans="2:2" x14ac:dyDescent="0.2">
      <c r="B4637" s="38"/>
    </row>
    <row r="4638" spans="2:2" x14ac:dyDescent="0.2">
      <c r="B4638" s="38"/>
    </row>
    <row r="4639" spans="2:2" x14ac:dyDescent="0.2">
      <c r="B4639" s="38"/>
    </row>
    <row r="4640" spans="2:2" x14ac:dyDescent="0.2">
      <c r="B4640" s="38"/>
    </row>
    <row r="4641" spans="2:2" x14ac:dyDescent="0.2">
      <c r="B4641" s="38"/>
    </row>
    <row r="4642" spans="2:2" x14ac:dyDescent="0.2">
      <c r="B4642" s="38"/>
    </row>
    <row r="4643" spans="2:2" x14ac:dyDescent="0.2">
      <c r="B4643" s="38"/>
    </row>
    <row r="4644" spans="2:2" x14ac:dyDescent="0.2">
      <c r="B4644" s="38"/>
    </row>
    <row r="4645" spans="2:2" x14ac:dyDescent="0.2">
      <c r="B4645" s="38"/>
    </row>
    <row r="4646" spans="2:2" x14ac:dyDescent="0.2">
      <c r="B4646" s="38"/>
    </row>
    <row r="4647" spans="2:2" x14ac:dyDescent="0.2">
      <c r="B4647" s="38"/>
    </row>
    <row r="4648" spans="2:2" x14ac:dyDescent="0.2">
      <c r="B4648" s="38"/>
    </row>
    <row r="4649" spans="2:2" x14ac:dyDescent="0.2">
      <c r="B4649" s="38"/>
    </row>
    <row r="4650" spans="2:2" x14ac:dyDescent="0.2">
      <c r="B4650" s="38"/>
    </row>
    <row r="4651" spans="2:2" x14ac:dyDescent="0.2">
      <c r="B4651" s="38"/>
    </row>
    <row r="4652" spans="2:2" x14ac:dyDescent="0.2">
      <c r="B4652" s="38"/>
    </row>
    <row r="4653" spans="2:2" x14ac:dyDescent="0.2">
      <c r="B4653" s="38"/>
    </row>
    <row r="4654" spans="2:2" x14ac:dyDescent="0.2">
      <c r="B4654" s="38"/>
    </row>
    <row r="4655" spans="2:2" x14ac:dyDescent="0.2">
      <c r="B4655" s="38"/>
    </row>
    <row r="4656" spans="2:2" x14ac:dyDescent="0.2">
      <c r="B4656" s="38"/>
    </row>
    <row r="4657" spans="2:2" x14ac:dyDescent="0.2">
      <c r="B4657" s="38"/>
    </row>
    <row r="4658" spans="2:2" x14ac:dyDescent="0.2">
      <c r="B4658" s="38"/>
    </row>
    <row r="4659" spans="2:2" x14ac:dyDescent="0.2">
      <c r="B4659" s="38"/>
    </row>
    <row r="4660" spans="2:2" x14ac:dyDescent="0.2">
      <c r="B4660" s="38"/>
    </row>
    <row r="4661" spans="2:2" x14ac:dyDescent="0.2">
      <c r="B4661" s="38"/>
    </row>
    <row r="4662" spans="2:2" x14ac:dyDescent="0.2">
      <c r="B4662" s="38"/>
    </row>
    <row r="4663" spans="2:2" x14ac:dyDescent="0.2">
      <c r="B4663" s="38"/>
    </row>
    <row r="4664" spans="2:2" x14ac:dyDescent="0.2">
      <c r="B4664" s="38"/>
    </row>
    <row r="4665" spans="2:2" x14ac:dyDescent="0.2">
      <c r="B4665" s="38"/>
    </row>
    <row r="4666" spans="2:2" x14ac:dyDescent="0.2">
      <c r="B4666" s="38"/>
    </row>
    <row r="4667" spans="2:2" x14ac:dyDescent="0.2">
      <c r="B4667" s="38"/>
    </row>
    <row r="4668" spans="2:2" x14ac:dyDescent="0.2">
      <c r="B4668" s="38"/>
    </row>
    <row r="4669" spans="2:2" x14ac:dyDescent="0.2">
      <c r="B4669" s="38"/>
    </row>
    <row r="4670" spans="2:2" x14ac:dyDescent="0.2">
      <c r="B4670" s="38"/>
    </row>
    <row r="4671" spans="2:2" x14ac:dyDescent="0.2">
      <c r="B4671" s="38"/>
    </row>
    <row r="4672" spans="2:2" x14ac:dyDescent="0.2">
      <c r="B4672" s="38"/>
    </row>
    <row r="4673" spans="2:2" x14ac:dyDescent="0.2">
      <c r="B4673" s="38"/>
    </row>
    <row r="4674" spans="2:2" x14ac:dyDescent="0.2">
      <c r="B4674" s="38"/>
    </row>
    <row r="4675" spans="2:2" x14ac:dyDescent="0.2">
      <c r="B4675" s="38"/>
    </row>
    <row r="4676" spans="2:2" x14ac:dyDescent="0.2">
      <c r="B4676" s="38"/>
    </row>
    <row r="4677" spans="2:2" x14ac:dyDescent="0.2">
      <c r="B4677" s="38"/>
    </row>
    <row r="4678" spans="2:2" x14ac:dyDescent="0.2">
      <c r="B4678" s="38"/>
    </row>
    <row r="4679" spans="2:2" x14ac:dyDescent="0.2">
      <c r="B4679" s="38"/>
    </row>
    <row r="4680" spans="2:2" x14ac:dyDescent="0.2">
      <c r="B4680" s="38"/>
    </row>
    <row r="4681" spans="2:2" x14ac:dyDescent="0.2">
      <c r="B4681" s="38"/>
    </row>
    <row r="4682" spans="2:2" x14ac:dyDescent="0.2">
      <c r="B4682" s="38"/>
    </row>
    <row r="4683" spans="2:2" x14ac:dyDescent="0.2">
      <c r="B4683" s="38"/>
    </row>
    <row r="4684" spans="2:2" x14ac:dyDescent="0.2">
      <c r="B4684" s="38"/>
    </row>
    <row r="4685" spans="2:2" x14ac:dyDescent="0.2">
      <c r="B4685" s="38"/>
    </row>
    <row r="4686" spans="2:2" x14ac:dyDescent="0.2">
      <c r="B4686" s="38"/>
    </row>
    <row r="4687" spans="2:2" x14ac:dyDescent="0.2">
      <c r="B4687" s="38"/>
    </row>
    <row r="4688" spans="2:2" x14ac:dyDescent="0.2">
      <c r="B4688" s="38"/>
    </row>
    <row r="4689" spans="2:2" x14ac:dyDescent="0.2">
      <c r="B4689" s="38"/>
    </row>
    <row r="4690" spans="2:2" x14ac:dyDescent="0.2">
      <c r="B4690" s="38"/>
    </row>
    <row r="4691" spans="2:2" x14ac:dyDescent="0.2">
      <c r="B4691" s="38"/>
    </row>
    <row r="4692" spans="2:2" x14ac:dyDescent="0.2">
      <c r="B4692" s="38"/>
    </row>
    <row r="4693" spans="2:2" x14ac:dyDescent="0.2">
      <c r="B4693" s="38"/>
    </row>
    <row r="4694" spans="2:2" x14ac:dyDescent="0.2">
      <c r="B4694" s="38"/>
    </row>
    <row r="4695" spans="2:2" x14ac:dyDescent="0.2">
      <c r="B4695" s="38"/>
    </row>
    <row r="4696" spans="2:2" x14ac:dyDescent="0.2">
      <c r="B4696" s="38"/>
    </row>
    <row r="4697" spans="2:2" x14ac:dyDescent="0.2">
      <c r="B4697" s="38"/>
    </row>
    <row r="4698" spans="2:2" x14ac:dyDescent="0.2">
      <c r="B4698" s="38"/>
    </row>
    <row r="4699" spans="2:2" x14ac:dyDescent="0.2">
      <c r="B4699" s="38"/>
    </row>
    <row r="4700" spans="2:2" x14ac:dyDescent="0.2">
      <c r="B4700" s="38"/>
    </row>
    <row r="4701" spans="2:2" x14ac:dyDescent="0.2">
      <c r="B4701" s="38"/>
    </row>
    <row r="4702" spans="2:2" x14ac:dyDescent="0.2">
      <c r="B4702" s="38"/>
    </row>
    <row r="4703" spans="2:2" x14ac:dyDescent="0.2">
      <c r="B4703" s="38"/>
    </row>
    <row r="4704" spans="2:2" x14ac:dyDescent="0.2">
      <c r="B4704" s="38"/>
    </row>
    <row r="4705" spans="2:2" x14ac:dyDescent="0.2">
      <c r="B4705" s="38"/>
    </row>
    <row r="4706" spans="2:2" x14ac:dyDescent="0.2">
      <c r="B4706" s="38"/>
    </row>
    <row r="4707" spans="2:2" x14ac:dyDescent="0.2">
      <c r="B4707" s="38"/>
    </row>
    <row r="4708" spans="2:2" x14ac:dyDescent="0.2">
      <c r="B4708" s="38"/>
    </row>
    <row r="4709" spans="2:2" x14ac:dyDescent="0.2">
      <c r="B4709" s="38"/>
    </row>
    <row r="4710" spans="2:2" x14ac:dyDescent="0.2">
      <c r="B4710" s="38"/>
    </row>
    <row r="4711" spans="2:2" x14ac:dyDescent="0.2">
      <c r="B4711" s="38"/>
    </row>
    <row r="4712" spans="2:2" x14ac:dyDescent="0.2">
      <c r="B4712" s="38"/>
    </row>
    <row r="4713" spans="2:2" x14ac:dyDescent="0.2">
      <c r="B4713" s="38"/>
    </row>
    <row r="4714" spans="2:2" x14ac:dyDescent="0.2">
      <c r="B4714" s="38"/>
    </row>
    <row r="4715" spans="2:2" x14ac:dyDescent="0.2">
      <c r="B4715" s="38"/>
    </row>
    <row r="4716" spans="2:2" x14ac:dyDescent="0.2">
      <c r="B4716" s="38"/>
    </row>
    <row r="4717" spans="2:2" x14ac:dyDescent="0.2">
      <c r="B4717" s="38"/>
    </row>
    <row r="4718" spans="2:2" x14ac:dyDescent="0.2">
      <c r="B4718" s="38"/>
    </row>
    <row r="4719" spans="2:2" x14ac:dyDescent="0.2">
      <c r="B4719" s="38"/>
    </row>
    <row r="4720" spans="2:2" x14ac:dyDescent="0.2">
      <c r="B4720" s="38"/>
    </row>
    <row r="4721" spans="2:2" x14ac:dyDescent="0.2">
      <c r="B4721" s="38"/>
    </row>
    <row r="4722" spans="2:2" x14ac:dyDescent="0.2">
      <c r="B4722" s="38"/>
    </row>
    <row r="4723" spans="2:2" x14ac:dyDescent="0.2">
      <c r="B4723" s="38"/>
    </row>
    <row r="4724" spans="2:2" x14ac:dyDescent="0.2">
      <c r="B4724" s="38"/>
    </row>
    <row r="4725" spans="2:2" x14ac:dyDescent="0.2">
      <c r="B4725" s="38"/>
    </row>
    <row r="4726" spans="2:2" x14ac:dyDescent="0.2">
      <c r="B4726" s="38"/>
    </row>
    <row r="4727" spans="2:2" x14ac:dyDescent="0.2">
      <c r="B4727" s="38"/>
    </row>
    <row r="4728" spans="2:2" x14ac:dyDescent="0.2">
      <c r="B4728" s="38"/>
    </row>
    <row r="4729" spans="2:2" x14ac:dyDescent="0.2">
      <c r="B4729" s="38"/>
    </row>
    <row r="4730" spans="2:2" x14ac:dyDescent="0.2">
      <c r="B4730" s="38"/>
    </row>
    <row r="4731" spans="2:2" x14ac:dyDescent="0.2">
      <c r="B4731" s="38"/>
    </row>
    <row r="4732" spans="2:2" x14ac:dyDescent="0.2">
      <c r="B4732" s="38"/>
    </row>
    <row r="4733" spans="2:2" x14ac:dyDescent="0.2">
      <c r="B4733" s="38"/>
    </row>
    <row r="4734" spans="2:2" x14ac:dyDescent="0.2">
      <c r="B4734" s="38"/>
    </row>
    <row r="4735" spans="2:2" x14ac:dyDescent="0.2">
      <c r="B4735" s="38"/>
    </row>
    <row r="4736" spans="2:2" x14ac:dyDescent="0.2">
      <c r="B4736" s="38"/>
    </row>
    <row r="4737" spans="2:2" x14ac:dyDescent="0.2">
      <c r="B4737" s="38"/>
    </row>
    <row r="4738" spans="2:2" x14ac:dyDescent="0.2">
      <c r="B4738" s="38"/>
    </row>
    <row r="4739" spans="2:2" x14ac:dyDescent="0.2">
      <c r="B4739" s="38"/>
    </row>
    <row r="4740" spans="2:2" x14ac:dyDescent="0.2">
      <c r="B4740" s="38"/>
    </row>
    <row r="4741" spans="2:2" x14ac:dyDescent="0.2">
      <c r="B4741" s="38"/>
    </row>
    <row r="4742" spans="2:2" x14ac:dyDescent="0.2">
      <c r="B4742" s="38"/>
    </row>
    <row r="4743" spans="2:2" x14ac:dyDescent="0.2">
      <c r="B4743" s="38"/>
    </row>
    <row r="4744" spans="2:2" x14ac:dyDescent="0.2">
      <c r="B4744" s="38"/>
    </row>
    <row r="4745" spans="2:2" x14ac:dyDescent="0.2">
      <c r="B4745" s="38"/>
    </row>
    <row r="4746" spans="2:2" x14ac:dyDescent="0.2">
      <c r="B4746" s="38"/>
    </row>
    <row r="4747" spans="2:2" x14ac:dyDescent="0.2">
      <c r="B4747" s="38"/>
    </row>
    <row r="4748" spans="2:2" x14ac:dyDescent="0.2">
      <c r="B4748" s="38"/>
    </row>
    <row r="4749" spans="2:2" x14ac:dyDescent="0.2">
      <c r="B4749" s="38"/>
    </row>
    <row r="4750" spans="2:2" x14ac:dyDescent="0.2">
      <c r="B4750" s="38"/>
    </row>
    <row r="4751" spans="2:2" x14ac:dyDescent="0.2">
      <c r="B4751" s="38"/>
    </row>
    <row r="4752" spans="2:2" x14ac:dyDescent="0.2">
      <c r="B4752" s="38"/>
    </row>
    <row r="4753" spans="2:2" x14ac:dyDescent="0.2">
      <c r="B4753" s="38"/>
    </row>
    <row r="4754" spans="2:2" x14ac:dyDescent="0.2">
      <c r="B4754" s="38"/>
    </row>
    <row r="4755" spans="2:2" x14ac:dyDescent="0.2">
      <c r="B4755" s="38"/>
    </row>
    <row r="4756" spans="2:2" x14ac:dyDescent="0.2">
      <c r="B4756" s="38"/>
    </row>
    <row r="4757" spans="2:2" x14ac:dyDescent="0.2">
      <c r="B4757" s="38"/>
    </row>
    <row r="4758" spans="2:2" x14ac:dyDescent="0.2">
      <c r="B4758" s="38"/>
    </row>
    <row r="4759" spans="2:2" x14ac:dyDescent="0.2">
      <c r="B4759" s="38"/>
    </row>
    <row r="4760" spans="2:2" x14ac:dyDescent="0.2">
      <c r="B4760" s="38"/>
    </row>
    <row r="4761" spans="2:2" x14ac:dyDescent="0.2">
      <c r="B4761" s="38"/>
    </row>
    <row r="4762" spans="2:2" x14ac:dyDescent="0.2">
      <c r="B4762" s="38"/>
    </row>
    <row r="4763" spans="2:2" x14ac:dyDescent="0.2">
      <c r="B4763" s="38"/>
    </row>
    <row r="4764" spans="2:2" x14ac:dyDescent="0.2">
      <c r="B4764" s="38"/>
    </row>
    <row r="4765" spans="2:2" x14ac:dyDescent="0.2">
      <c r="B4765" s="38"/>
    </row>
    <row r="4766" spans="2:2" x14ac:dyDescent="0.2">
      <c r="B4766" s="38"/>
    </row>
    <row r="4767" spans="2:2" x14ac:dyDescent="0.2">
      <c r="B4767" s="38"/>
    </row>
    <row r="4768" spans="2:2" x14ac:dyDescent="0.2">
      <c r="B4768" s="38"/>
    </row>
    <row r="4769" spans="2:2" x14ac:dyDescent="0.2">
      <c r="B4769" s="38"/>
    </row>
    <row r="4770" spans="2:2" x14ac:dyDescent="0.2">
      <c r="B4770" s="38"/>
    </row>
    <row r="4771" spans="2:2" x14ac:dyDescent="0.2">
      <c r="B4771" s="38"/>
    </row>
    <row r="4772" spans="2:2" x14ac:dyDescent="0.2">
      <c r="B4772" s="38"/>
    </row>
    <row r="4773" spans="2:2" x14ac:dyDescent="0.2">
      <c r="B4773" s="38"/>
    </row>
    <row r="4774" spans="2:2" x14ac:dyDescent="0.2">
      <c r="B4774" s="38"/>
    </row>
    <row r="4775" spans="2:2" x14ac:dyDescent="0.2">
      <c r="B4775" s="38"/>
    </row>
    <row r="4776" spans="2:2" x14ac:dyDescent="0.2">
      <c r="B4776" s="38"/>
    </row>
    <row r="4777" spans="2:2" x14ac:dyDescent="0.2">
      <c r="B4777" s="38"/>
    </row>
    <row r="4778" spans="2:2" x14ac:dyDescent="0.2">
      <c r="B4778" s="38"/>
    </row>
    <row r="4779" spans="2:2" x14ac:dyDescent="0.2">
      <c r="B4779" s="38"/>
    </row>
    <row r="4780" spans="2:2" x14ac:dyDescent="0.2">
      <c r="B4780" s="38"/>
    </row>
    <row r="4781" spans="2:2" x14ac:dyDescent="0.2">
      <c r="B4781" s="38"/>
    </row>
    <row r="4782" spans="2:2" x14ac:dyDescent="0.2">
      <c r="B4782" s="38"/>
    </row>
    <row r="4783" spans="2:2" x14ac:dyDescent="0.2">
      <c r="B4783" s="38"/>
    </row>
    <row r="4784" spans="2:2" x14ac:dyDescent="0.2">
      <c r="B4784" s="38"/>
    </row>
    <row r="4785" spans="2:2" x14ac:dyDescent="0.2">
      <c r="B4785" s="38"/>
    </row>
    <row r="4786" spans="2:2" x14ac:dyDescent="0.2">
      <c r="B4786" s="38"/>
    </row>
    <row r="4787" spans="2:2" x14ac:dyDescent="0.2">
      <c r="B4787" s="38"/>
    </row>
    <row r="4788" spans="2:2" x14ac:dyDescent="0.2">
      <c r="B4788" s="38"/>
    </row>
    <row r="4789" spans="2:2" x14ac:dyDescent="0.2">
      <c r="B4789" s="38"/>
    </row>
    <row r="4790" spans="2:2" x14ac:dyDescent="0.2">
      <c r="B4790" s="38"/>
    </row>
    <row r="4791" spans="2:2" x14ac:dyDescent="0.2">
      <c r="B4791" s="38"/>
    </row>
    <row r="4792" spans="2:2" x14ac:dyDescent="0.2">
      <c r="B4792" s="38"/>
    </row>
    <row r="4793" spans="2:2" x14ac:dyDescent="0.2">
      <c r="B4793" s="38"/>
    </row>
    <row r="4794" spans="2:2" x14ac:dyDescent="0.2">
      <c r="B4794" s="38"/>
    </row>
    <row r="4795" spans="2:2" x14ac:dyDescent="0.2">
      <c r="B4795" s="38"/>
    </row>
    <row r="4796" spans="2:2" x14ac:dyDescent="0.2">
      <c r="B4796" s="38"/>
    </row>
    <row r="4797" spans="2:2" x14ac:dyDescent="0.2">
      <c r="B4797" s="38"/>
    </row>
    <row r="4798" spans="2:2" x14ac:dyDescent="0.2">
      <c r="B4798" s="38"/>
    </row>
    <row r="4799" spans="2:2" x14ac:dyDescent="0.2">
      <c r="B4799" s="38"/>
    </row>
    <row r="4800" spans="2:2" x14ac:dyDescent="0.2">
      <c r="B4800" s="38"/>
    </row>
    <row r="4801" spans="2:2" x14ac:dyDescent="0.2">
      <c r="B4801" s="38"/>
    </row>
    <row r="4802" spans="2:2" x14ac:dyDescent="0.2">
      <c r="B4802" s="38"/>
    </row>
    <row r="4803" spans="2:2" x14ac:dyDescent="0.2">
      <c r="B4803" s="38"/>
    </row>
    <row r="4804" spans="2:2" x14ac:dyDescent="0.2">
      <c r="B4804" s="38"/>
    </row>
    <row r="4805" spans="2:2" x14ac:dyDescent="0.2">
      <c r="B4805" s="38"/>
    </row>
    <row r="4806" spans="2:2" x14ac:dyDescent="0.2">
      <c r="B4806" s="38"/>
    </row>
    <row r="4807" spans="2:2" x14ac:dyDescent="0.2">
      <c r="B4807" s="38"/>
    </row>
    <row r="4808" spans="2:2" x14ac:dyDescent="0.2">
      <c r="B4808" s="38"/>
    </row>
    <row r="4809" spans="2:2" x14ac:dyDescent="0.2">
      <c r="B4809" s="38"/>
    </row>
    <row r="4810" spans="2:2" x14ac:dyDescent="0.2">
      <c r="B4810" s="38"/>
    </row>
    <row r="4811" spans="2:2" x14ac:dyDescent="0.2">
      <c r="B4811" s="38"/>
    </row>
    <row r="4812" spans="2:2" x14ac:dyDescent="0.2">
      <c r="B4812" s="38"/>
    </row>
    <row r="4813" spans="2:2" x14ac:dyDescent="0.2">
      <c r="B4813" s="38"/>
    </row>
    <row r="4814" spans="2:2" x14ac:dyDescent="0.2">
      <c r="B4814" s="38"/>
    </row>
    <row r="4815" spans="2:2" x14ac:dyDescent="0.2">
      <c r="B4815" s="38"/>
    </row>
    <row r="4816" spans="2:2" x14ac:dyDescent="0.2">
      <c r="B4816" s="38"/>
    </row>
    <row r="4817" spans="2:2" x14ac:dyDescent="0.2">
      <c r="B4817" s="38"/>
    </row>
    <row r="4818" spans="2:2" x14ac:dyDescent="0.2">
      <c r="B4818" s="38"/>
    </row>
    <row r="4819" spans="2:2" x14ac:dyDescent="0.2">
      <c r="B4819" s="38"/>
    </row>
    <row r="4820" spans="2:2" x14ac:dyDescent="0.2">
      <c r="B4820" s="38"/>
    </row>
    <row r="4821" spans="2:2" x14ac:dyDescent="0.2">
      <c r="B4821" s="38"/>
    </row>
    <row r="4822" spans="2:2" x14ac:dyDescent="0.2">
      <c r="B4822" s="38"/>
    </row>
    <row r="4823" spans="2:2" x14ac:dyDescent="0.2">
      <c r="B4823" s="38"/>
    </row>
    <row r="4824" spans="2:2" x14ac:dyDescent="0.2">
      <c r="B4824" s="38"/>
    </row>
    <row r="4825" spans="2:2" x14ac:dyDescent="0.2">
      <c r="B4825" s="38"/>
    </row>
    <row r="4826" spans="2:2" x14ac:dyDescent="0.2">
      <c r="B4826" s="38"/>
    </row>
    <row r="4827" spans="2:2" x14ac:dyDescent="0.2">
      <c r="B4827" s="38"/>
    </row>
    <row r="4828" spans="2:2" x14ac:dyDescent="0.2">
      <c r="B4828" s="38"/>
    </row>
    <row r="4829" spans="2:2" x14ac:dyDescent="0.2">
      <c r="B4829" s="38"/>
    </row>
    <row r="4830" spans="2:2" x14ac:dyDescent="0.2">
      <c r="B4830" s="38"/>
    </row>
    <row r="4831" spans="2:2" x14ac:dyDescent="0.2">
      <c r="B4831" s="38"/>
    </row>
    <row r="4832" spans="2:2" x14ac:dyDescent="0.2">
      <c r="B4832" s="38"/>
    </row>
    <row r="4833" spans="2:2" x14ac:dyDescent="0.2">
      <c r="B4833" s="38"/>
    </row>
    <row r="4834" spans="2:2" x14ac:dyDescent="0.2">
      <c r="B4834" s="38"/>
    </row>
    <row r="4835" spans="2:2" x14ac:dyDescent="0.2">
      <c r="B4835" s="38"/>
    </row>
    <row r="4836" spans="2:2" x14ac:dyDescent="0.2">
      <c r="B4836" s="38"/>
    </row>
    <row r="4837" spans="2:2" x14ac:dyDescent="0.2">
      <c r="B4837" s="38"/>
    </row>
    <row r="4838" spans="2:2" x14ac:dyDescent="0.2">
      <c r="B4838" s="38"/>
    </row>
    <row r="4839" spans="2:2" x14ac:dyDescent="0.2">
      <c r="B4839" s="38"/>
    </row>
    <row r="4840" spans="2:2" x14ac:dyDescent="0.2">
      <c r="B4840" s="38"/>
    </row>
    <row r="4841" spans="2:2" x14ac:dyDescent="0.2">
      <c r="B4841" s="38"/>
    </row>
    <row r="4842" spans="2:2" x14ac:dyDescent="0.2">
      <c r="B4842" s="38"/>
    </row>
    <row r="4843" spans="2:2" x14ac:dyDescent="0.2">
      <c r="B4843" s="38"/>
    </row>
    <row r="4844" spans="2:2" x14ac:dyDescent="0.2">
      <c r="B4844" s="38"/>
    </row>
    <row r="4845" spans="2:2" x14ac:dyDescent="0.2">
      <c r="B4845" s="38"/>
    </row>
    <row r="4846" spans="2:2" x14ac:dyDescent="0.2">
      <c r="B4846" s="38"/>
    </row>
    <row r="4847" spans="2:2" x14ac:dyDescent="0.2">
      <c r="B4847" s="38"/>
    </row>
    <row r="4848" spans="2:2" x14ac:dyDescent="0.2">
      <c r="B4848" s="38"/>
    </row>
    <row r="4849" spans="2:2" x14ac:dyDescent="0.2">
      <c r="B4849" s="38"/>
    </row>
    <row r="4850" spans="2:2" x14ac:dyDescent="0.2">
      <c r="B4850" s="38"/>
    </row>
    <row r="4851" spans="2:2" x14ac:dyDescent="0.2">
      <c r="B4851" s="38"/>
    </row>
    <row r="4852" spans="2:2" x14ac:dyDescent="0.2">
      <c r="B4852" s="38"/>
    </row>
    <row r="4853" spans="2:2" x14ac:dyDescent="0.2">
      <c r="B4853" s="38"/>
    </row>
    <row r="4854" spans="2:2" x14ac:dyDescent="0.2">
      <c r="B4854" s="38"/>
    </row>
    <row r="4855" spans="2:2" x14ac:dyDescent="0.2">
      <c r="B4855" s="38"/>
    </row>
    <row r="4856" spans="2:2" x14ac:dyDescent="0.2">
      <c r="B4856" s="38"/>
    </row>
    <row r="4857" spans="2:2" x14ac:dyDescent="0.2">
      <c r="B4857" s="38"/>
    </row>
    <row r="4858" spans="2:2" x14ac:dyDescent="0.2">
      <c r="B4858" s="38"/>
    </row>
    <row r="4859" spans="2:2" x14ac:dyDescent="0.2">
      <c r="B4859" s="38"/>
    </row>
    <row r="4860" spans="2:2" x14ac:dyDescent="0.2">
      <c r="B4860" s="38"/>
    </row>
    <row r="4861" spans="2:2" x14ac:dyDescent="0.2">
      <c r="B4861" s="38"/>
    </row>
    <row r="4862" spans="2:2" x14ac:dyDescent="0.2">
      <c r="B4862" s="38"/>
    </row>
    <row r="4863" spans="2:2" x14ac:dyDescent="0.2">
      <c r="B4863" s="38"/>
    </row>
    <row r="4864" spans="2:2" x14ac:dyDescent="0.2">
      <c r="B4864" s="38"/>
    </row>
    <row r="4865" spans="2:2" x14ac:dyDescent="0.2">
      <c r="B4865" s="38"/>
    </row>
    <row r="4866" spans="2:2" x14ac:dyDescent="0.2">
      <c r="B4866" s="38"/>
    </row>
    <row r="4867" spans="2:2" x14ac:dyDescent="0.2">
      <c r="B4867" s="38"/>
    </row>
    <row r="4868" spans="2:2" x14ac:dyDescent="0.2">
      <c r="B4868" s="38"/>
    </row>
    <row r="4869" spans="2:2" x14ac:dyDescent="0.2">
      <c r="B4869" s="38"/>
    </row>
    <row r="4870" spans="2:2" x14ac:dyDescent="0.2">
      <c r="B4870" s="38"/>
    </row>
    <row r="4871" spans="2:2" x14ac:dyDescent="0.2">
      <c r="B4871" s="38"/>
    </row>
    <row r="4872" spans="2:2" x14ac:dyDescent="0.2">
      <c r="B4872" s="38"/>
    </row>
    <row r="4873" spans="2:2" x14ac:dyDescent="0.2">
      <c r="B4873" s="38"/>
    </row>
    <row r="4874" spans="2:2" x14ac:dyDescent="0.2">
      <c r="B4874" s="38"/>
    </row>
    <row r="4875" spans="2:2" x14ac:dyDescent="0.2">
      <c r="B4875" s="38"/>
    </row>
    <row r="4876" spans="2:2" x14ac:dyDescent="0.2">
      <c r="B4876" s="38"/>
    </row>
    <row r="4877" spans="2:2" x14ac:dyDescent="0.2">
      <c r="B4877" s="38"/>
    </row>
    <row r="4878" spans="2:2" x14ac:dyDescent="0.2">
      <c r="B4878" s="38"/>
    </row>
    <row r="4879" spans="2:2" x14ac:dyDescent="0.2">
      <c r="B4879" s="38"/>
    </row>
    <row r="4880" spans="2:2" x14ac:dyDescent="0.2">
      <c r="B4880" s="38"/>
    </row>
    <row r="4881" spans="2:2" x14ac:dyDescent="0.2">
      <c r="B4881" s="38"/>
    </row>
    <row r="4882" spans="2:2" x14ac:dyDescent="0.2">
      <c r="B4882" s="38"/>
    </row>
    <row r="4883" spans="2:2" x14ac:dyDescent="0.2">
      <c r="B4883" s="38"/>
    </row>
    <row r="4884" spans="2:2" x14ac:dyDescent="0.2">
      <c r="B4884" s="38"/>
    </row>
    <row r="4885" spans="2:2" x14ac:dyDescent="0.2">
      <c r="B4885" s="38"/>
    </row>
    <row r="4886" spans="2:2" x14ac:dyDescent="0.2">
      <c r="B4886" s="38"/>
    </row>
    <row r="4887" spans="2:2" x14ac:dyDescent="0.2">
      <c r="B4887" s="38"/>
    </row>
    <row r="4888" spans="2:2" x14ac:dyDescent="0.2">
      <c r="B4888" s="38"/>
    </row>
    <row r="4889" spans="2:2" x14ac:dyDescent="0.2">
      <c r="B4889" s="38"/>
    </row>
    <row r="4890" spans="2:2" x14ac:dyDescent="0.2">
      <c r="B4890" s="38"/>
    </row>
    <row r="4891" spans="2:2" x14ac:dyDescent="0.2">
      <c r="B4891" s="38"/>
    </row>
    <row r="4892" spans="2:2" x14ac:dyDescent="0.2">
      <c r="B4892" s="38"/>
    </row>
    <row r="4893" spans="2:2" x14ac:dyDescent="0.2">
      <c r="B4893" s="38"/>
    </row>
    <row r="4894" spans="2:2" x14ac:dyDescent="0.2">
      <c r="B4894" s="38"/>
    </row>
    <row r="4895" spans="2:2" x14ac:dyDescent="0.2">
      <c r="B4895" s="38"/>
    </row>
    <row r="4896" spans="2:2" x14ac:dyDescent="0.2">
      <c r="B4896" s="38"/>
    </row>
    <row r="4897" spans="2:2" x14ac:dyDescent="0.2">
      <c r="B4897" s="38"/>
    </row>
    <row r="4898" spans="2:2" x14ac:dyDescent="0.2">
      <c r="B4898" s="38"/>
    </row>
    <row r="4899" spans="2:2" x14ac:dyDescent="0.2">
      <c r="B4899" s="38"/>
    </row>
    <row r="4900" spans="2:2" x14ac:dyDescent="0.2">
      <c r="B4900" s="38"/>
    </row>
    <row r="4901" spans="2:2" x14ac:dyDescent="0.2">
      <c r="B4901" s="38"/>
    </row>
    <row r="4902" spans="2:2" x14ac:dyDescent="0.2">
      <c r="B4902" s="38"/>
    </row>
    <row r="4903" spans="2:2" x14ac:dyDescent="0.2">
      <c r="B4903" s="38"/>
    </row>
    <row r="4904" spans="2:2" x14ac:dyDescent="0.2">
      <c r="B4904" s="38"/>
    </row>
    <row r="4905" spans="2:2" x14ac:dyDescent="0.2">
      <c r="B4905" s="38"/>
    </row>
    <row r="4906" spans="2:2" x14ac:dyDescent="0.2">
      <c r="B4906" s="38"/>
    </row>
    <row r="4907" spans="2:2" x14ac:dyDescent="0.2">
      <c r="B4907" s="38"/>
    </row>
    <row r="4908" spans="2:2" x14ac:dyDescent="0.2">
      <c r="B4908" s="38"/>
    </row>
    <row r="4909" spans="2:2" x14ac:dyDescent="0.2">
      <c r="B4909" s="38"/>
    </row>
    <row r="4910" spans="2:2" x14ac:dyDescent="0.2">
      <c r="B4910" s="38"/>
    </row>
    <row r="4911" spans="2:2" x14ac:dyDescent="0.2">
      <c r="B4911" s="38"/>
    </row>
    <row r="4912" spans="2:2" x14ac:dyDescent="0.2">
      <c r="B4912" s="38"/>
    </row>
    <row r="4913" spans="2:2" x14ac:dyDescent="0.2">
      <c r="B4913" s="38"/>
    </row>
    <row r="4914" spans="2:2" x14ac:dyDescent="0.2">
      <c r="B4914" s="38"/>
    </row>
    <row r="4915" spans="2:2" x14ac:dyDescent="0.2">
      <c r="B4915" s="38"/>
    </row>
    <row r="4916" spans="2:2" x14ac:dyDescent="0.2">
      <c r="B4916" s="38"/>
    </row>
    <row r="4917" spans="2:2" x14ac:dyDescent="0.2">
      <c r="B4917" s="38"/>
    </row>
    <row r="4918" spans="2:2" x14ac:dyDescent="0.2">
      <c r="B4918" s="38"/>
    </row>
    <row r="4919" spans="2:2" x14ac:dyDescent="0.2">
      <c r="B4919" s="38"/>
    </row>
    <row r="4920" spans="2:2" x14ac:dyDescent="0.2">
      <c r="B4920" s="38"/>
    </row>
    <row r="4921" spans="2:2" x14ac:dyDescent="0.2">
      <c r="B4921" s="38"/>
    </row>
    <row r="4922" spans="2:2" x14ac:dyDescent="0.2">
      <c r="B4922" s="38"/>
    </row>
    <row r="4923" spans="2:2" x14ac:dyDescent="0.2">
      <c r="B4923" s="38"/>
    </row>
    <row r="4924" spans="2:2" x14ac:dyDescent="0.2">
      <c r="B4924" s="38"/>
    </row>
    <row r="4925" spans="2:2" x14ac:dyDescent="0.2">
      <c r="B4925" s="38"/>
    </row>
    <row r="4926" spans="2:2" x14ac:dyDescent="0.2">
      <c r="B4926" s="38"/>
    </row>
    <row r="4927" spans="2:2" x14ac:dyDescent="0.2">
      <c r="B4927" s="38"/>
    </row>
    <row r="4928" spans="2:2" x14ac:dyDescent="0.2">
      <c r="B4928" s="38"/>
    </row>
    <row r="4929" spans="2:2" x14ac:dyDescent="0.2">
      <c r="B4929" s="38"/>
    </row>
    <row r="4930" spans="2:2" x14ac:dyDescent="0.2">
      <c r="B4930" s="38"/>
    </row>
    <row r="4931" spans="2:2" x14ac:dyDescent="0.2">
      <c r="B4931" s="38"/>
    </row>
    <row r="4932" spans="2:2" x14ac:dyDescent="0.2">
      <c r="B4932" s="38"/>
    </row>
    <row r="4933" spans="2:2" x14ac:dyDescent="0.2">
      <c r="B4933" s="38"/>
    </row>
    <row r="4934" spans="2:2" x14ac:dyDescent="0.2">
      <c r="B4934" s="38"/>
    </row>
    <row r="4935" spans="2:2" x14ac:dyDescent="0.2">
      <c r="B4935" s="38"/>
    </row>
    <row r="4936" spans="2:2" x14ac:dyDescent="0.2">
      <c r="B4936" s="38"/>
    </row>
    <row r="4937" spans="2:2" x14ac:dyDescent="0.2">
      <c r="B4937" s="38"/>
    </row>
    <row r="4938" spans="2:2" x14ac:dyDescent="0.2">
      <c r="B4938" s="38"/>
    </row>
    <row r="4939" spans="2:2" x14ac:dyDescent="0.2">
      <c r="B4939" s="38"/>
    </row>
    <row r="4940" spans="2:2" x14ac:dyDescent="0.2">
      <c r="B4940" s="38"/>
    </row>
    <row r="4941" spans="2:2" x14ac:dyDescent="0.2">
      <c r="B4941" s="38"/>
    </row>
    <row r="4942" spans="2:2" x14ac:dyDescent="0.2">
      <c r="B4942" s="38"/>
    </row>
    <row r="4943" spans="2:2" x14ac:dyDescent="0.2">
      <c r="B4943" s="38"/>
    </row>
    <row r="4944" spans="2:2" x14ac:dyDescent="0.2">
      <c r="B4944" s="38"/>
    </row>
    <row r="4945" spans="2:2" x14ac:dyDescent="0.2">
      <c r="B4945" s="38"/>
    </row>
    <row r="4946" spans="2:2" x14ac:dyDescent="0.2">
      <c r="B4946" s="38"/>
    </row>
    <row r="4947" spans="2:2" x14ac:dyDescent="0.2">
      <c r="B4947" s="38"/>
    </row>
    <row r="4948" spans="2:2" x14ac:dyDescent="0.2">
      <c r="B4948" s="38"/>
    </row>
    <row r="4949" spans="2:2" x14ac:dyDescent="0.2">
      <c r="B4949" s="38"/>
    </row>
    <row r="4950" spans="2:2" x14ac:dyDescent="0.2">
      <c r="B4950" s="38"/>
    </row>
    <row r="4951" spans="2:2" x14ac:dyDescent="0.2">
      <c r="B4951" s="38"/>
    </row>
    <row r="4952" spans="2:2" x14ac:dyDescent="0.2">
      <c r="B4952" s="38"/>
    </row>
    <row r="4953" spans="2:2" x14ac:dyDescent="0.2">
      <c r="B4953" s="38"/>
    </row>
    <row r="4954" spans="2:2" x14ac:dyDescent="0.2">
      <c r="B4954" s="38"/>
    </row>
    <row r="4955" spans="2:2" x14ac:dyDescent="0.2">
      <c r="B4955" s="38"/>
    </row>
    <row r="4956" spans="2:2" x14ac:dyDescent="0.2">
      <c r="B4956" s="38"/>
    </row>
    <row r="4957" spans="2:2" x14ac:dyDescent="0.2">
      <c r="B4957" s="38"/>
    </row>
    <row r="4958" spans="2:2" x14ac:dyDescent="0.2">
      <c r="B4958" s="38"/>
    </row>
    <row r="4959" spans="2:2" x14ac:dyDescent="0.2">
      <c r="B4959" s="38"/>
    </row>
    <row r="4960" spans="2:2" x14ac:dyDescent="0.2">
      <c r="B4960" s="38"/>
    </row>
    <row r="4961" spans="2:2" x14ac:dyDescent="0.2">
      <c r="B4961" s="38"/>
    </row>
    <row r="4962" spans="2:2" x14ac:dyDescent="0.2">
      <c r="B4962" s="38"/>
    </row>
    <row r="4963" spans="2:2" x14ac:dyDescent="0.2">
      <c r="B4963" s="38"/>
    </row>
    <row r="4964" spans="2:2" x14ac:dyDescent="0.2">
      <c r="B4964" s="38"/>
    </row>
    <row r="4965" spans="2:2" x14ac:dyDescent="0.2">
      <c r="B4965" s="38"/>
    </row>
    <row r="4966" spans="2:2" x14ac:dyDescent="0.2">
      <c r="B4966" s="38"/>
    </row>
    <row r="4967" spans="2:2" x14ac:dyDescent="0.2">
      <c r="B4967" s="38"/>
    </row>
    <row r="4968" spans="2:2" x14ac:dyDescent="0.2">
      <c r="B4968" s="38"/>
    </row>
    <row r="4969" spans="2:2" x14ac:dyDescent="0.2">
      <c r="B4969" s="38"/>
    </row>
    <row r="4970" spans="2:2" x14ac:dyDescent="0.2">
      <c r="B4970" s="38"/>
    </row>
    <row r="4971" spans="2:2" x14ac:dyDescent="0.2">
      <c r="B4971" s="38"/>
    </row>
    <row r="4972" spans="2:2" x14ac:dyDescent="0.2">
      <c r="B4972" s="38"/>
    </row>
    <row r="4973" spans="2:2" x14ac:dyDescent="0.2">
      <c r="B4973" s="38"/>
    </row>
    <row r="4974" spans="2:2" x14ac:dyDescent="0.2">
      <c r="B4974" s="38"/>
    </row>
    <row r="4975" spans="2:2" x14ac:dyDescent="0.2">
      <c r="B4975" s="38"/>
    </row>
    <row r="4976" spans="2:2" x14ac:dyDescent="0.2">
      <c r="B4976" s="38"/>
    </row>
    <row r="4977" spans="2:2" x14ac:dyDescent="0.2">
      <c r="B4977" s="38"/>
    </row>
    <row r="4978" spans="2:2" x14ac:dyDescent="0.2">
      <c r="B4978" s="38"/>
    </row>
    <row r="4979" spans="2:2" x14ac:dyDescent="0.2">
      <c r="B4979" s="38"/>
    </row>
    <row r="4980" spans="2:2" x14ac:dyDescent="0.2">
      <c r="B4980" s="38"/>
    </row>
    <row r="4981" spans="2:2" x14ac:dyDescent="0.2">
      <c r="B4981" s="38"/>
    </row>
    <row r="4982" spans="2:2" x14ac:dyDescent="0.2">
      <c r="B4982" s="38"/>
    </row>
    <row r="4983" spans="2:2" x14ac:dyDescent="0.2">
      <c r="B4983" s="38"/>
    </row>
    <row r="4984" spans="2:2" x14ac:dyDescent="0.2">
      <c r="B4984" s="38"/>
    </row>
    <row r="4985" spans="2:2" x14ac:dyDescent="0.2">
      <c r="B4985" s="38"/>
    </row>
    <row r="4986" spans="2:2" x14ac:dyDescent="0.2">
      <c r="B4986" s="38"/>
    </row>
    <row r="4987" spans="2:2" x14ac:dyDescent="0.2">
      <c r="B4987" s="38"/>
    </row>
    <row r="4988" spans="2:2" x14ac:dyDescent="0.2">
      <c r="B4988" s="38"/>
    </row>
    <row r="4989" spans="2:2" x14ac:dyDescent="0.2">
      <c r="B4989" s="38"/>
    </row>
    <row r="4990" spans="2:2" x14ac:dyDescent="0.2">
      <c r="B4990" s="38"/>
    </row>
    <row r="4991" spans="2:2" x14ac:dyDescent="0.2">
      <c r="B4991" s="38"/>
    </row>
    <row r="4992" spans="2:2" x14ac:dyDescent="0.2">
      <c r="B4992" s="38"/>
    </row>
    <row r="4993" spans="2:2" x14ac:dyDescent="0.2">
      <c r="B4993" s="38"/>
    </row>
    <row r="4994" spans="2:2" x14ac:dyDescent="0.2">
      <c r="B4994" s="38"/>
    </row>
    <row r="4995" spans="2:2" x14ac:dyDescent="0.2">
      <c r="B4995" s="38"/>
    </row>
    <row r="4996" spans="2:2" x14ac:dyDescent="0.2">
      <c r="B4996" s="38"/>
    </row>
    <row r="4997" spans="2:2" x14ac:dyDescent="0.2">
      <c r="B4997" s="38"/>
    </row>
    <row r="4998" spans="2:2" x14ac:dyDescent="0.2">
      <c r="B4998" s="38"/>
    </row>
    <row r="4999" spans="2:2" x14ac:dyDescent="0.2">
      <c r="B4999" s="38"/>
    </row>
    <row r="5000" spans="2:2" x14ac:dyDescent="0.2">
      <c r="B5000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01"/>
  <sheetViews>
    <sheetView topLeftCell="J1" workbookViewId="0">
      <selection activeCell="S16" sqref="S16"/>
    </sheetView>
  </sheetViews>
  <sheetFormatPr defaultColWidth="8.7109375" defaultRowHeight="12.75" x14ac:dyDescent="0.2"/>
  <cols>
    <col min="2" max="2" width="10.140625" customWidth="1"/>
    <col min="6" max="6" width="13.42578125" customWidth="1"/>
    <col min="7" max="7" width="10" customWidth="1"/>
    <col min="12" max="12" width="11.28515625" customWidth="1"/>
    <col min="16" max="17" width="11.7109375" customWidth="1"/>
  </cols>
  <sheetData>
    <row r="1" spans="1:19" x14ac:dyDescent="0.2">
      <c r="A1" s="1">
        <v>39612</v>
      </c>
      <c r="F1" s="6">
        <v>40139</v>
      </c>
      <c r="K1" s="6">
        <v>40605</v>
      </c>
      <c r="P1" s="6">
        <v>41502</v>
      </c>
    </row>
    <row r="2" spans="1:19" x14ac:dyDescent="0.2">
      <c r="A2" t="s">
        <v>85</v>
      </c>
      <c r="B2" s="1">
        <v>32568</v>
      </c>
      <c r="C2">
        <v>46</v>
      </c>
      <c r="D2">
        <v>1500</v>
      </c>
      <c r="F2" t="s">
        <v>85</v>
      </c>
      <c r="G2" s="1">
        <v>32568</v>
      </c>
      <c r="H2">
        <v>46</v>
      </c>
      <c r="I2">
        <v>1500</v>
      </c>
      <c r="K2" t="s">
        <v>85</v>
      </c>
      <c r="L2" s="1">
        <v>32568</v>
      </c>
      <c r="M2">
        <v>46</v>
      </c>
      <c r="N2">
        <v>1500</v>
      </c>
      <c r="P2" t="s">
        <v>85</v>
      </c>
      <c r="Q2" s="1">
        <v>32568</v>
      </c>
      <c r="R2">
        <v>46</v>
      </c>
      <c r="S2">
        <v>1500</v>
      </c>
    </row>
    <row r="3" spans="1:19" x14ac:dyDescent="0.2">
      <c r="A3" t="s">
        <v>85</v>
      </c>
      <c r="B3" s="1">
        <v>32660</v>
      </c>
      <c r="C3">
        <v>47</v>
      </c>
      <c r="D3">
        <v>1500</v>
      </c>
      <c r="F3" t="s">
        <v>85</v>
      </c>
      <c r="G3" s="1">
        <v>32660</v>
      </c>
      <c r="H3">
        <v>47</v>
      </c>
      <c r="I3">
        <v>1500</v>
      </c>
      <c r="K3" t="s">
        <v>85</v>
      </c>
      <c r="L3" s="1">
        <v>32660</v>
      </c>
      <c r="M3">
        <v>47</v>
      </c>
      <c r="N3">
        <v>1500</v>
      </c>
      <c r="P3" t="s">
        <v>85</v>
      </c>
      <c r="Q3" s="1">
        <v>32660</v>
      </c>
      <c r="R3">
        <v>47</v>
      </c>
      <c r="S3">
        <v>1500</v>
      </c>
    </row>
    <row r="4" spans="1:19" x14ac:dyDescent="0.2">
      <c r="A4" t="s">
        <v>85</v>
      </c>
      <c r="B4" s="1">
        <v>32752</v>
      </c>
      <c r="C4">
        <v>44</v>
      </c>
      <c r="D4">
        <v>1500</v>
      </c>
      <c r="F4" t="s">
        <v>85</v>
      </c>
      <c r="G4" s="1">
        <v>32752</v>
      </c>
      <c r="H4">
        <v>44</v>
      </c>
      <c r="I4">
        <v>1500</v>
      </c>
      <c r="K4" t="s">
        <v>85</v>
      </c>
      <c r="L4" s="1">
        <v>32752</v>
      </c>
      <c r="M4">
        <v>44</v>
      </c>
      <c r="N4">
        <v>1500</v>
      </c>
      <c r="P4" t="s">
        <v>85</v>
      </c>
      <c r="Q4" s="1">
        <v>32752</v>
      </c>
      <c r="R4">
        <v>44</v>
      </c>
      <c r="S4">
        <v>1500</v>
      </c>
    </row>
    <row r="5" spans="1:19" x14ac:dyDescent="0.2">
      <c r="A5" t="s">
        <v>85</v>
      </c>
      <c r="B5" s="1">
        <v>32843</v>
      </c>
      <c r="C5">
        <v>46</v>
      </c>
      <c r="D5">
        <v>1500</v>
      </c>
      <c r="F5" t="s">
        <v>85</v>
      </c>
      <c r="G5" s="1">
        <v>32843</v>
      </c>
      <c r="H5">
        <v>46</v>
      </c>
      <c r="I5">
        <v>1500</v>
      </c>
      <c r="K5" t="s">
        <v>85</v>
      </c>
      <c r="L5" s="1">
        <v>32843</v>
      </c>
      <c r="M5">
        <v>46</v>
      </c>
      <c r="N5">
        <v>1500</v>
      </c>
      <c r="P5" t="s">
        <v>85</v>
      </c>
      <c r="Q5" s="1">
        <v>32843</v>
      </c>
      <c r="R5">
        <v>46</v>
      </c>
      <c r="S5">
        <v>1500</v>
      </c>
    </row>
    <row r="6" spans="1:19" x14ac:dyDescent="0.2">
      <c r="A6" t="s">
        <v>85</v>
      </c>
      <c r="B6" s="1">
        <v>32933</v>
      </c>
      <c r="C6">
        <v>44</v>
      </c>
      <c r="D6">
        <v>1500</v>
      </c>
      <c r="F6" t="s">
        <v>85</v>
      </c>
      <c r="G6" s="1">
        <v>32933</v>
      </c>
      <c r="H6">
        <v>44</v>
      </c>
      <c r="I6">
        <v>1500</v>
      </c>
      <c r="K6" t="s">
        <v>85</v>
      </c>
      <c r="L6" s="1">
        <v>32933</v>
      </c>
      <c r="M6">
        <v>44</v>
      </c>
      <c r="N6">
        <v>1500</v>
      </c>
      <c r="P6" t="s">
        <v>85</v>
      </c>
      <c r="Q6" s="1">
        <v>32933</v>
      </c>
      <c r="R6">
        <v>44</v>
      </c>
      <c r="S6">
        <v>1500</v>
      </c>
    </row>
    <row r="7" spans="1:19" x14ac:dyDescent="0.2">
      <c r="A7" t="s">
        <v>85</v>
      </c>
      <c r="B7" s="1">
        <v>33025</v>
      </c>
      <c r="C7">
        <v>35</v>
      </c>
      <c r="D7">
        <v>1500</v>
      </c>
      <c r="F7" t="s">
        <v>85</v>
      </c>
      <c r="G7" s="1">
        <v>33025</v>
      </c>
      <c r="H7">
        <v>35</v>
      </c>
      <c r="I7">
        <v>1500</v>
      </c>
      <c r="K7" t="s">
        <v>85</v>
      </c>
      <c r="L7" s="1">
        <v>33025</v>
      </c>
      <c r="M7">
        <v>35</v>
      </c>
      <c r="N7">
        <v>1500</v>
      </c>
      <c r="P7" t="s">
        <v>85</v>
      </c>
      <c r="Q7" s="1">
        <v>33025</v>
      </c>
      <c r="R7">
        <v>35</v>
      </c>
      <c r="S7">
        <v>1500</v>
      </c>
    </row>
    <row r="8" spans="1:19" x14ac:dyDescent="0.2">
      <c r="A8" t="s">
        <v>85</v>
      </c>
      <c r="B8" s="1">
        <v>33117</v>
      </c>
      <c r="C8">
        <v>37</v>
      </c>
      <c r="D8">
        <v>1500</v>
      </c>
      <c r="F8" t="s">
        <v>85</v>
      </c>
      <c r="G8" s="1">
        <v>33117</v>
      </c>
      <c r="H8">
        <v>37</v>
      </c>
      <c r="I8">
        <v>1500</v>
      </c>
      <c r="K8" t="s">
        <v>85</v>
      </c>
      <c r="L8" s="1">
        <v>33117</v>
      </c>
      <c r="M8">
        <v>37</v>
      </c>
      <c r="N8">
        <v>1500</v>
      </c>
      <c r="P8" t="s">
        <v>85</v>
      </c>
      <c r="Q8" s="1">
        <v>33117</v>
      </c>
      <c r="R8">
        <v>37</v>
      </c>
      <c r="S8">
        <v>1500</v>
      </c>
    </row>
    <row r="9" spans="1:19" x14ac:dyDescent="0.2">
      <c r="A9" t="s">
        <v>85</v>
      </c>
      <c r="B9" s="1">
        <v>33208</v>
      </c>
      <c r="C9">
        <v>41</v>
      </c>
      <c r="D9">
        <v>1500</v>
      </c>
      <c r="F9" t="s">
        <v>85</v>
      </c>
      <c r="G9" s="1">
        <v>33208</v>
      </c>
      <c r="H9">
        <v>41</v>
      </c>
      <c r="I9">
        <v>1500</v>
      </c>
      <c r="K9" t="s">
        <v>85</v>
      </c>
      <c r="L9" s="1">
        <v>33208</v>
      </c>
      <c r="M9">
        <v>41</v>
      </c>
      <c r="N9">
        <v>1500</v>
      </c>
      <c r="P9" t="s">
        <v>85</v>
      </c>
      <c r="Q9" s="1">
        <v>33208</v>
      </c>
      <c r="R9">
        <v>41</v>
      </c>
      <c r="S9">
        <v>1500</v>
      </c>
    </row>
    <row r="10" spans="1:19" x14ac:dyDescent="0.2">
      <c r="A10" t="s">
        <v>85</v>
      </c>
      <c r="B10" s="1">
        <v>33298</v>
      </c>
      <c r="C10">
        <v>45</v>
      </c>
      <c r="D10">
        <v>1500</v>
      </c>
      <c r="F10" t="s">
        <v>85</v>
      </c>
      <c r="G10" s="1">
        <v>33298</v>
      </c>
      <c r="H10">
        <v>45</v>
      </c>
      <c r="I10">
        <v>1500</v>
      </c>
      <c r="K10" t="s">
        <v>85</v>
      </c>
      <c r="L10" s="1">
        <v>33298</v>
      </c>
      <c r="M10">
        <v>45</v>
      </c>
      <c r="N10">
        <v>1500</v>
      </c>
      <c r="P10" t="s">
        <v>85</v>
      </c>
      <c r="Q10" s="1">
        <v>33298</v>
      </c>
      <c r="R10">
        <v>45</v>
      </c>
      <c r="S10">
        <v>1500</v>
      </c>
    </row>
    <row r="11" spans="1:19" x14ac:dyDescent="0.2">
      <c r="A11" t="s">
        <v>85</v>
      </c>
      <c r="B11" s="1">
        <v>33390</v>
      </c>
      <c r="C11">
        <v>44</v>
      </c>
      <c r="D11">
        <v>1500</v>
      </c>
      <c r="F11" t="s">
        <v>85</v>
      </c>
      <c r="G11" s="1">
        <v>33390</v>
      </c>
      <c r="H11">
        <v>44</v>
      </c>
      <c r="I11">
        <v>1500</v>
      </c>
      <c r="K11" t="s">
        <v>85</v>
      </c>
      <c r="L11" s="1">
        <v>33390</v>
      </c>
      <c r="M11">
        <v>44</v>
      </c>
      <c r="N11">
        <v>1500</v>
      </c>
      <c r="P11" t="s">
        <v>85</v>
      </c>
      <c r="Q11" s="1">
        <v>33390</v>
      </c>
      <c r="R11">
        <v>44</v>
      </c>
      <c r="S11">
        <v>1500</v>
      </c>
    </row>
    <row r="12" spans="1:19" x14ac:dyDescent="0.2">
      <c r="A12" t="s">
        <v>85</v>
      </c>
      <c r="B12" s="1">
        <v>33482</v>
      </c>
      <c r="C12">
        <v>37</v>
      </c>
      <c r="D12">
        <v>1500</v>
      </c>
      <c r="F12" t="s">
        <v>85</v>
      </c>
      <c r="G12" s="1">
        <v>33482</v>
      </c>
      <c r="H12">
        <v>37</v>
      </c>
      <c r="I12">
        <v>1500</v>
      </c>
      <c r="K12" t="s">
        <v>85</v>
      </c>
      <c r="L12" s="1">
        <v>33482</v>
      </c>
      <c r="M12">
        <v>37</v>
      </c>
      <c r="N12">
        <v>1500</v>
      </c>
      <c r="P12" t="s">
        <v>85</v>
      </c>
      <c r="Q12" s="1">
        <v>33482</v>
      </c>
      <c r="R12">
        <v>37</v>
      </c>
      <c r="S12">
        <v>1500</v>
      </c>
    </row>
    <row r="13" spans="1:19" x14ac:dyDescent="0.2">
      <c r="A13" t="s">
        <v>85</v>
      </c>
      <c r="B13" s="1">
        <v>33573</v>
      </c>
      <c r="C13">
        <v>36</v>
      </c>
      <c r="D13">
        <v>1500</v>
      </c>
      <c r="F13" t="s">
        <v>85</v>
      </c>
      <c r="G13" s="1">
        <v>33573</v>
      </c>
      <c r="H13">
        <v>36</v>
      </c>
      <c r="I13">
        <v>1500</v>
      </c>
      <c r="K13" t="s">
        <v>85</v>
      </c>
      <c r="L13" s="1">
        <v>33573</v>
      </c>
      <c r="M13">
        <v>36</v>
      </c>
      <c r="N13">
        <v>1500</v>
      </c>
      <c r="P13" t="s">
        <v>85</v>
      </c>
      <c r="Q13" s="1">
        <v>33573</v>
      </c>
      <c r="R13">
        <v>36</v>
      </c>
      <c r="S13">
        <v>1500</v>
      </c>
    </row>
    <row r="14" spans="1:19" x14ac:dyDescent="0.2">
      <c r="A14" t="s">
        <v>85</v>
      </c>
      <c r="B14" s="1">
        <v>33664</v>
      </c>
      <c r="C14">
        <v>27</v>
      </c>
      <c r="D14">
        <v>1500</v>
      </c>
      <c r="F14" t="s">
        <v>85</v>
      </c>
      <c r="G14" s="1">
        <v>33664</v>
      </c>
      <c r="H14">
        <v>27</v>
      </c>
      <c r="I14">
        <v>1500</v>
      </c>
      <c r="K14" t="s">
        <v>85</v>
      </c>
      <c r="L14" s="1">
        <v>33664</v>
      </c>
      <c r="M14">
        <v>27</v>
      </c>
      <c r="N14">
        <v>1500</v>
      </c>
      <c r="P14" t="s">
        <v>85</v>
      </c>
      <c r="Q14" s="1">
        <v>33664</v>
      </c>
      <c r="R14">
        <v>27</v>
      </c>
      <c r="S14">
        <v>1500</v>
      </c>
    </row>
    <row r="15" spans="1:19" x14ac:dyDescent="0.2">
      <c r="A15" t="s">
        <v>85</v>
      </c>
      <c r="B15" s="1">
        <v>33756</v>
      </c>
      <c r="C15">
        <v>21</v>
      </c>
      <c r="D15">
        <v>1500</v>
      </c>
      <c r="F15" t="s">
        <v>85</v>
      </c>
      <c r="G15" s="1">
        <v>33756</v>
      </c>
      <c r="H15">
        <v>21</v>
      </c>
      <c r="I15">
        <v>1500</v>
      </c>
      <c r="K15" t="s">
        <v>85</v>
      </c>
      <c r="L15" s="1">
        <v>33756</v>
      </c>
      <c r="M15">
        <v>21</v>
      </c>
      <c r="N15">
        <v>1500</v>
      </c>
      <c r="P15" t="s">
        <v>85</v>
      </c>
      <c r="Q15" s="1">
        <v>33756</v>
      </c>
      <c r="R15">
        <v>21</v>
      </c>
      <c r="S15">
        <v>1500</v>
      </c>
    </row>
    <row r="16" spans="1:19" x14ac:dyDescent="0.2">
      <c r="A16" t="s">
        <v>85</v>
      </c>
      <c r="B16" s="1">
        <v>33848</v>
      </c>
      <c r="C16">
        <v>21</v>
      </c>
      <c r="D16">
        <v>1500</v>
      </c>
      <c r="F16" t="s">
        <v>85</v>
      </c>
      <c r="G16" s="1">
        <v>33848</v>
      </c>
      <c r="H16">
        <v>21</v>
      </c>
      <c r="I16">
        <v>1500</v>
      </c>
      <c r="K16" t="s">
        <v>85</v>
      </c>
      <c r="L16" s="1">
        <v>33848</v>
      </c>
      <c r="M16">
        <v>21</v>
      </c>
      <c r="N16">
        <v>1500</v>
      </c>
      <c r="P16" t="s">
        <v>85</v>
      </c>
      <c r="Q16" s="1">
        <v>33848</v>
      </c>
      <c r="R16">
        <v>21</v>
      </c>
      <c r="S16">
        <v>1500</v>
      </c>
    </row>
    <row r="17" spans="1:19" x14ac:dyDescent="0.2">
      <c r="A17" t="s">
        <v>85</v>
      </c>
      <c r="B17" s="1">
        <v>34135</v>
      </c>
      <c r="C17">
        <v>60</v>
      </c>
      <c r="D17">
        <v>1500</v>
      </c>
      <c r="F17" t="s">
        <v>85</v>
      </c>
      <c r="G17" s="1">
        <v>34135</v>
      </c>
      <c r="H17">
        <v>60</v>
      </c>
      <c r="I17">
        <v>1500</v>
      </c>
      <c r="K17" t="s">
        <v>85</v>
      </c>
      <c r="L17" s="1">
        <v>34121</v>
      </c>
      <c r="M17">
        <v>60</v>
      </c>
      <c r="N17">
        <v>1500</v>
      </c>
      <c r="P17" t="s">
        <v>85</v>
      </c>
      <c r="Q17" s="1">
        <v>34121</v>
      </c>
      <c r="R17">
        <v>60</v>
      </c>
      <c r="S17">
        <v>1500</v>
      </c>
    </row>
    <row r="18" spans="1:19" x14ac:dyDescent="0.2">
      <c r="A18" t="s">
        <v>85</v>
      </c>
      <c r="B18" s="1">
        <v>34213</v>
      </c>
      <c r="C18">
        <v>42</v>
      </c>
      <c r="D18">
        <v>1500</v>
      </c>
      <c r="F18" t="s">
        <v>85</v>
      </c>
      <c r="G18" s="1">
        <v>34213</v>
      </c>
      <c r="H18">
        <v>42</v>
      </c>
      <c r="I18">
        <v>1500</v>
      </c>
      <c r="K18" t="s">
        <v>85</v>
      </c>
      <c r="L18" s="1">
        <v>34213</v>
      </c>
      <c r="M18">
        <v>42</v>
      </c>
      <c r="N18">
        <v>1500</v>
      </c>
      <c r="P18" t="s">
        <v>85</v>
      </c>
      <c r="Q18" s="1">
        <v>34213</v>
      </c>
      <c r="R18">
        <v>42</v>
      </c>
      <c r="S18">
        <v>1500</v>
      </c>
    </row>
    <row r="19" spans="1:19" x14ac:dyDescent="0.2">
      <c r="A19" t="s">
        <v>85</v>
      </c>
      <c r="B19" s="1">
        <v>34394</v>
      </c>
      <c r="C19">
        <v>71</v>
      </c>
      <c r="D19">
        <v>1500</v>
      </c>
      <c r="F19" t="s">
        <v>85</v>
      </c>
      <c r="G19" s="1">
        <v>34394</v>
      </c>
      <c r="H19">
        <v>71</v>
      </c>
      <c r="I19">
        <v>1500</v>
      </c>
      <c r="K19" t="s">
        <v>85</v>
      </c>
      <c r="L19" s="1">
        <v>34394</v>
      </c>
      <c r="M19">
        <v>71</v>
      </c>
      <c r="N19">
        <v>1500</v>
      </c>
      <c r="P19" t="s">
        <v>85</v>
      </c>
      <c r="Q19" s="1">
        <v>34394</v>
      </c>
      <c r="R19">
        <v>71</v>
      </c>
      <c r="S19">
        <v>1500</v>
      </c>
    </row>
    <row r="20" spans="1:19" x14ac:dyDescent="0.2">
      <c r="A20" t="s">
        <v>85</v>
      </c>
      <c r="B20" s="1">
        <v>34486</v>
      </c>
      <c r="C20">
        <v>59</v>
      </c>
      <c r="D20">
        <v>1500</v>
      </c>
      <c r="F20" t="s">
        <v>85</v>
      </c>
      <c r="G20" s="1">
        <v>34486</v>
      </c>
      <c r="H20">
        <v>59</v>
      </c>
      <c r="I20">
        <v>1500</v>
      </c>
      <c r="K20" t="s">
        <v>85</v>
      </c>
      <c r="L20" s="1">
        <v>34486</v>
      </c>
      <c r="M20">
        <v>59</v>
      </c>
      <c r="N20">
        <v>1500</v>
      </c>
      <c r="P20" t="s">
        <v>85</v>
      </c>
      <c r="Q20" s="1">
        <v>34486</v>
      </c>
      <c r="R20">
        <v>59</v>
      </c>
      <c r="S20">
        <v>1500</v>
      </c>
    </row>
    <row r="21" spans="1:19" x14ac:dyDescent="0.2">
      <c r="A21" t="s">
        <v>85</v>
      </c>
      <c r="B21" s="1">
        <v>34943</v>
      </c>
      <c r="C21">
        <v>51</v>
      </c>
      <c r="D21">
        <v>1500</v>
      </c>
      <c r="F21" t="s">
        <v>85</v>
      </c>
      <c r="G21" s="1">
        <v>34943</v>
      </c>
      <c r="H21">
        <v>51</v>
      </c>
      <c r="I21">
        <v>1500</v>
      </c>
      <c r="K21" t="s">
        <v>85</v>
      </c>
      <c r="L21" s="1">
        <v>34943</v>
      </c>
      <c r="M21">
        <v>51</v>
      </c>
      <c r="N21">
        <v>1500</v>
      </c>
      <c r="P21" t="s">
        <v>85</v>
      </c>
      <c r="Q21" s="1">
        <v>34943</v>
      </c>
      <c r="R21">
        <v>51</v>
      </c>
      <c r="S21">
        <v>1500</v>
      </c>
    </row>
    <row r="22" spans="1:19" x14ac:dyDescent="0.2">
      <c r="A22" t="s">
        <v>85</v>
      </c>
      <c r="B22" s="1">
        <v>35034</v>
      </c>
      <c r="C22">
        <v>47</v>
      </c>
      <c r="D22">
        <v>1500</v>
      </c>
      <c r="F22" t="s">
        <v>85</v>
      </c>
      <c r="G22" s="1">
        <v>35034</v>
      </c>
      <c r="H22">
        <v>47</v>
      </c>
      <c r="I22">
        <v>1500</v>
      </c>
      <c r="K22" t="s">
        <v>85</v>
      </c>
      <c r="L22" s="1">
        <v>35034</v>
      </c>
      <c r="M22">
        <v>47</v>
      </c>
      <c r="N22">
        <v>1500</v>
      </c>
      <c r="P22" t="s">
        <v>85</v>
      </c>
      <c r="Q22" s="1">
        <v>35034</v>
      </c>
      <c r="R22">
        <v>47</v>
      </c>
      <c r="S22">
        <v>1500</v>
      </c>
    </row>
    <row r="23" spans="1:19" x14ac:dyDescent="0.2">
      <c r="A23" t="s">
        <v>85</v>
      </c>
      <c r="B23" s="1">
        <v>35125</v>
      </c>
      <c r="C23">
        <v>33</v>
      </c>
      <c r="D23">
        <v>1500</v>
      </c>
      <c r="F23" t="s">
        <v>85</v>
      </c>
      <c r="G23" s="1">
        <v>35125</v>
      </c>
      <c r="H23">
        <v>33</v>
      </c>
      <c r="I23">
        <v>1500</v>
      </c>
      <c r="K23" t="s">
        <v>85</v>
      </c>
      <c r="L23" s="1">
        <v>35125</v>
      </c>
      <c r="M23">
        <v>33</v>
      </c>
      <c r="N23">
        <v>1500</v>
      </c>
      <c r="P23" t="s">
        <v>85</v>
      </c>
      <c r="Q23" s="1">
        <v>35125</v>
      </c>
      <c r="R23">
        <v>33</v>
      </c>
      <c r="S23">
        <v>1500</v>
      </c>
    </row>
    <row r="24" spans="1:19" x14ac:dyDescent="0.2">
      <c r="A24" t="s">
        <v>85</v>
      </c>
      <c r="B24" s="1">
        <v>35217</v>
      </c>
      <c r="C24">
        <v>25</v>
      </c>
      <c r="D24">
        <v>1500</v>
      </c>
      <c r="F24" t="s">
        <v>85</v>
      </c>
      <c r="G24" s="1">
        <v>35217</v>
      </c>
      <c r="H24">
        <v>25</v>
      </c>
      <c r="I24">
        <v>1500</v>
      </c>
      <c r="K24" t="s">
        <v>85</v>
      </c>
      <c r="L24" s="1">
        <v>35217</v>
      </c>
      <c r="M24">
        <v>25</v>
      </c>
      <c r="N24">
        <v>1500</v>
      </c>
      <c r="P24" t="s">
        <v>85</v>
      </c>
      <c r="Q24" s="1">
        <v>35217</v>
      </c>
      <c r="R24">
        <v>25</v>
      </c>
      <c r="S24">
        <v>1500</v>
      </c>
    </row>
    <row r="25" spans="1:19" x14ac:dyDescent="0.2">
      <c r="A25" t="s">
        <v>85</v>
      </c>
      <c r="B25" s="1">
        <v>35309</v>
      </c>
      <c r="C25">
        <v>26</v>
      </c>
      <c r="D25">
        <v>1500</v>
      </c>
      <c r="F25" t="s">
        <v>85</v>
      </c>
      <c r="G25" s="1">
        <v>35309</v>
      </c>
      <c r="H25">
        <v>26</v>
      </c>
      <c r="I25">
        <v>1500</v>
      </c>
      <c r="K25" t="s">
        <v>85</v>
      </c>
      <c r="L25" s="1">
        <v>35309</v>
      </c>
      <c r="M25">
        <v>26</v>
      </c>
      <c r="N25">
        <v>1500</v>
      </c>
      <c r="P25" t="s">
        <v>85</v>
      </c>
      <c r="Q25" s="1">
        <v>35309</v>
      </c>
      <c r="R25">
        <v>26</v>
      </c>
      <c r="S25">
        <v>1500</v>
      </c>
    </row>
    <row r="26" spans="1:19" x14ac:dyDescent="0.2">
      <c r="A26" t="s">
        <v>85</v>
      </c>
      <c r="B26" s="1">
        <v>35400</v>
      </c>
      <c r="C26">
        <v>26</v>
      </c>
      <c r="D26">
        <v>1500</v>
      </c>
      <c r="F26" t="s">
        <v>85</v>
      </c>
      <c r="G26" s="1">
        <v>35400</v>
      </c>
      <c r="H26">
        <v>26</v>
      </c>
      <c r="I26">
        <v>1500</v>
      </c>
      <c r="K26" t="s">
        <v>85</v>
      </c>
      <c r="L26" s="1">
        <v>35400</v>
      </c>
      <c r="M26">
        <v>26</v>
      </c>
      <c r="N26">
        <v>1500</v>
      </c>
      <c r="P26" t="s">
        <v>85</v>
      </c>
      <c r="Q26" s="1">
        <v>35400</v>
      </c>
      <c r="R26">
        <v>26</v>
      </c>
      <c r="S26">
        <v>1500</v>
      </c>
    </row>
    <row r="27" spans="1:19" x14ac:dyDescent="0.2">
      <c r="A27" t="s">
        <v>85</v>
      </c>
      <c r="B27" s="1">
        <v>35674</v>
      </c>
      <c r="C27">
        <v>26</v>
      </c>
      <c r="D27">
        <v>1500</v>
      </c>
      <c r="F27" t="s">
        <v>85</v>
      </c>
      <c r="G27" s="1">
        <v>35674</v>
      </c>
      <c r="H27">
        <v>26</v>
      </c>
      <c r="I27">
        <v>1500</v>
      </c>
      <c r="K27" t="s">
        <v>85</v>
      </c>
      <c r="L27" s="1">
        <v>35674</v>
      </c>
      <c r="M27">
        <v>26</v>
      </c>
      <c r="N27">
        <v>1500</v>
      </c>
      <c r="P27" t="s">
        <v>85</v>
      </c>
      <c r="Q27" s="1">
        <v>35674</v>
      </c>
      <c r="R27">
        <v>26</v>
      </c>
      <c r="S27">
        <v>1500</v>
      </c>
    </row>
    <row r="28" spans="1:19" x14ac:dyDescent="0.2">
      <c r="A28" t="s">
        <v>85</v>
      </c>
      <c r="B28" s="1">
        <v>35855</v>
      </c>
      <c r="C28">
        <v>23</v>
      </c>
      <c r="D28">
        <v>1500</v>
      </c>
      <c r="F28" t="s">
        <v>85</v>
      </c>
      <c r="G28" s="1">
        <v>35855</v>
      </c>
      <c r="H28">
        <v>23</v>
      </c>
      <c r="I28">
        <v>1500</v>
      </c>
      <c r="K28" t="s">
        <v>85</v>
      </c>
      <c r="L28" s="1">
        <v>35855</v>
      </c>
      <c r="M28">
        <v>23</v>
      </c>
      <c r="N28">
        <v>1500</v>
      </c>
      <c r="P28" t="s">
        <v>85</v>
      </c>
      <c r="Q28" s="1">
        <v>35855</v>
      </c>
      <c r="R28">
        <v>23</v>
      </c>
      <c r="S28">
        <v>1500</v>
      </c>
    </row>
    <row r="29" spans="1:19" x14ac:dyDescent="0.2">
      <c r="A29" t="s">
        <v>85</v>
      </c>
      <c r="B29" s="1">
        <v>35947</v>
      </c>
      <c r="C29">
        <v>15</v>
      </c>
      <c r="D29">
        <v>1500</v>
      </c>
      <c r="F29" t="s">
        <v>85</v>
      </c>
      <c r="G29" s="1">
        <v>35947</v>
      </c>
      <c r="H29">
        <v>15</v>
      </c>
      <c r="I29">
        <v>1500</v>
      </c>
      <c r="K29" t="s">
        <v>85</v>
      </c>
      <c r="L29" s="1">
        <v>35947</v>
      </c>
      <c r="M29">
        <v>15</v>
      </c>
      <c r="N29">
        <v>1500</v>
      </c>
      <c r="P29" t="s">
        <v>85</v>
      </c>
      <c r="Q29" s="1">
        <v>35947</v>
      </c>
      <c r="R29">
        <v>15</v>
      </c>
      <c r="S29">
        <v>1500</v>
      </c>
    </row>
    <row r="30" spans="1:19" x14ac:dyDescent="0.2">
      <c r="A30" t="s">
        <v>85</v>
      </c>
      <c r="B30" s="2">
        <v>36220</v>
      </c>
      <c r="C30">
        <v>80</v>
      </c>
      <c r="D30">
        <v>1500</v>
      </c>
      <c r="F30" t="s">
        <v>85</v>
      </c>
      <c r="G30" s="2">
        <v>36220</v>
      </c>
      <c r="H30">
        <v>80</v>
      </c>
      <c r="I30">
        <v>1500</v>
      </c>
      <c r="K30" t="s">
        <v>85</v>
      </c>
      <c r="L30" s="2">
        <v>36220</v>
      </c>
      <c r="M30">
        <v>80</v>
      </c>
      <c r="N30">
        <v>1500</v>
      </c>
      <c r="P30" t="s">
        <v>85</v>
      </c>
      <c r="Q30" s="2">
        <v>36220</v>
      </c>
      <c r="R30">
        <v>80</v>
      </c>
      <c r="S30">
        <v>1500</v>
      </c>
    </row>
    <row r="31" spans="1:19" x14ac:dyDescent="0.2">
      <c r="A31" t="s">
        <v>85</v>
      </c>
      <c r="B31" s="2">
        <v>36312</v>
      </c>
      <c r="C31">
        <v>76</v>
      </c>
      <c r="D31">
        <v>1500</v>
      </c>
      <c r="F31" t="s">
        <v>85</v>
      </c>
      <c r="G31" s="2">
        <v>36312</v>
      </c>
      <c r="H31">
        <v>76</v>
      </c>
      <c r="I31">
        <v>1500</v>
      </c>
      <c r="K31" t="s">
        <v>85</v>
      </c>
      <c r="L31" s="2">
        <v>36312</v>
      </c>
      <c r="M31">
        <v>76</v>
      </c>
      <c r="N31">
        <v>1500</v>
      </c>
      <c r="P31" t="s">
        <v>85</v>
      </c>
      <c r="Q31" s="2">
        <v>36312</v>
      </c>
      <c r="R31">
        <v>76</v>
      </c>
      <c r="S31">
        <v>1500</v>
      </c>
    </row>
    <row r="32" spans="1:19" x14ac:dyDescent="0.2">
      <c r="A32" t="s">
        <v>85</v>
      </c>
      <c r="B32" s="2">
        <v>36404</v>
      </c>
      <c r="C32">
        <v>80</v>
      </c>
      <c r="D32">
        <v>1500</v>
      </c>
      <c r="F32" t="s">
        <v>85</v>
      </c>
      <c r="G32" s="2">
        <v>36404</v>
      </c>
      <c r="H32">
        <v>80</v>
      </c>
      <c r="I32">
        <v>1500</v>
      </c>
      <c r="K32" t="s">
        <v>85</v>
      </c>
      <c r="L32" s="2">
        <v>36404</v>
      </c>
      <c r="M32">
        <v>80</v>
      </c>
      <c r="N32">
        <v>1500</v>
      </c>
      <c r="P32" t="s">
        <v>85</v>
      </c>
      <c r="Q32" s="2">
        <v>36404</v>
      </c>
      <c r="R32">
        <v>80</v>
      </c>
      <c r="S32">
        <v>1500</v>
      </c>
    </row>
    <row r="33" spans="1:19" x14ac:dyDescent="0.2">
      <c r="A33" t="s">
        <v>85</v>
      </c>
      <c r="B33" s="2">
        <v>36526</v>
      </c>
      <c r="C33">
        <v>75</v>
      </c>
      <c r="D33">
        <v>1500</v>
      </c>
      <c r="F33" t="s">
        <v>85</v>
      </c>
      <c r="G33" s="2">
        <v>36526</v>
      </c>
      <c r="H33">
        <v>75</v>
      </c>
      <c r="I33">
        <v>1500</v>
      </c>
      <c r="K33" t="s">
        <v>85</v>
      </c>
      <c r="L33" s="2">
        <v>36526</v>
      </c>
      <c r="M33">
        <v>75</v>
      </c>
      <c r="N33">
        <v>1500</v>
      </c>
      <c r="P33" t="s">
        <v>85</v>
      </c>
      <c r="Q33" s="2">
        <v>36526</v>
      </c>
      <c r="R33">
        <v>75</v>
      </c>
      <c r="S33">
        <v>1500</v>
      </c>
    </row>
    <row r="34" spans="1:19" x14ac:dyDescent="0.2">
      <c r="A34" t="s">
        <v>85</v>
      </c>
      <c r="B34" s="2">
        <v>36586</v>
      </c>
      <c r="C34">
        <v>62</v>
      </c>
      <c r="D34">
        <v>1500</v>
      </c>
      <c r="F34" t="s">
        <v>85</v>
      </c>
      <c r="G34" s="2">
        <v>36586</v>
      </c>
      <c r="H34">
        <v>62</v>
      </c>
      <c r="I34">
        <v>1500</v>
      </c>
      <c r="K34" t="s">
        <v>85</v>
      </c>
      <c r="L34" s="2">
        <v>36586</v>
      </c>
      <c r="M34">
        <v>62</v>
      </c>
      <c r="N34">
        <v>1500</v>
      </c>
      <c r="P34" t="s">
        <v>85</v>
      </c>
      <c r="Q34" s="2">
        <v>36586</v>
      </c>
      <c r="R34">
        <v>62</v>
      </c>
      <c r="S34">
        <v>1500</v>
      </c>
    </row>
    <row r="35" spans="1:19" x14ac:dyDescent="0.2">
      <c r="A35" t="s">
        <v>85</v>
      </c>
      <c r="B35" s="2">
        <v>36678</v>
      </c>
      <c r="C35">
        <v>59</v>
      </c>
      <c r="D35">
        <v>1500</v>
      </c>
      <c r="F35" t="s">
        <v>85</v>
      </c>
      <c r="G35" s="2">
        <v>36678</v>
      </c>
      <c r="H35">
        <v>59</v>
      </c>
      <c r="I35">
        <v>1500</v>
      </c>
      <c r="K35" t="s">
        <v>85</v>
      </c>
      <c r="L35" s="2">
        <v>36678</v>
      </c>
      <c r="M35">
        <v>59</v>
      </c>
      <c r="N35">
        <v>1500</v>
      </c>
      <c r="P35" t="s">
        <v>85</v>
      </c>
      <c r="Q35" s="2">
        <v>36678</v>
      </c>
      <c r="R35">
        <v>59</v>
      </c>
      <c r="S35">
        <v>1500</v>
      </c>
    </row>
    <row r="36" spans="1:19" x14ac:dyDescent="0.2">
      <c r="A36" t="s">
        <v>85</v>
      </c>
      <c r="B36" s="2">
        <v>36770</v>
      </c>
      <c r="C36">
        <v>69</v>
      </c>
      <c r="D36">
        <v>1500</v>
      </c>
      <c r="F36" t="s">
        <v>85</v>
      </c>
      <c r="G36" s="2">
        <v>36770</v>
      </c>
      <c r="H36">
        <v>69</v>
      </c>
      <c r="I36">
        <v>1500</v>
      </c>
      <c r="K36" t="s">
        <v>85</v>
      </c>
      <c r="L36" s="2">
        <v>36770</v>
      </c>
      <c r="M36">
        <v>69</v>
      </c>
      <c r="N36">
        <v>1500</v>
      </c>
      <c r="P36" t="s">
        <v>85</v>
      </c>
      <c r="Q36" s="2">
        <v>36770</v>
      </c>
      <c r="R36">
        <v>69</v>
      </c>
      <c r="S36">
        <v>1500</v>
      </c>
    </row>
    <row r="37" spans="1:19" x14ac:dyDescent="0.2">
      <c r="A37" t="s">
        <v>85</v>
      </c>
      <c r="B37" s="2">
        <v>36923</v>
      </c>
      <c r="C37">
        <v>63</v>
      </c>
      <c r="D37">
        <v>1500</v>
      </c>
      <c r="F37" t="s">
        <v>85</v>
      </c>
      <c r="G37" s="2">
        <v>36923</v>
      </c>
      <c r="H37">
        <v>63</v>
      </c>
      <c r="I37">
        <v>1500</v>
      </c>
      <c r="K37" t="s">
        <v>85</v>
      </c>
      <c r="L37" s="2">
        <v>36923</v>
      </c>
      <c r="M37">
        <v>63</v>
      </c>
      <c r="N37">
        <v>1500</v>
      </c>
      <c r="P37" t="s">
        <v>85</v>
      </c>
      <c r="Q37" s="2">
        <v>36923</v>
      </c>
      <c r="R37">
        <v>63</v>
      </c>
      <c r="S37">
        <v>1500</v>
      </c>
    </row>
    <row r="38" spans="1:19" x14ac:dyDescent="0.2">
      <c r="A38" t="s">
        <v>85</v>
      </c>
      <c r="B38" s="2">
        <v>36982</v>
      </c>
      <c r="C38">
        <v>59</v>
      </c>
      <c r="D38">
        <v>1500</v>
      </c>
      <c r="F38" t="s">
        <v>85</v>
      </c>
      <c r="G38" s="2">
        <v>36982</v>
      </c>
      <c r="H38">
        <v>59</v>
      </c>
      <c r="I38">
        <v>1500</v>
      </c>
      <c r="K38" t="s">
        <v>85</v>
      </c>
      <c r="L38" s="2">
        <v>36982</v>
      </c>
      <c r="M38">
        <v>59</v>
      </c>
      <c r="N38">
        <v>1500</v>
      </c>
      <c r="P38" t="s">
        <v>85</v>
      </c>
      <c r="Q38" s="2">
        <v>36982</v>
      </c>
      <c r="R38">
        <v>59</v>
      </c>
      <c r="S38">
        <v>1500</v>
      </c>
    </row>
    <row r="39" spans="1:19" x14ac:dyDescent="0.2">
      <c r="A39" t="s">
        <v>85</v>
      </c>
      <c r="B39" s="2">
        <v>37104</v>
      </c>
      <c r="C39">
        <v>51</v>
      </c>
      <c r="D39">
        <v>1500</v>
      </c>
      <c r="F39" t="s">
        <v>85</v>
      </c>
      <c r="G39" s="2">
        <v>37104</v>
      </c>
      <c r="H39">
        <v>51</v>
      </c>
      <c r="I39">
        <v>1500</v>
      </c>
      <c r="K39" t="s">
        <v>85</v>
      </c>
      <c r="L39" s="2">
        <v>37104</v>
      </c>
      <c r="M39">
        <v>51</v>
      </c>
      <c r="N39">
        <v>1500</v>
      </c>
      <c r="P39" t="s">
        <v>85</v>
      </c>
      <c r="Q39" s="2">
        <v>37104</v>
      </c>
      <c r="R39">
        <v>51</v>
      </c>
      <c r="S39">
        <v>1500</v>
      </c>
    </row>
    <row r="40" spans="1:19" x14ac:dyDescent="0.2">
      <c r="A40" t="s">
        <v>85</v>
      </c>
      <c r="B40" s="2">
        <v>37196</v>
      </c>
      <c r="C40">
        <v>47</v>
      </c>
      <c r="D40">
        <v>1500</v>
      </c>
      <c r="F40" t="s">
        <v>85</v>
      </c>
      <c r="G40" s="2">
        <v>37196</v>
      </c>
      <c r="H40">
        <v>47</v>
      </c>
      <c r="I40">
        <v>1500</v>
      </c>
      <c r="K40" t="s">
        <v>85</v>
      </c>
      <c r="L40" s="2">
        <v>37196</v>
      </c>
      <c r="M40">
        <v>47</v>
      </c>
      <c r="N40">
        <v>1500</v>
      </c>
      <c r="P40" t="s">
        <v>85</v>
      </c>
      <c r="Q40" s="2">
        <v>37196</v>
      </c>
      <c r="R40">
        <v>47</v>
      </c>
      <c r="S40">
        <v>1500</v>
      </c>
    </row>
    <row r="41" spans="1:19" x14ac:dyDescent="0.2">
      <c r="A41" t="s">
        <v>85</v>
      </c>
      <c r="B41" s="2">
        <v>37288</v>
      </c>
      <c r="C41">
        <v>38</v>
      </c>
      <c r="D41">
        <v>1500</v>
      </c>
      <c r="F41" t="s">
        <v>85</v>
      </c>
      <c r="G41" s="2">
        <v>37288</v>
      </c>
      <c r="H41">
        <v>38</v>
      </c>
      <c r="I41">
        <v>1500</v>
      </c>
      <c r="K41" t="s">
        <v>85</v>
      </c>
      <c r="L41" s="2">
        <v>37288</v>
      </c>
      <c r="M41">
        <v>38</v>
      </c>
      <c r="N41">
        <v>1500</v>
      </c>
      <c r="P41" t="s">
        <v>85</v>
      </c>
      <c r="Q41" s="2">
        <v>37288</v>
      </c>
      <c r="R41">
        <v>38</v>
      </c>
      <c r="S41">
        <v>1500</v>
      </c>
    </row>
    <row r="42" spans="1:19" x14ac:dyDescent="0.2">
      <c r="A42" t="s">
        <v>85</v>
      </c>
      <c r="B42" s="2">
        <v>37347</v>
      </c>
      <c r="C42">
        <v>50</v>
      </c>
      <c r="D42">
        <v>1500</v>
      </c>
      <c r="F42" t="s">
        <v>85</v>
      </c>
      <c r="G42" s="2">
        <v>37347</v>
      </c>
      <c r="H42">
        <v>50</v>
      </c>
      <c r="I42">
        <v>1500</v>
      </c>
      <c r="K42" t="s">
        <v>85</v>
      </c>
      <c r="L42" s="2">
        <v>37347</v>
      </c>
      <c r="M42">
        <v>50</v>
      </c>
      <c r="N42">
        <v>1500</v>
      </c>
      <c r="P42" t="s">
        <v>85</v>
      </c>
      <c r="Q42" s="2">
        <v>37347</v>
      </c>
      <c r="R42">
        <v>50</v>
      </c>
      <c r="S42">
        <v>1500</v>
      </c>
    </row>
    <row r="43" spans="1:19" x14ac:dyDescent="0.2">
      <c r="A43" t="s">
        <v>85</v>
      </c>
      <c r="B43" s="2">
        <v>37438</v>
      </c>
      <c r="C43">
        <v>40</v>
      </c>
      <c r="D43">
        <v>1500</v>
      </c>
      <c r="F43" t="s">
        <v>85</v>
      </c>
      <c r="G43" s="2">
        <v>37438</v>
      </c>
      <c r="H43">
        <v>40</v>
      </c>
      <c r="I43">
        <v>1500</v>
      </c>
      <c r="K43" t="s">
        <v>85</v>
      </c>
      <c r="L43" s="2">
        <v>37438</v>
      </c>
      <c r="M43">
        <v>40</v>
      </c>
      <c r="N43">
        <v>1500</v>
      </c>
      <c r="P43" t="s">
        <v>85</v>
      </c>
      <c r="Q43" s="2">
        <v>37438</v>
      </c>
      <c r="R43">
        <v>40</v>
      </c>
      <c r="S43">
        <v>1500</v>
      </c>
    </row>
    <row r="44" spans="1:19" x14ac:dyDescent="0.2">
      <c r="A44" t="s">
        <v>85</v>
      </c>
      <c r="B44" s="2">
        <v>37561</v>
      </c>
      <c r="C44">
        <v>40</v>
      </c>
      <c r="D44">
        <v>1500</v>
      </c>
      <c r="F44" t="s">
        <v>85</v>
      </c>
      <c r="G44" s="2">
        <v>37561</v>
      </c>
      <c r="H44">
        <v>40</v>
      </c>
      <c r="I44">
        <v>1500</v>
      </c>
      <c r="K44" t="s">
        <v>85</v>
      </c>
      <c r="L44" s="2">
        <v>37561</v>
      </c>
      <c r="M44">
        <v>40</v>
      </c>
      <c r="N44">
        <v>1500</v>
      </c>
      <c r="P44" t="s">
        <v>85</v>
      </c>
      <c r="Q44" s="2">
        <v>37561</v>
      </c>
      <c r="R44">
        <v>40</v>
      </c>
      <c r="S44">
        <v>1500</v>
      </c>
    </row>
    <row r="45" spans="1:19" x14ac:dyDescent="0.2">
      <c r="A45" t="s">
        <v>85</v>
      </c>
      <c r="B45" s="2">
        <v>37712</v>
      </c>
      <c r="C45">
        <v>39</v>
      </c>
      <c r="D45">
        <v>1500</v>
      </c>
      <c r="F45" t="s">
        <v>85</v>
      </c>
      <c r="G45" s="2">
        <v>37712</v>
      </c>
      <c r="H45">
        <v>39</v>
      </c>
      <c r="I45">
        <v>1500</v>
      </c>
      <c r="K45" t="s">
        <v>85</v>
      </c>
      <c r="L45" s="2">
        <v>37712</v>
      </c>
      <c r="M45">
        <v>39</v>
      </c>
      <c r="N45">
        <v>1500</v>
      </c>
      <c r="P45" t="s">
        <v>85</v>
      </c>
      <c r="Q45" s="2">
        <v>37712</v>
      </c>
      <c r="R45">
        <v>39</v>
      </c>
      <c r="S45">
        <v>1500</v>
      </c>
    </row>
    <row r="46" spans="1:19" x14ac:dyDescent="0.2">
      <c r="A46" t="s">
        <v>85</v>
      </c>
      <c r="B46" s="2">
        <v>37825</v>
      </c>
      <c r="C46">
        <v>36</v>
      </c>
      <c r="D46">
        <v>1500</v>
      </c>
      <c r="F46" t="s">
        <v>85</v>
      </c>
      <c r="G46" s="2">
        <v>37825</v>
      </c>
      <c r="H46">
        <v>36</v>
      </c>
      <c r="I46">
        <v>1500</v>
      </c>
      <c r="K46" t="s">
        <v>85</v>
      </c>
      <c r="L46" s="2">
        <v>37825</v>
      </c>
      <c r="M46">
        <v>36</v>
      </c>
      <c r="N46">
        <v>1500</v>
      </c>
      <c r="P46" t="s">
        <v>85</v>
      </c>
      <c r="Q46" s="2">
        <v>37825</v>
      </c>
      <c r="R46">
        <v>36</v>
      </c>
      <c r="S46">
        <v>1500</v>
      </c>
    </row>
    <row r="47" spans="1:19" x14ac:dyDescent="0.2">
      <c r="A47" t="s">
        <v>85</v>
      </c>
      <c r="B47" s="2">
        <v>37865</v>
      </c>
      <c r="C47">
        <v>37</v>
      </c>
      <c r="D47">
        <v>1500</v>
      </c>
      <c r="F47" t="s">
        <v>85</v>
      </c>
      <c r="G47" s="2">
        <v>37865</v>
      </c>
      <c r="H47">
        <v>37</v>
      </c>
      <c r="I47">
        <v>1500</v>
      </c>
      <c r="K47" t="s">
        <v>85</v>
      </c>
      <c r="L47" s="2">
        <v>37865</v>
      </c>
      <c r="M47">
        <v>37</v>
      </c>
      <c r="N47">
        <v>1500</v>
      </c>
      <c r="P47" t="s">
        <v>85</v>
      </c>
      <c r="Q47" s="2">
        <v>37865</v>
      </c>
      <c r="R47">
        <v>37</v>
      </c>
      <c r="S47">
        <v>1500</v>
      </c>
    </row>
    <row r="48" spans="1:19" x14ac:dyDescent="0.2">
      <c r="A48" t="s">
        <v>85</v>
      </c>
      <c r="B48" s="2">
        <v>37956</v>
      </c>
      <c r="C48">
        <v>45</v>
      </c>
      <c r="D48">
        <v>1500</v>
      </c>
      <c r="F48" t="s">
        <v>85</v>
      </c>
      <c r="G48" s="2">
        <v>37956</v>
      </c>
      <c r="H48">
        <v>45</v>
      </c>
      <c r="I48">
        <v>1500</v>
      </c>
      <c r="K48" t="s">
        <v>85</v>
      </c>
      <c r="L48" s="2">
        <v>37956</v>
      </c>
      <c r="M48">
        <v>45</v>
      </c>
      <c r="N48">
        <v>1500</v>
      </c>
      <c r="P48" t="s">
        <v>85</v>
      </c>
      <c r="Q48" s="2">
        <v>37956</v>
      </c>
      <c r="R48">
        <v>45</v>
      </c>
      <c r="S48">
        <v>1500</v>
      </c>
    </row>
    <row r="49" spans="1:19" x14ac:dyDescent="0.2">
      <c r="A49" t="s">
        <v>85</v>
      </c>
      <c r="B49" s="2">
        <v>38047</v>
      </c>
      <c r="C49">
        <v>44</v>
      </c>
      <c r="D49">
        <v>1500</v>
      </c>
      <c r="F49" t="s">
        <v>85</v>
      </c>
      <c r="G49" s="2">
        <v>38047</v>
      </c>
      <c r="H49">
        <v>44</v>
      </c>
      <c r="I49">
        <v>1500</v>
      </c>
      <c r="K49" t="s">
        <v>85</v>
      </c>
      <c r="L49" s="2">
        <v>38047</v>
      </c>
      <c r="M49">
        <v>44</v>
      </c>
      <c r="N49">
        <v>1500</v>
      </c>
      <c r="P49" t="s">
        <v>85</v>
      </c>
      <c r="Q49" s="2">
        <v>38047</v>
      </c>
      <c r="R49">
        <v>44</v>
      </c>
      <c r="S49">
        <v>1500</v>
      </c>
    </row>
    <row r="50" spans="1:19" x14ac:dyDescent="0.2">
      <c r="A50" t="s">
        <v>85</v>
      </c>
      <c r="B50" s="2">
        <v>38139</v>
      </c>
      <c r="C50">
        <v>48</v>
      </c>
      <c r="D50">
        <v>1500</v>
      </c>
      <c r="F50" t="s">
        <v>85</v>
      </c>
      <c r="G50" s="2">
        <v>38139</v>
      </c>
      <c r="H50">
        <v>48</v>
      </c>
      <c r="I50">
        <v>1500</v>
      </c>
      <c r="K50" t="s">
        <v>85</v>
      </c>
      <c r="L50" s="2">
        <v>38139</v>
      </c>
      <c r="M50">
        <v>48</v>
      </c>
      <c r="N50">
        <v>1500</v>
      </c>
      <c r="P50" t="s">
        <v>85</v>
      </c>
      <c r="Q50" s="2">
        <v>38139</v>
      </c>
      <c r="R50">
        <v>48</v>
      </c>
      <c r="S50">
        <v>1500</v>
      </c>
    </row>
    <row r="51" spans="1:19" x14ac:dyDescent="0.2">
      <c r="A51" t="s">
        <v>85</v>
      </c>
      <c r="B51" s="2">
        <v>38261</v>
      </c>
      <c r="C51">
        <v>57</v>
      </c>
      <c r="D51">
        <v>1500</v>
      </c>
      <c r="F51" t="s">
        <v>85</v>
      </c>
      <c r="G51" s="2">
        <v>38261</v>
      </c>
      <c r="H51">
        <v>57</v>
      </c>
      <c r="I51">
        <v>1500</v>
      </c>
      <c r="K51" t="s">
        <v>85</v>
      </c>
      <c r="L51" s="2">
        <v>38261</v>
      </c>
      <c r="M51">
        <v>57</v>
      </c>
      <c r="N51">
        <v>1500</v>
      </c>
      <c r="P51" t="s">
        <v>85</v>
      </c>
      <c r="Q51" s="2">
        <v>38261</v>
      </c>
      <c r="R51">
        <v>57</v>
      </c>
      <c r="S51">
        <v>1500</v>
      </c>
    </row>
    <row r="52" spans="1:19" x14ac:dyDescent="0.2">
      <c r="A52" t="s">
        <v>85</v>
      </c>
      <c r="B52" s="2">
        <v>38353</v>
      </c>
      <c r="C52">
        <v>55</v>
      </c>
      <c r="D52">
        <v>1500</v>
      </c>
      <c r="F52" t="s">
        <v>85</v>
      </c>
      <c r="G52" s="2">
        <v>38353</v>
      </c>
      <c r="H52">
        <v>55</v>
      </c>
      <c r="I52">
        <v>1500</v>
      </c>
      <c r="K52" t="s">
        <v>85</v>
      </c>
      <c r="L52" s="2">
        <v>38353</v>
      </c>
      <c r="M52">
        <v>55</v>
      </c>
      <c r="N52">
        <v>1500</v>
      </c>
      <c r="P52" t="s">
        <v>85</v>
      </c>
      <c r="Q52" s="2">
        <v>38353</v>
      </c>
      <c r="R52">
        <v>55</v>
      </c>
      <c r="S52">
        <v>1500</v>
      </c>
    </row>
    <row r="53" spans="1:19" x14ac:dyDescent="0.2">
      <c r="A53" t="s">
        <v>85</v>
      </c>
      <c r="B53" s="2">
        <v>38473</v>
      </c>
      <c r="C53">
        <v>57</v>
      </c>
      <c r="D53">
        <v>1500</v>
      </c>
      <c r="F53" t="s">
        <v>85</v>
      </c>
      <c r="G53" s="2">
        <v>38473</v>
      </c>
      <c r="H53">
        <v>57</v>
      </c>
      <c r="I53">
        <v>1500</v>
      </c>
      <c r="K53" t="s">
        <v>85</v>
      </c>
      <c r="L53" s="2">
        <v>38473</v>
      </c>
      <c r="M53">
        <v>57</v>
      </c>
      <c r="N53">
        <v>1500</v>
      </c>
      <c r="P53" t="s">
        <v>85</v>
      </c>
      <c r="Q53" s="2">
        <v>38473</v>
      </c>
      <c r="R53">
        <v>57</v>
      </c>
      <c r="S53">
        <v>1500</v>
      </c>
    </row>
    <row r="54" spans="1:19" x14ac:dyDescent="0.2">
      <c r="A54" t="s">
        <v>85</v>
      </c>
      <c r="B54" s="2">
        <v>38534</v>
      </c>
      <c r="C54">
        <v>60</v>
      </c>
      <c r="D54">
        <v>1500</v>
      </c>
      <c r="F54" t="s">
        <v>85</v>
      </c>
      <c r="G54" s="2">
        <v>38534</v>
      </c>
      <c r="H54">
        <v>60</v>
      </c>
      <c r="I54">
        <v>1500</v>
      </c>
      <c r="K54" t="s">
        <v>85</v>
      </c>
      <c r="L54" s="2">
        <v>38534</v>
      </c>
      <c r="M54">
        <v>60</v>
      </c>
      <c r="N54">
        <v>1500</v>
      </c>
      <c r="P54" t="s">
        <v>85</v>
      </c>
      <c r="Q54" s="2">
        <v>38534</v>
      </c>
      <c r="R54">
        <v>60</v>
      </c>
      <c r="S54">
        <v>1500</v>
      </c>
    </row>
    <row r="55" spans="1:19" x14ac:dyDescent="0.2">
      <c r="A55" t="s">
        <v>85</v>
      </c>
      <c r="B55" s="2">
        <v>38596</v>
      </c>
      <c r="C55">
        <v>57</v>
      </c>
      <c r="D55">
        <v>1500</v>
      </c>
      <c r="F55" t="s">
        <v>85</v>
      </c>
      <c r="G55" s="2">
        <v>38596</v>
      </c>
      <c r="H55">
        <v>57</v>
      </c>
      <c r="I55">
        <v>1500</v>
      </c>
      <c r="K55" t="s">
        <v>85</v>
      </c>
      <c r="L55" s="2">
        <v>38596</v>
      </c>
      <c r="M55">
        <v>57</v>
      </c>
      <c r="N55">
        <v>1500</v>
      </c>
      <c r="P55" t="s">
        <v>85</v>
      </c>
      <c r="Q55" s="2">
        <v>38596</v>
      </c>
      <c r="R55">
        <v>57</v>
      </c>
      <c r="S55">
        <v>1500</v>
      </c>
    </row>
    <row r="56" spans="1:19" x14ac:dyDescent="0.2">
      <c r="A56" t="s">
        <v>85</v>
      </c>
      <c r="B56" s="2">
        <v>38749</v>
      </c>
      <c r="C56">
        <v>55</v>
      </c>
      <c r="D56">
        <v>1500</v>
      </c>
      <c r="F56" t="s">
        <v>85</v>
      </c>
      <c r="G56" s="2">
        <v>38749</v>
      </c>
      <c r="H56">
        <v>55</v>
      </c>
      <c r="I56">
        <v>1500</v>
      </c>
      <c r="K56" t="s">
        <v>85</v>
      </c>
      <c r="L56" s="2">
        <v>38749</v>
      </c>
      <c r="M56">
        <v>55</v>
      </c>
      <c r="N56">
        <v>1500</v>
      </c>
      <c r="P56" t="s">
        <v>85</v>
      </c>
      <c r="Q56" s="2">
        <v>38749</v>
      </c>
      <c r="R56">
        <v>55</v>
      </c>
      <c r="S56">
        <v>1500</v>
      </c>
    </row>
    <row r="57" spans="1:19" x14ac:dyDescent="0.2">
      <c r="A57" t="s">
        <v>85</v>
      </c>
      <c r="B57" s="2">
        <v>38808</v>
      </c>
      <c r="C57">
        <v>58</v>
      </c>
      <c r="D57">
        <v>1500</v>
      </c>
      <c r="F57" t="s">
        <v>85</v>
      </c>
      <c r="G57" s="2">
        <v>38808</v>
      </c>
      <c r="H57">
        <v>58</v>
      </c>
      <c r="I57">
        <v>1500</v>
      </c>
      <c r="K57" t="s">
        <v>85</v>
      </c>
      <c r="L57" s="2">
        <v>38808</v>
      </c>
      <c r="M57">
        <v>58</v>
      </c>
      <c r="N57">
        <v>1500</v>
      </c>
      <c r="P57" t="s">
        <v>85</v>
      </c>
      <c r="Q57" s="2">
        <v>38808</v>
      </c>
      <c r="R57">
        <v>58</v>
      </c>
      <c r="S57">
        <v>1500</v>
      </c>
    </row>
    <row r="58" spans="1:19" x14ac:dyDescent="0.2">
      <c r="A58" t="s">
        <v>85</v>
      </c>
      <c r="B58" s="2">
        <v>38899</v>
      </c>
      <c r="C58">
        <v>54</v>
      </c>
      <c r="D58">
        <v>1500</v>
      </c>
      <c r="F58" t="s">
        <v>85</v>
      </c>
      <c r="G58" s="2">
        <v>38899</v>
      </c>
      <c r="H58">
        <v>54</v>
      </c>
      <c r="I58">
        <v>1500</v>
      </c>
      <c r="K58" t="s">
        <v>85</v>
      </c>
      <c r="L58" s="2">
        <v>38899</v>
      </c>
      <c r="M58">
        <v>54</v>
      </c>
      <c r="N58">
        <v>1500</v>
      </c>
      <c r="P58" t="s">
        <v>85</v>
      </c>
      <c r="Q58" s="2">
        <v>38899</v>
      </c>
      <c r="R58">
        <v>54</v>
      </c>
      <c r="S58">
        <v>1500</v>
      </c>
    </row>
    <row r="59" spans="1:19" x14ac:dyDescent="0.2">
      <c r="A59" t="s">
        <v>70</v>
      </c>
      <c r="B59" s="1">
        <v>38457</v>
      </c>
      <c r="C59">
        <v>57</v>
      </c>
      <c r="D59">
        <v>500</v>
      </c>
      <c r="F59" t="s">
        <v>70</v>
      </c>
      <c r="G59" s="1">
        <v>38457</v>
      </c>
      <c r="H59">
        <v>57</v>
      </c>
      <c r="I59">
        <v>500</v>
      </c>
      <c r="K59" s="10" t="s">
        <v>85</v>
      </c>
      <c r="L59" s="1">
        <v>40224</v>
      </c>
      <c r="M59">
        <v>46</v>
      </c>
      <c r="N59">
        <v>1500</v>
      </c>
      <c r="P59" s="10" t="s">
        <v>85</v>
      </c>
      <c r="Q59" s="1">
        <v>40224</v>
      </c>
      <c r="R59">
        <v>46</v>
      </c>
      <c r="S59">
        <v>1500</v>
      </c>
    </row>
    <row r="60" spans="1:19" x14ac:dyDescent="0.2">
      <c r="A60" t="s">
        <v>70</v>
      </c>
      <c r="B60" s="1">
        <v>38791</v>
      </c>
      <c r="C60">
        <v>57</v>
      </c>
      <c r="D60">
        <v>500</v>
      </c>
      <c r="F60" t="s">
        <v>70</v>
      </c>
      <c r="G60" s="1">
        <v>38791</v>
      </c>
      <c r="H60">
        <v>57</v>
      </c>
      <c r="I60">
        <v>500</v>
      </c>
      <c r="K60" s="10" t="s">
        <v>85</v>
      </c>
      <c r="L60" s="1">
        <v>40428</v>
      </c>
      <c r="M60">
        <v>45</v>
      </c>
      <c r="N60">
        <v>1500</v>
      </c>
      <c r="P60" s="10" t="s">
        <v>85</v>
      </c>
      <c r="Q60" s="1">
        <v>40428</v>
      </c>
      <c r="R60">
        <v>45</v>
      </c>
      <c r="S60">
        <v>1500</v>
      </c>
    </row>
    <row r="61" spans="1:19" x14ac:dyDescent="0.2">
      <c r="A61" t="s">
        <v>70</v>
      </c>
      <c r="B61" s="1">
        <v>39248</v>
      </c>
      <c r="C61">
        <v>54</v>
      </c>
      <c r="D61">
        <v>500</v>
      </c>
      <c r="F61" t="s">
        <v>70</v>
      </c>
      <c r="G61" s="1">
        <v>39248</v>
      </c>
      <c r="H61">
        <v>54</v>
      </c>
      <c r="I61">
        <v>500</v>
      </c>
      <c r="K61" s="10" t="s">
        <v>85</v>
      </c>
      <c r="L61" s="1">
        <v>40518</v>
      </c>
      <c r="M61">
        <v>43.2</v>
      </c>
      <c r="N61">
        <v>1500</v>
      </c>
      <c r="P61" s="10" t="s">
        <v>85</v>
      </c>
      <c r="Q61" s="1">
        <v>40518</v>
      </c>
      <c r="R61">
        <v>43.2</v>
      </c>
      <c r="S61">
        <v>1500</v>
      </c>
    </row>
    <row r="62" spans="1:19" x14ac:dyDescent="0.2">
      <c r="A62" t="s">
        <v>71</v>
      </c>
      <c r="B62" s="1">
        <v>37408</v>
      </c>
      <c r="C62">
        <v>51</v>
      </c>
      <c r="D62">
        <v>1200</v>
      </c>
      <c r="F62" s="10" t="s">
        <v>148</v>
      </c>
      <c r="G62" s="11">
        <v>36875</v>
      </c>
      <c r="H62" s="10">
        <v>41</v>
      </c>
      <c r="I62" s="10">
        <v>400</v>
      </c>
      <c r="K62" s="10" t="s">
        <v>148</v>
      </c>
      <c r="L62" s="11">
        <v>36875</v>
      </c>
      <c r="M62" s="10">
        <v>41</v>
      </c>
      <c r="N62" s="10">
        <v>400</v>
      </c>
      <c r="O62" s="10"/>
      <c r="P62" t="s">
        <v>85</v>
      </c>
      <c r="Q62" s="1">
        <v>40627</v>
      </c>
      <c r="R62">
        <v>47</v>
      </c>
      <c r="S62">
        <v>2000</v>
      </c>
    </row>
    <row r="63" spans="1:19" x14ac:dyDescent="0.2">
      <c r="A63" t="s">
        <v>71</v>
      </c>
      <c r="B63" s="1">
        <v>37861</v>
      </c>
      <c r="C63">
        <v>36</v>
      </c>
      <c r="D63">
        <v>1200</v>
      </c>
      <c r="F63" s="10" t="s">
        <v>148</v>
      </c>
      <c r="G63" s="11">
        <v>37057</v>
      </c>
      <c r="H63" s="10">
        <v>38</v>
      </c>
      <c r="I63" s="10">
        <v>400</v>
      </c>
      <c r="K63" s="10" t="s">
        <v>148</v>
      </c>
      <c r="L63" s="11">
        <v>37057</v>
      </c>
      <c r="M63" s="10">
        <v>38</v>
      </c>
      <c r="N63" s="10">
        <v>400</v>
      </c>
      <c r="O63" s="10"/>
      <c r="P63" s="10" t="s">
        <v>148</v>
      </c>
      <c r="Q63" s="11">
        <v>36875</v>
      </c>
      <c r="R63" s="10">
        <v>41</v>
      </c>
      <c r="S63" s="10">
        <v>400</v>
      </c>
    </row>
    <row r="64" spans="1:19" x14ac:dyDescent="0.2">
      <c r="A64" t="s">
        <v>71</v>
      </c>
      <c r="B64" s="1">
        <v>38167</v>
      </c>
      <c r="C64">
        <v>43</v>
      </c>
      <c r="D64">
        <v>1200</v>
      </c>
      <c r="F64" s="12" t="s">
        <v>150</v>
      </c>
      <c r="G64" s="13">
        <v>37879</v>
      </c>
      <c r="H64" s="12">
        <v>10</v>
      </c>
      <c r="I64" s="12">
        <v>300</v>
      </c>
      <c r="K64" s="12" t="s">
        <v>150</v>
      </c>
      <c r="L64" s="13">
        <v>37879</v>
      </c>
      <c r="M64" s="12">
        <v>10</v>
      </c>
      <c r="N64" s="12">
        <v>300</v>
      </c>
      <c r="O64" s="12"/>
      <c r="P64" s="10" t="s">
        <v>148</v>
      </c>
      <c r="Q64" s="11">
        <v>37057</v>
      </c>
      <c r="R64" s="10">
        <v>38</v>
      </c>
      <c r="S64" s="10">
        <v>400</v>
      </c>
    </row>
    <row r="65" spans="1:19" x14ac:dyDescent="0.2">
      <c r="A65" t="s">
        <v>71</v>
      </c>
      <c r="B65" s="1">
        <v>38604</v>
      </c>
      <c r="C65">
        <v>65</v>
      </c>
      <c r="D65">
        <v>1200</v>
      </c>
      <c r="F65" s="10" t="s">
        <v>148</v>
      </c>
      <c r="G65" s="11">
        <v>38122</v>
      </c>
      <c r="H65" s="10">
        <v>25</v>
      </c>
      <c r="I65" s="10">
        <v>500</v>
      </c>
      <c r="K65" s="10" t="s">
        <v>148</v>
      </c>
      <c r="L65" s="11">
        <v>38122</v>
      </c>
      <c r="M65" s="10">
        <v>25</v>
      </c>
      <c r="N65" s="10">
        <v>500</v>
      </c>
      <c r="O65" s="10"/>
      <c r="P65" s="12" t="s">
        <v>15</v>
      </c>
      <c r="Q65" s="13">
        <v>37879</v>
      </c>
      <c r="R65" s="12">
        <v>10</v>
      </c>
      <c r="S65" s="12">
        <v>300</v>
      </c>
    </row>
    <row r="66" spans="1:19" x14ac:dyDescent="0.2">
      <c r="A66" t="s">
        <v>71</v>
      </c>
      <c r="B66" s="1">
        <v>39036</v>
      </c>
      <c r="C66">
        <v>65</v>
      </c>
      <c r="D66">
        <v>1200</v>
      </c>
      <c r="F66" s="10" t="s">
        <v>148</v>
      </c>
      <c r="G66" s="11">
        <v>38487</v>
      </c>
      <c r="H66" s="10">
        <v>65</v>
      </c>
      <c r="I66" s="10">
        <v>500</v>
      </c>
      <c r="K66" s="10" t="s">
        <v>148</v>
      </c>
      <c r="L66" s="11">
        <v>38487</v>
      </c>
      <c r="M66" s="10">
        <v>65</v>
      </c>
      <c r="N66" s="10">
        <v>500</v>
      </c>
      <c r="O66" s="10"/>
      <c r="P66" s="10" t="s">
        <v>148</v>
      </c>
      <c r="Q66" s="11">
        <v>38122</v>
      </c>
      <c r="R66" s="10">
        <v>25</v>
      </c>
      <c r="S66" s="10">
        <v>500</v>
      </c>
    </row>
    <row r="67" spans="1:19" x14ac:dyDescent="0.2">
      <c r="A67" t="s">
        <v>71</v>
      </c>
      <c r="B67" s="1">
        <v>39364</v>
      </c>
      <c r="C67">
        <v>61</v>
      </c>
      <c r="D67">
        <v>1200</v>
      </c>
      <c r="F67" s="10" t="s">
        <v>148</v>
      </c>
      <c r="G67" s="11">
        <v>38791</v>
      </c>
      <c r="H67" s="10">
        <v>67</v>
      </c>
      <c r="I67" s="10">
        <v>510</v>
      </c>
      <c r="K67" s="10" t="s">
        <v>148</v>
      </c>
      <c r="L67" s="11">
        <v>38791</v>
      </c>
      <c r="M67" s="10">
        <v>67</v>
      </c>
      <c r="N67" s="10">
        <v>510</v>
      </c>
      <c r="O67" s="10"/>
      <c r="P67" s="10" t="s">
        <v>148</v>
      </c>
      <c r="Q67" s="11">
        <v>38487</v>
      </c>
      <c r="R67" s="10">
        <v>65</v>
      </c>
      <c r="S67" s="10">
        <v>500</v>
      </c>
    </row>
    <row r="68" spans="1:19" x14ac:dyDescent="0.2">
      <c r="A68" t="s">
        <v>102</v>
      </c>
      <c r="B68" s="1">
        <v>38793</v>
      </c>
      <c r="C68">
        <v>60.2</v>
      </c>
      <c r="D68">
        <v>1200</v>
      </c>
      <c r="F68" s="10" t="s">
        <v>148</v>
      </c>
      <c r="G68" s="1">
        <v>39248</v>
      </c>
      <c r="H68" s="10">
        <v>59</v>
      </c>
      <c r="I68" s="10">
        <v>1000</v>
      </c>
      <c r="K68" s="10" t="s">
        <v>148</v>
      </c>
      <c r="L68" s="1">
        <v>39248</v>
      </c>
      <c r="M68" s="10">
        <v>59</v>
      </c>
      <c r="N68" s="10">
        <v>1000</v>
      </c>
      <c r="O68" s="10"/>
      <c r="P68" s="10" t="s">
        <v>148</v>
      </c>
      <c r="Q68" s="11">
        <v>38791</v>
      </c>
      <c r="R68" s="10">
        <v>67</v>
      </c>
      <c r="S68" s="10">
        <v>510</v>
      </c>
    </row>
    <row r="69" spans="1:19" x14ac:dyDescent="0.2">
      <c r="A69" t="s">
        <v>102</v>
      </c>
      <c r="B69" s="1">
        <v>39399</v>
      </c>
      <c r="C69">
        <v>43.5</v>
      </c>
      <c r="D69">
        <v>600</v>
      </c>
      <c r="F69" s="10" t="s">
        <v>148</v>
      </c>
      <c r="G69" s="1">
        <v>39614</v>
      </c>
      <c r="H69" s="10">
        <v>54</v>
      </c>
      <c r="I69">
        <v>820</v>
      </c>
      <c r="K69" s="10" t="s">
        <v>148</v>
      </c>
      <c r="L69" s="1">
        <v>39614</v>
      </c>
      <c r="M69" s="10">
        <v>54</v>
      </c>
      <c r="N69">
        <v>820</v>
      </c>
      <c r="P69" s="10" t="s">
        <v>148</v>
      </c>
      <c r="Q69" s="1">
        <v>39248</v>
      </c>
      <c r="R69" s="10">
        <v>59</v>
      </c>
      <c r="S69" s="10">
        <v>1000</v>
      </c>
    </row>
    <row r="70" spans="1:19" x14ac:dyDescent="0.2">
      <c r="A70" t="s">
        <v>102</v>
      </c>
      <c r="B70" s="1">
        <v>39540</v>
      </c>
      <c r="C70">
        <v>44.1</v>
      </c>
      <c r="D70">
        <v>1200</v>
      </c>
      <c r="F70" s="10" t="s">
        <v>148</v>
      </c>
      <c r="G70" s="1">
        <v>39918</v>
      </c>
      <c r="H70" s="10">
        <v>61</v>
      </c>
      <c r="I70" s="10">
        <v>800</v>
      </c>
      <c r="K70" s="10" t="s">
        <v>148</v>
      </c>
      <c r="L70" s="1">
        <v>39918</v>
      </c>
      <c r="M70" s="10">
        <v>61</v>
      </c>
      <c r="N70" s="12">
        <v>800</v>
      </c>
      <c r="O70" s="12"/>
      <c r="P70" s="10" t="s">
        <v>148</v>
      </c>
      <c r="Q70" s="1">
        <v>39614</v>
      </c>
      <c r="R70" s="10">
        <v>54</v>
      </c>
      <c r="S70">
        <v>820</v>
      </c>
    </row>
    <row r="71" spans="1:19" x14ac:dyDescent="0.2">
      <c r="A71" t="s">
        <v>79</v>
      </c>
      <c r="B71" s="1">
        <v>38579</v>
      </c>
      <c r="C71">
        <v>60</v>
      </c>
      <c r="D71">
        <v>1200</v>
      </c>
      <c r="F71" s="10" t="s">
        <v>148</v>
      </c>
      <c r="G71" s="1">
        <v>37390</v>
      </c>
      <c r="H71">
        <v>5</v>
      </c>
      <c r="I71">
        <v>100</v>
      </c>
      <c r="K71" s="10" t="s">
        <v>148</v>
      </c>
      <c r="L71" s="1">
        <v>40313</v>
      </c>
      <c r="M71" s="10">
        <v>57</v>
      </c>
      <c r="N71" s="12">
        <v>800</v>
      </c>
      <c r="O71" s="12"/>
      <c r="P71" s="10" t="s">
        <v>148</v>
      </c>
      <c r="Q71" s="1">
        <v>39918</v>
      </c>
      <c r="R71" s="10">
        <v>61</v>
      </c>
      <c r="S71" s="12">
        <v>800</v>
      </c>
    </row>
    <row r="72" spans="1:19" x14ac:dyDescent="0.2">
      <c r="A72" t="s">
        <v>79</v>
      </c>
      <c r="B72" s="1">
        <v>38610</v>
      </c>
      <c r="C72">
        <v>61</v>
      </c>
      <c r="D72">
        <v>1200</v>
      </c>
      <c r="F72" s="12" t="s">
        <v>150</v>
      </c>
      <c r="G72" s="13">
        <v>37635</v>
      </c>
      <c r="H72" s="12">
        <v>21</v>
      </c>
      <c r="I72" s="12">
        <v>301</v>
      </c>
      <c r="K72" s="10" t="s">
        <v>148</v>
      </c>
      <c r="L72" s="1">
        <v>37390</v>
      </c>
      <c r="M72">
        <v>5</v>
      </c>
      <c r="N72">
        <v>100</v>
      </c>
      <c r="P72" s="10" t="s">
        <v>148</v>
      </c>
      <c r="Q72" s="1">
        <v>40313</v>
      </c>
      <c r="R72" s="10">
        <v>57</v>
      </c>
      <c r="S72" s="12">
        <v>800</v>
      </c>
    </row>
    <row r="73" spans="1:19" x14ac:dyDescent="0.2">
      <c r="A73" t="s">
        <v>79</v>
      </c>
      <c r="B73" s="1">
        <v>39500</v>
      </c>
      <c r="C73">
        <v>37</v>
      </c>
      <c r="D73">
        <v>1200</v>
      </c>
      <c r="F73" s="12" t="s">
        <v>150</v>
      </c>
      <c r="G73" s="13">
        <v>37848</v>
      </c>
      <c r="H73" s="12">
        <v>10</v>
      </c>
      <c r="I73" s="12">
        <v>300</v>
      </c>
      <c r="K73" s="12" t="s">
        <v>150</v>
      </c>
      <c r="L73" s="13">
        <v>37635</v>
      </c>
      <c r="M73" s="12">
        <v>21</v>
      </c>
      <c r="N73" s="12">
        <v>301</v>
      </c>
      <c r="O73" s="12"/>
      <c r="P73" s="10" t="s">
        <v>148</v>
      </c>
      <c r="Q73" s="1">
        <v>37390</v>
      </c>
      <c r="R73">
        <v>5</v>
      </c>
      <c r="S73">
        <v>100</v>
      </c>
    </row>
    <row r="74" spans="1:19" x14ac:dyDescent="0.2">
      <c r="A74" t="s">
        <v>82</v>
      </c>
      <c r="B74" s="1">
        <v>38424</v>
      </c>
      <c r="C74">
        <v>53</v>
      </c>
      <c r="D74">
        <v>1500</v>
      </c>
      <c r="F74" s="10" t="s">
        <v>148</v>
      </c>
      <c r="G74" s="11">
        <v>38122</v>
      </c>
      <c r="H74">
        <v>24</v>
      </c>
      <c r="I74">
        <v>300</v>
      </c>
      <c r="K74" s="12" t="s">
        <v>150</v>
      </c>
      <c r="L74" s="13">
        <v>37848</v>
      </c>
      <c r="M74" s="12">
        <v>10</v>
      </c>
      <c r="N74" s="12">
        <v>300</v>
      </c>
      <c r="O74" s="12"/>
      <c r="P74" s="12" t="s">
        <v>150</v>
      </c>
      <c r="Q74" s="13">
        <v>37635</v>
      </c>
      <c r="R74" s="12">
        <v>21</v>
      </c>
      <c r="S74" s="12">
        <v>301</v>
      </c>
    </row>
    <row r="75" spans="1:19" x14ac:dyDescent="0.2">
      <c r="A75" t="s">
        <v>82</v>
      </c>
      <c r="B75" s="1">
        <v>39278</v>
      </c>
      <c r="C75">
        <v>50</v>
      </c>
      <c r="D75">
        <v>1500</v>
      </c>
      <c r="F75" s="10" t="s">
        <v>148</v>
      </c>
      <c r="G75" s="1">
        <v>38457</v>
      </c>
      <c r="H75" s="10">
        <v>57</v>
      </c>
      <c r="I75">
        <v>500</v>
      </c>
      <c r="K75" s="10" t="s">
        <v>148</v>
      </c>
      <c r="L75" s="11">
        <v>38122</v>
      </c>
      <c r="M75">
        <v>24</v>
      </c>
      <c r="N75">
        <v>300</v>
      </c>
      <c r="P75" s="12" t="s">
        <v>150</v>
      </c>
      <c r="Q75" s="13">
        <v>37848</v>
      </c>
      <c r="R75" s="12">
        <v>10</v>
      </c>
      <c r="S75" s="12">
        <v>300</v>
      </c>
    </row>
    <row r="76" spans="1:19" x14ac:dyDescent="0.2">
      <c r="A76" t="s">
        <v>72</v>
      </c>
      <c r="B76" s="1">
        <v>37809</v>
      </c>
      <c r="C76">
        <v>30.8</v>
      </c>
      <c r="D76">
        <v>1300</v>
      </c>
      <c r="F76" s="10" t="s">
        <v>148</v>
      </c>
      <c r="G76" s="11">
        <v>38791</v>
      </c>
      <c r="H76" s="10">
        <v>57</v>
      </c>
      <c r="I76" s="10">
        <v>510</v>
      </c>
      <c r="K76" s="10" t="s">
        <v>148</v>
      </c>
      <c r="L76" s="1">
        <v>38457</v>
      </c>
      <c r="M76" s="10">
        <v>57</v>
      </c>
      <c r="N76">
        <v>500</v>
      </c>
      <c r="P76" s="10" t="s">
        <v>148</v>
      </c>
      <c r="Q76" s="11">
        <v>38122</v>
      </c>
      <c r="R76">
        <v>24</v>
      </c>
      <c r="S76">
        <v>300</v>
      </c>
    </row>
    <row r="77" spans="1:19" x14ac:dyDescent="0.2">
      <c r="A77" t="s">
        <v>72</v>
      </c>
      <c r="B77" s="1">
        <v>37880</v>
      </c>
      <c r="C77">
        <v>35.9</v>
      </c>
      <c r="D77">
        <v>1300</v>
      </c>
      <c r="F77" s="10" t="s">
        <v>148</v>
      </c>
      <c r="G77" s="1">
        <v>39248</v>
      </c>
      <c r="H77" s="10">
        <v>54</v>
      </c>
      <c r="I77" s="10">
        <v>1000</v>
      </c>
      <c r="K77" s="10" t="s">
        <v>148</v>
      </c>
      <c r="L77" s="11">
        <v>38791</v>
      </c>
      <c r="M77" s="10">
        <v>57</v>
      </c>
      <c r="N77" s="10">
        <v>510</v>
      </c>
      <c r="O77" s="10"/>
      <c r="P77" s="10" t="s">
        <v>148</v>
      </c>
      <c r="Q77" s="1">
        <v>38457</v>
      </c>
      <c r="R77" s="10">
        <v>57</v>
      </c>
      <c r="S77">
        <v>500</v>
      </c>
    </row>
    <row r="78" spans="1:19" x14ac:dyDescent="0.2">
      <c r="A78" t="s">
        <v>72</v>
      </c>
      <c r="B78" s="1">
        <v>38413</v>
      </c>
      <c r="C78">
        <v>70.5</v>
      </c>
      <c r="D78">
        <v>1300</v>
      </c>
      <c r="F78" s="10" t="s">
        <v>148</v>
      </c>
      <c r="G78" s="1">
        <v>39614</v>
      </c>
      <c r="H78" s="10">
        <v>47</v>
      </c>
      <c r="I78">
        <v>820</v>
      </c>
      <c r="K78" s="10" t="s">
        <v>148</v>
      </c>
      <c r="L78" s="1">
        <v>39248</v>
      </c>
      <c r="M78" s="10">
        <v>54</v>
      </c>
      <c r="N78" s="10">
        <v>1000</v>
      </c>
      <c r="O78" s="10"/>
      <c r="P78" s="10" t="s">
        <v>148</v>
      </c>
      <c r="Q78" s="11">
        <v>38791</v>
      </c>
      <c r="R78" s="10">
        <v>57</v>
      </c>
      <c r="S78" s="10">
        <v>510</v>
      </c>
    </row>
    <row r="79" spans="1:19" x14ac:dyDescent="0.2">
      <c r="A79" t="s">
        <v>72</v>
      </c>
      <c r="B79" s="1">
        <v>38852</v>
      </c>
      <c r="C79">
        <v>70</v>
      </c>
      <c r="D79">
        <v>1300</v>
      </c>
      <c r="F79" t="s">
        <v>71</v>
      </c>
      <c r="G79" s="1">
        <v>37408</v>
      </c>
      <c r="H79">
        <v>51</v>
      </c>
      <c r="I79">
        <v>1200</v>
      </c>
      <c r="K79" s="10" t="s">
        <v>148</v>
      </c>
      <c r="L79" s="11">
        <v>39614</v>
      </c>
      <c r="M79" s="10">
        <v>47</v>
      </c>
      <c r="N79" s="10">
        <v>820</v>
      </c>
      <c r="O79" s="10"/>
      <c r="P79" s="10" t="s">
        <v>148</v>
      </c>
      <c r="Q79" s="1">
        <v>39248</v>
      </c>
      <c r="R79" s="10">
        <v>54</v>
      </c>
      <c r="S79" s="10">
        <v>1000</v>
      </c>
    </row>
    <row r="80" spans="1:19" x14ac:dyDescent="0.2">
      <c r="A80" t="s">
        <v>72</v>
      </c>
      <c r="B80" s="1">
        <v>38975</v>
      </c>
      <c r="C80">
        <v>72</v>
      </c>
      <c r="D80">
        <v>1300</v>
      </c>
      <c r="F80" t="s">
        <v>71</v>
      </c>
      <c r="G80" s="1">
        <v>37861</v>
      </c>
      <c r="H80">
        <v>36</v>
      </c>
      <c r="I80">
        <v>1200</v>
      </c>
      <c r="K80" s="10" t="s">
        <v>148</v>
      </c>
      <c r="L80" s="11">
        <v>39887</v>
      </c>
      <c r="M80" s="10">
        <v>48</v>
      </c>
      <c r="N80" s="10">
        <v>891</v>
      </c>
      <c r="O80" s="10"/>
      <c r="P80" s="10" t="s">
        <v>148</v>
      </c>
      <c r="Q80" s="11">
        <v>39614</v>
      </c>
      <c r="R80" s="10">
        <v>47</v>
      </c>
      <c r="S80" s="10">
        <v>820</v>
      </c>
    </row>
    <row r="81" spans="1:19" x14ac:dyDescent="0.2">
      <c r="A81" t="s">
        <v>72</v>
      </c>
      <c r="B81" s="1">
        <v>39066</v>
      </c>
      <c r="C81">
        <v>65</v>
      </c>
      <c r="D81">
        <v>1300</v>
      </c>
      <c r="F81" t="s">
        <v>71</v>
      </c>
      <c r="G81" s="1">
        <v>38167</v>
      </c>
      <c r="H81">
        <v>43</v>
      </c>
      <c r="I81">
        <v>1200</v>
      </c>
      <c r="K81" s="10" t="s">
        <v>148</v>
      </c>
      <c r="L81" s="11">
        <v>40252</v>
      </c>
      <c r="M81" s="10">
        <v>52</v>
      </c>
      <c r="N81" s="10">
        <v>959</v>
      </c>
      <c r="O81" s="10"/>
      <c r="P81" s="10" t="s">
        <v>148</v>
      </c>
      <c r="Q81" s="11">
        <v>39887</v>
      </c>
      <c r="R81" s="10">
        <v>48</v>
      </c>
      <c r="S81" s="10">
        <v>891</v>
      </c>
    </row>
    <row r="82" spans="1:19" x14ac:dyDescent="0.2">
      <c r="A82" t="s">
        <v>72</v>
      </c>
      <c r="B82" s="1">
        <v>39156</v>
      </c>
      <c r="C82">
        <v>64.7</v>
      </c>
      <c r="D82">
        <v>1300</v>
      </c>
      <c r="F82" t="s">
        <v>71</v>
      </c>
      <c r="G82" s="1">
        <v>38604</v>
      </c>
      <c r="H82">
        <v>65</v>
      </c>
      <c r="I82">
        <v>1200</v>
      </c>
      <c r="K82" t="s">
        <v>71</v>
      </c>
      <c r="L82" s="1">
        <v>37408</v>
      </c>
      <c r="M82">
        <v>51</v>
      </c>
      <c r="N82">
        <v>1200</v>
      </c>
      <c r="P82" s="10" t="s">
        <v>148</v>
      </c>
      <c r="Q82" s="11">
        <v>40252</v>
      </c>
      <c r="R82" s="10">
        <v>52</v>
      </c>
      <c r="S82" s="10">
        <v>959</v>
      </c>
    </row>
    <row r="83" spans="1:19" x14ac:dyDescent="0.2">
      <c r="A83" t="s">
        <v>72</v>
      </c>
      <c r="B83" s="1">
        <v>39401</v>
      </c>
      <c r="C83">
        <v>52</v>
      </c>
      <c r="D83">
        <v>1300</v>
      </c>
      <c r="F83" t="s">
        <v>71</v>
      </c>
      <c r="G83" s="1">
        <v>39036</v>
      </c>
      <c r="H83">
        <v>65</v>
      </c>
      <c r="I83">
        <v>1200</v>
      </c>
      <c r="K83" t="s">
        <v>71</v>
      </c>
      <c r="L83" s="1">
        <v>37861</v>
      </c>
      <c r="M83">
        <v>36</v>
      </c>
      <c r="N83">
        <v>1200</v>
      </c>
      <c r="P83" s="10" t="s">
        <v>150</v>
      </c>
      <c r="Q83" s="1">
        <v>40648</v>
      </c>
      <c r="R83" s="10">
        <v>42</v>
      </c>
      <c r="S83" s="10">
        <v>500</v>
      </c>
    </row>
    <row r="84" spans="1:19" x14ac:dyDescent="0.2">
      <c r="A84" t="s">
        <v>72</v>
      </c>
      <c r="B84" s="1">
        <v>39552</v>
      </c>
      <c r="C84">
        <v>51.8</v>
      </c>
      <c r="D84">
        <v>1300</v>
      </c>
      <c r="F84" t="s">
        <v>71</v>
      </c>
      <c r="G84" s="1">
        <v>39364</v>
      </c>
      <c r="H84">
        <v>61</v>
      </c>
      <c r="I84">
        <v>1200</v>
      </c>
      <c r="K84" t="s">
        <v>71</v>
      </c>
      <c r="L84" s="1">
        <v>38167</v>
      </c>
      <c r="M84">
        <v>43</v>
      </c>
      <c r="N84">
        <v>1200</v>
      </c>
      <c r="P84" t="s">
        <v>71</v>
      </c>
      <c r="Q84" s="1">
        <v>37408</v>
      </c>
      <c r="R84">
        <v>51</v>
      </c>
      <c r="S84">
        <v>1200</v>
      </c>
    </row>
    <row r="85" spans="1:19" x14ac:dyDescent="0.2">
      <c r="F85" s="10" t="s">
        <v>71</v>
      </c>
      <c r="G85" s="1">
        <v>39732</v>
      </c>
      <c r="H85">
        <v>48</v>
      </c>
      <c r="I85">
        <v>1200</v>
      </c>
      <c r="K85" t="s">
        <v>71</v>
      </c>
      <c r="L85" s="1">
        <v>38604</v>
      </c>
      <c r="M85">
        <v>65</v>
      </c>
      <c r="N85">
        <v>1200</v>
      </c>
      <c r="P85" t="s">
        <v>71</v>
      </c>
      <c r="Q85" s="1">
        <v>37861</v>
      </c>
      <c r="R85">
        <v>36</v>
      </c>
      <c r="S85">
        <v>1200</v>
      </c>
    </row>
    <row r="86" spans="1:19" x14ac:dyDescent="0.2">
      <c r="F86" t="s">
        <v>102</v>
      </c>
      <c r="G86" s="1">
        <v>38793</v>
      </c>
      <c r="H86">
        <v>60.2</v>
      </c>
      <c r="I86">
        <v>1200</v>
      </c>
      <c r="K86" t="s">
        <v>71</v>
      </c>
      <c r="L86" s="1">
        <v>39036</v>
      </c>
      <c r="M86">
        <v>65</v>
      </c>
      <c r="N86">
        <v>1200</v>
      </c>
      <c r="P86" t="s">
        <v>71</v>
      </c>
      <c r="Q86" s="1">
        <v>38167</v>
      </c>
      <c r="R86">
        <v>43</v>
      </c>
      <c r="S86">
        <v>1200</v>
      </c>
    </row>
    <row r="87" spans="1:19" x14ac:dyDescent="0.2">
      <c r="F87" t="s">
        <v>102</v>
      </c>
      <c r="G87" s="1">
        <v>39399</v>
      </c>
      <c r="H87">
        <v>43.5</v>
      </c>
      <c r="I87">
        <v>600</v>
      </c>
      <c r="K87" t="s">
        <v>71</v>
      </c>
      <c r="L87" s="1">
        <v>39364</v>
      </c>
      <c r="M87">
        <v>61</v>
      </c>
      <c r="N87">
        <v>1200</v>
      </c>
      <c r="P87" t="s">
        <v>71</v>
      </c>
      <c r="Q87" s="1">
        <v>38604</v>
      </c>
      <c r="R87">
        <v>65</v>
      </c>
      <c r="S87">
        <v>1200</v>
      </c>
    </row>
    <row r="88" spans="1:19" x14ac:dyDescent="0.2">
      <c r="F88" t="s">
        <v>102</v>
      </c>
      <c r="G88" s="1">
        <v>39540</v>
      </c>
      <c r="H88">
        <v>44.1</v>
      </c>
      <c r="I88">
        <v>1200</v>
      </c>
      <c r="K88" s="10" t="s">
        <v>71</v>
      </c>
      <c r="L88" s="1">
        <v>39732</v>
      </c>
      <c r="M88">
        <v>48</v>
      </c>
      <c r="N88">
        <v>1200</v>
      </c>
      <c r="P88" t="s">
        <v>71</v>
      </c>
      <c r="Q88" s="1">
        <v>39036</v>
      </c>
      <c r="R88">
        <v>65</v>
      </c>
      <c r="S88">
        <v>1200</v>
      </c>
    </row>
    <row r="89" spans="1:19" x14ac:dyDescent="0.2">
      <c r="F89" t="s">
        <v>79</v>
      </c>
      <c r="G89" s="1">
        <v>38579</v>
      </c>
      <c r="H89">
        <v>60</v>
      </c>
      <c r="I89">
        <v>1200</v>
      </c>
      <c r="K89" s="10" t="s">
        <v>71</v>
      </c>
      <c r="L89" s="11">
        <v>40112</v>
      </c>
      <c r="M89">
        <v>45</v>
      </c>
      <c r="N89">
        <v>1200</v>
      </c>
      <c r="P89" t="s">
        <v>71</v>
      </c>
      <c r="Q89" s="1">
        <v>39364</v>
      </c>
      <c r="R89">
        <v>61</v>
      </c>
      <c r="S89">
        <v>1200</v>
      </c>
    </row>
    <row r="90" spans="1:19" x14ac:dyDescent="0.2">
      <c r="F90" t="s">
        <v>79</v>
      </c>
      <c r="G90" s="1">
        <v>38610</v>
      </c>
      <c r="H90">
        <v>61</v>
      </c>
      <c r="I90">
        <v>1200</v>
      </c>
      <c r="K90" s="10" t="s">
        <v>71</v>
      </c>
      <c r="L90" s="1">
        <v>40457</v>
      </c>
      <c r="M90">
        <v>47</v>
      </c>
      <c r="N90">
        <v>1200</v>
      </c>
      <c r="P90" s="10" t="s">
        <v>71</v>
      </c>
      <c r="Q90" s="1">
        <v>39732</v>
      </c>
      <c r="R90">
        <v>48</v>
      </c>
      <c r="S90">
        <v>1200</v>
      </c>
    </row>
    <row r="91" spans="1:19" x14ac:dyDescent="0.2">
      <c r="F91" t="s">
        <v>79</v>
      </c>
      <c r="G91" s="1">
        <v>38883</v>
      </c>
      <c r="H91">
        <v>64</v>
      </c>
      <c r="I91">
        <v>1200</v>
      </c>
      <c r="K91" t="s">
        <v>79</v>
      </c>
      <c r="L91" s="1">
        <v>36234</v>
      </c>
      <c r="M91">
        <v>84</v>
      </c>
      <c r="N91">
        <v>1200</v>
      </c>
      <c r="P91" s="10" t="s">
        <v>71</v>
      </c>
      <c r="Q91" s="11">
        <v>40112</v>
      </c>
      <c r="R91">
        <v>45</v>
      </c>
      <c r="S91">
        <v>1200</v>
      </c>
    </row>
    <row r="92" spans="1:19" x14ac:dyDescent="0.2">
      <c r="F92" t="s">
        <v>79</v>
      </c>
      <c r="G92" s="1">
        <v>39248</v>
      </c>
      <c r="H92">
        <v>59</v>
      </c>
      <c r="I92">
        <v>1200</v>
      </c>
      <c r="K92" t="s">
        <v>79</v>
      </c>
      <c r="L92" s="11">
        <v>36326</v>
      </c>
      <c r="M92">
        <v>78</v>
      </c>
      <c r="N92">
        <v>1200</v>
      </c>
      <c r="P92" s="10" t="s">
        <v>71</v>
      </c>
      <c r="Q92" s="1">
        <v>40457</v>
      </c>
      <c r="R92">
        <v>47</v>
      </c>
      <c r="S92">
        <v>1200</v>
      </c>
    </row>
    <row r="93" spans="1:19" x14ac:dyDescent="0.2">
      <c r="F93" t="s">
        <v>79</v>
      </c>
      <c r="G93" s="1">
        <v>39500</v>
      </c>
      <c r="H93">
        <v>37</v>
      </c>
      <c r="I93">
        <v>1200</v>
      </c>
      <c r="K93" t="s">
        <v>79</v>
      </c>
      <c r="L93" s="1">
        <v>36509</v>
      </c>
      <c r="M93">
        <v>71</v>
      </c>
      <c r="N93">
        <v>1200</v>
      </c>
      <c r="P93" s="10" t="s">
        <v>3</v>
      </c>
      <c r="Q93" s="1">
        <v>40771</v>
      </c>
      <c r="R93">
        <v>49</v>
      </c>
      <c r="S93">
        <v>1200</v>
      </c>
    </row>
    <row r="94" spans="1:19" x14ac:dyDescent="0.2">
      <c r="F94" t="s">
        <v>79</v>
      </c>
      <c r="G94" s="1">
        <v>39613</v>
      </c>
      <c r="H94">
        <v>47</v>
      </c>
      <c r="I94">
        <v>1200</v>
      </c>
      <c r="K94" t="s">
        <v>79</v>
      </c>
      <c r="L94" s="1">
        <v>36692</v>
      </c>
      <c r="M94">
        <v>63</v>
      </c>
      <c r="N94">
        <v>1200</v>
      </c>
      <c r="P94" t="s">
        <v>79</v>
      </c>
      <c r="Q94" s="1">
        <v>36234</v>
      </c>
      <c r="R94">
        <v>84</v>
      </c>
      <c r="S94">
        <v>1200</v>
      </c>
    </row>
    <row r="95" spans="1:19" x14ac:dyDescent="0.2">
      <c r="F95" t="s">
        <v>82</v>
      </c>
      <c r="G95" s="1">
        <v>38424</v>
      </c>
      <c r="H95">
        <v>53</v>
      </c>
      <c r="I95">
        <v>1500</v>
      </c>
      <c r="K95" t="s">
        <v>79</v>
      </c>
      <c r="L95" s="1">
        <v>36784</v>
      </c>
      <c r="M95">
        <v>60</v>
      </c>
      <c r="N95">
        <v>1200</v>
      </c>
      <c r="P95" t="s">
        <v>79</v>
      </c>
      <c r="Q95" s="11">
        <v>36326</v>
      </c>
      <c r="R95">
        <v>78</v>
      </c>
      <c r="S95">
        <v>1200</v>
      </c>
    </row>
    <row r="96" spans="1:19" x14ac:dyDescent="0.2">
      <c r="F96" t="s">
        <v>82</v>
      </c>
      <c r="G96" s="1">
        <v>39278</v>
      </c>
      <c r="H96">
        <v>50</v>
      </c>
      <c r="I96">
        <v>1500</v>
      </c>
      <c r="K96" t="s">
        <v>79</v>
      </c>
      <c r="L96" s="1">
        <v>36965</v>
      </c>
      <c r="M96">
        <v>68</v>
      </c>
      <c r="N96">
        <v>1200</v>
      </c>
      <c r="P96" t="s">
        <v>79</v>
      </c>
      <c r="Q96" s="1">
        <v>36509</v>
      </c>
      <c r="R96">
        <v>71</v>
      </c>
      <c r="S96">
        <v>1200</v>
      </c>
    </row>
    <row r="97" spans="6:19" x14ac:dyDescent="0.2">
      <c r="F97" t="s">
        <v>120</v>
      </c>
      <c r="G97" s="1">
        <v>37909</v>
      </c>
      <c r="H97">
        <v>44</v>
      </c>
      <c r="I97">
        <v>1000</v>
      </c>
      <c r="K97" t="s">
        <v>79</v>
      </c>
      <c r="L97" s="1">
        <v>37149</v>
      </c>
      <c r="M97">
        <v>46</v>
      </c>
      <c r="N97">
        <v>1200</v>
      </c>
      <c r="P97" t="s">
        <v>79</v>
      </c>
      <c r="Q97" s="1">
        <v>36692</v>
      </c>
      <c r="R97">
        <v>63</v>
      </c>
      <c r="S97">
        <v>1200</v>
      </c>
    </row>
    <row r="98" spans="6:19" x14ac:dyDescent="0.2">
      <c r="F98" t="s">
        <v>120</v>
      </c>
      <c r="G98" s="1">
        <v>38068</v>
      </c>
      <c r="H98">
        <v>36</v>
      </c>
      <c r="I98">
        <v>1000</v>
      </c>
      <c r="K98" t="s">
        <v>79</v>
      </c>
      <c r="L98" s="1">
        <v>37240</v>
      </c>
      <c r="M98">
        <v>33</v>
      </c>
      <c r="N98">
        <v>1200</v>
      </c>
      <c r="P98" t="s">
        <v>79</v>
      </c>
      <c r="Q98" s="1">
        <v>36784</v>
      </c>
      <c r="R98">
        <v>60</v>
      </c>
      <c r="S98">
        <v>1200</v>
      </c>
    </row>
    <row r="99" spans="6:19" x14ac:dyDescent="0.2">
      <c r="F99" t="s">
        <v>83</v>
      </c>
      <c r="G99" s="1">
        <v>38153</v>
      </c>
      <c r="H99">
        <v>43</v>
      </c>
      <c r="I99">
        <v>1000</v>
      </c>
      <c r="K99" t="s">
        <v>79</v>
      </c>
      <c r="L99" s="1">
        <v>37330</v>
      </c>
      <c r="M99">
        <v>31</v>
      </c>
      <c r="N99">
        <v>1200</v>
      </c>
      <c r="P99" t="s">
        <v>79</v>
      </c>
      <c r="Q99" s="1">
        <v>36965</v>
      </c>
      <c r="R99">
        <v>68</v>
      </c>
      <c r="S99">
        <v>1200</v>
      </c>
    </row>
    <row r="100" spans="6:19" x14ac:dyDescent="0.2">
      <c r="F100" t="s">
        <v>83</v>
      </c>
      <c r="G100" s="1">
        <v>39431</v>
      </c>
      <c r="H100">
        <v>61</v>
      </c>
      <c r="I100">
        <v>1000</v>
      </c>
      <c r="K100" t="s">
        <v>79</v>
      </c>
      <c r="L100" s="1">
        <v>37422</v>
      </c>
      <c r="M100">
        <v>35</v>
      </c>
      <c r="N100">
        <v>1200</v>
      </c>
      <c r="P100" t="s">
        <v>79</v>
      </c>
      <c r="Q100" s="1">
        <v>37149</v>
      </c>
      <c r="R100">
        <v>46</v>
      </c>
      <c r="S100">
        <v>1200</v>
      </c>
    </row>
    <row r="101" spans="6:19" x14ac:dyDescent="0.2">
      <c r="F101" t="s">
        <v>72</v>
      </c>
      <c r="G101" s="11">
        <v>36206</v>
      </c>
      <c r="H101">
        <v>91.2</v>
      </c>
      <c r="I101">
        <v>1000</v>
      </c>
      <c r="K101" t="s">
        <v>79</v>
      </c>
      <c r="L101" s="1">
        <v>37514</v>
      </c>
      <c r="M101">
        <v>33</v>
      </c>
      <c r="N101">
        <v>1200</v>
      </c>
      <c r="P101" t="s">
        <v>79</v>
      </c>
      <c r="Q101" s="1">
        <v>37240</v>
      </c>
      <c r="R101">
        <v>33</v>
      </c>
      <c r="S101">
        <v>1200</v>
      </c>
    </row>
    <row r="102" spans="6:19" x14ac:dyDescent="0.2">
      <c r="F102" t="s">
        <v>72</v>
      </c>
      <c r="G102" s="1">
        <v>37809</v>
      </c>
      <c r="H102">
        <v>30.8</v>
      </c>
      <c r="I102">
        <v>1000</v>
      </c>
      <c r="K102" t="s">
        <v>79</v>
      </c>
      <c r="L102" s="1">
        <v>37605</v>
      </c>
      <c r="M102">
        <v>36</v>
      </c>
      <c r="N102">
        <v>1200</v>
      </c>
      <c r="P102" t="s">
        <v>79</v>
      </c>
      <c r="Q102" s="1">
        <v>37330</v>
      </c>
      <c r="R102">
        <v>31</v>
      </c>
      <c r="S102">
        <v>1200</v>
      </c>
    </row>
    <row r="103" spans="6:19" x14ac:dyDescent="0.2">
      <c r="F103" t="s">
        <v>72</v>
      </c>
      <c r="G103" s="1">
        <v>37880</v>
      </c>
      <c r="H103">
        <v>35.9</v>
      </c>
      <c r="I103">
        <v>1300</v>
      </c>
      <c r="K103" t="s">
        <v>79</v>
      </c>
      <c r="L103" s="1">
        <v>37787</v>
      </c>
      <c r="M103">
        <v>43</v>
      </c>
      <c r="N103">
        <v>1200</v>
      </c>
      <c r="P103" t="s">
        <v>79</v>
      </c>
      <c r="Q103" s="1">
        <v>37422</v>
      </c>
      <c r="R103">
        <v>35</v>
      </c>
      <c r="S103">
        <v>1200</v>
      </c>
    </row>
    <row r="104" spans="6:19" x14ac:dyDescent="0.2">
      <c r="F104" t="s">
        <v>72</v>
      </c>
      <c r="G104" s="1">
        <v>38413</v>
      </c>
      <c r="H104">
        <v>70.5</v>
      </c>
      <c r="I104">
        <v>1300</v>
      </c>
      <c r="K104" t="s">
        <v>79</v>
      </c>
      <c r="L104" s="1">
        <v>37879</v>
      </c>
      <c r="M104">
        <v>31</v>
      </c>
      <c r="N104">
        <v>1200</v>
      </c>
      <c r="P104" t="s">
        <v>79</v>
      </c>
      <c r="Q104" s="1">
        <v>37514</v>
      </c>
      <c r="R104">
        <v>33</v>
      </c>
      <c r="S104">
        <v>1200</v>
      </c>
    </row>
    <row r="105" spans="6:19" x14ac:dyDescent="0.2">
      <c r="F105" t="s">
        <v>72</v>
      </c>
      <c r="G105" s="1">
        <v>38852</v>
      </c>
      <c r="H105">
        <v>70</v>
      </c>
      <c r="I105">
        <v>1300</v>
      </c>
      <c r="K105" t="s">
        <v>79</v>
      </c>
      <c r="L105" s="1">
        <v>37970</v>
      </c>
      <c r="M105">
        <v>40</v>
      </c>
      <c r="N105">
        <v>1200</v>
      </c>
      <c r="P105" t="s">
        <v>79</v>
      </c>
      <c r="Q105" s="1">
        <v>37605</v>
      </c>
      <c r="R105">
        <v>36</v>
      </c>
      <c r="S105">
        <v>1200</v>
      </c>
    </row>
    <row r="106" spans="6:19" x14ac:dyDescent="0.2">
      <c r="F106" t="s">
        <v>72</v>
      </c>
      <c r="G106" s="1">
        <v>38975</v>
      </c>
      <c r="H106">
        <v>72</v>
      </c>
      <c r="I106">
        <v>1300</v>
      </c>
      <c r="K106" t="s">
        <v>79</v>
      </c>
      <c r="L106" s="1">
        <v>38153</v>
      </c>
      <c r="M106">
        <v>46</v>
      </c>
      <c r="N106">
        <v>1200</v>
      </c>
      <c r="P106" t="s">
        <v>79</v>
      </c>
      <c r="Q106" s="1">
        <v>37787</v>
      </c>
      <c r="R106">
        <v>43</v>
      </c>
      <c r="S106">
        <v>1200</v>
      </c>
    </row>
    <row r="107" spans="6:19" x14ac:dyDescent="0.2">
      <c r="F107" t="s">
        <v>72</v>
      </c>
      <c r="G107" s="1">
        <v>39066</v>
      </c>
      <c r="H107">
        <v>65</v>
      </c>
      <c r="I107">
        <v>1300</v>
      </c>
      <c r="K107" t="s">
        <v>79</v>
      </c>
      <c r="L107" s="1">
        <v>38245</v>
      </c>
      <c r="M107">
        <v>50</v>
      </c>
      <c r="N107">
        <v>1200</v>
      </c>
      <c r="P107" t="s">
        <v>79</v>
      </c>
      <c r="Q107" s="1">
        <v>37879</v>
      </c>
      <c r="R107">
        <v>31</v>
      </c>
      <c r="S107">
        <v>1200</v>
      </c>
    </row>
    <row r="108" spans="6:19" x14ac:dyDescent="0.2">
      <c r="F108" t="s">
        <v>72</v>
      </c>
      <c r="G108" s="1">
        <v>39156</v>
      </c>
      <c r="H108">
        <v>64.7</v>
      </c>
      <c r="I108">
        <v>1300</v>
      </c>
      <c r="K108" t="s">
        <v>79</v>
      </c>
      <c r="L108" s="1">
        <v>38426</v>
      </c>
      <c r="M108">
        <v>69</v>
      </c>
      <c r="N108">
        <v>1200</v>
      </c>
      <c r="P108" t="s">
        <v>79</v>
      </c>
      <c r="Q108" s="1">
        <v>37970</v>
      </c>
      <c r="R108">
        <v>40</v>
      </c>
      <c r="S108">
        <v>1200</v>
      </c>
    </row>
    <row r="109" spans="6:19" x14ac:dyDescent="0.2">
      <c r="F109" t="s">
        <v>72</v>
      </c>
      <c r="G109" s="1">
        <v>39401</v>
      </c>
      <c r="H109">
        <v>52</v>
      </c>
      <c r="I109">
        <v>1300</v>
      </c>
      <c r="K109" t="s">
        <v>79</v>
      </c>
      <c r="L109" s="1">
        <v>38518</v>
      </c>
      <c r="M109">
        <v>61</v>
      </c>
      <c r="N109">
        <v>1200</v>
      </c>
      <c r="P109" t="s">
        <v>79</v>
      </c>
      <c r="Q109" s="1">
        <v>38153</v>
      </c>
      <c r="R109">
        <v>46</v>
      </c>
      <c r="S109">
        <v>1200</v>
      </c>
    </row>
    <row r="110" spans="6:19" x14ac:dyDescent="0.2">
      <c r="F110" t="s">
        <v>72</v>
      </c>
      <c r="G110" s="1">
        <v>39552</v>
      </c>
      <c r="H110">
        <v>51.8</v>
      </c>
      <c r="I110">
        <v>1300</v>
      </c>
      <c r="K110" t="s">
        <v>79</v>
      </c>
      <c r="L110" s="1">
        <v>38610</v>
      </c>
      <c r="M110">
        <v>61</v>
      </c>
      <c r="N110">
        <v>1200</v>
      </c>
      <c r="P110" t="s">
        <v>79</v>
      </c>
      <c r="Q110" s="1">
        <v>38245</v>
      </c>
      <c r="R110">
        <v>50</v>
      </c>
      <c r="S110">
        <v>1200</v>
      </c>
    </row>
    <row r="111" spans="6:19" x14ac:dyDescent="0.2">
      <c r="F111" t="s">
        <v>72</v>
      </c>
      <c r="G111" s="1">
        <v>39918</v>
      </c>
      <c r="H111">
        <v>59</v>
      </c>
      <c r="I111">
        <v>1300</v>
      </c>
      <c r="K111" t="s">
        <v>79</v>
      </c>
      <c r="L111" s="1">
        <v>38701</v>
      </c>
      <c r="M111">
        <v>66</v>
      </c>
      <c r="N111">
        <v>1200</v>
      </c>
      <c r="P111" t="s">
        <v>79</v>
      </c>
      <c r="Q111" s="1">
        <v>38426</v>
      </c>
      <c r="R111">
        <v>69</v>
      </c>
      <c r="S111">
        <v>1200</v>
      </c>
    </row>
    <row r="112" spans="6:19" x14ac:dyDescent="0.2">
      <c r="F112" t="s">
        <v>72</v>
      </c>
      <c r="G112" s="1">
        <v>40094</v>
      </c>
      <c r="H112">
        <v>46.2</v>
      </c>
      <c r="I112">
        <v>1300</v>
      </c>
      <c r="K112" t="s">
        <v>79</v>
      </c>
      <c r="L112" s="1">
        <v>38791</v>
      </c>
      <c r="M112">
        <v>65</v>
      </c>
      <c r="N112">
        <v>1200</v>
      </c>
      <c r="P112" t="s">
        <v>79</v>
      </c>
      <c r="Q112" s="1">
        <v>38518</v>
      </c>
      <c r="R112">
        <v>61</v>
      </c>
      <c r="S112">
        <v>1200</v>
      </c>
    </row>
    <row r="113" spans="11:19" x14ac:dyDescent="0.2">
      <c r="K113" t="s">
        <v>79</v>
      </c>
      <c r="L113" s="1">
        <v>38883</v>
      </c>
      <c r="M113">
        <v>64</v>
      </c>
      <c r="N113">
        <v>1200</v>
      </c>
      <c r="P113" t="s">
        <v>79</v>
      </c>
      <c r="Q113" s="1">
        <v>38610</v>
      </c>
      <c r="R113">
        <v>61</v>
      </c>
      <c r="S113">
        <v>1200</v>
      </c>
    </row>
    <row r="114" spans="11:19" x14ac:dyDescent="0.2">
      <c r="K114" t="s">
        <v>79</v>
      </c>
      <c r="L114" s="1">
        <v>38975</v>
      </c>
      <c r="M114">
        <v>61</v>
      </c>
      <c r="N114">
        <v>1200</v>
      </c>
      <c r="P114" t="s">
        <v>79</v>
      </c>
      <c r="Q114" s="1">
        <v>38701</v>
      </c>
      <c r="R114">
        <v>66</v>
      </c>
      <c r="S114">
        <v>1200</v>
      </c>
    </row>
    <row r="115" spans="11:19" x14ac:dyDescent="0.2">
      <c r="K115" t="s">
        <v>79</v>
      </c>
      <c r="L115" s="1">
        <v>39066</v>
      </c>
      <c r="M115">
        <v>60</v>
      </c>
      <c r="N115">
        <v>1200</v>
      </c>
      <c r="P115" t="s">
        <v>79</v>
      </c>
      <c r="Q115" s="1">
        <v>38791</v>
      </c>
      <c r="R115">
        <v>65</v>
      </c>
      <c r="S115">
        <v>1200</v>
      </c>
    </row>
    <row r="116" spans="11:19" x14ac:dyDescent="0.2">
      <c r="K116" t="s">
        <v>79</v>
      </c>
      <c r="L116" s="1">
        <v>39156</v>
      </c>
      <c r="M116">
        <v>60</v>
      </c>
      <c r="N116">
        <v>1200</v>
      </c>
      <c r="P116" t="s">
        <v>79</v>
      </c>
      <c r="Q116" s="1">
        <v>38883</v>
      </c>
      <c r="R116">
        <v>64</v>
      </c>
      <c r="S116">
        <v>1200</v>
      </c>
    </row>
    <row r="117" spans="11:19" x14ac:dyDescent="0.2">
      <c r="K117" t="s">
        <v>79</v>
      </c>
      <c r="L117" s="1">
        <v>39248</v>
      </c>
      <c r="M117">
        <v>59</v>
      </c>
      <c r="N117">
        <v>1200</v>
      </c>
      <c r="P117" t="s">
        <v>79</v>
      </c>
      <c r="Q117" s="1">
        <v>38975</v>
      </c>
      <c r="R117">
        <v>61</v>
      </c>
      <c r="S117">
        <v>1200</v>
      </c>
    </row>
    <row r="118" spans="11:19" x14ac:dyDescent="0.2">
      <c r="K118" t="s">
        <v>79</v>
      </c>
      <c r="L118" s="1">
        <v>39345</v>
      </c>
      <c r="M118">
        <v>57</v>
      </c>
      <c r="N118">
        <v>1200</v>
      </c>
      <c r="P118" t="s">
        <v>79</v>
      </c>
      <c r="Q118" s="1">
        <v>39066</v>
      </c>
      <c r="R118">
        <v>60</v>
      </c>
      <c r="S118">
        <v>1200</v>
      </c>
    </row>
    <row r="119" spans="11:19" x14ac:dyDescent="0.2">
      <c r="K119" t="s">
        <v>79</v>
      </c>
      <c r="L119" s="1">
        <v>39431</v>
      </c>
      <c r="M119">
        <v>49</v>
      </c>
      <c r="N119">
        <v>1200</v>
      </c>
      <c r="P119" t="s">
        <v>79</v>
      </c>
      <c r="Q119" s="1">
        <v>39156</v>
      </c>
      <c r="R119">
        <v>60</v>
      </c>
      <c r="S119">
        <v>1200</v>
      </c>
    </row>
    <row r="120" spans="11:19" x14ac:dyDescent="0.2">
      <c r="K120" t="s">
        <v>79</v>
      </c>
      <c r="L120" s="1">
        <v>39522</v>
      </c>
      <c r="M120">
        <v>47</v>
      </c>
      <c r="N120">
        <v>1200</v>
      </c>
      <c r="P120" t="s">
        <v>79</v>
      </c>
      <c r="Q120" s="1">
        <v>39248</v>
      </c>
      <c r="R120">
        <v>59</v>
      </c>
      <c r="S120">
        <v>1200</v>
      </c>
    </row>
    <row r="121" spans="11:19" x14ac:dyDescent="0.2">
      <c r="K121" t="s">
        <v>79</v>
      </c>
      <c r="L121" s="1">
        <v>39603</v>
      </c>
      <c r="M121">
        <v>47</v>
      </c>
      <c r="N121">
        <v>1200</v>
      </c>
      <c r="P121" t="s">
        <v>79</v>
      </c>
      <c r="Q121" s="1">
        <v>39345</v>
      </c>
      <c r="R121">
        <v>57</v>
      </c>
      <c r="S121">
        <v>1200</v>
      </c>
    </row>
    <row r="122" spans="11:19" x14ac:dyDescent="0.2">
      <c r="K122" t="s">
        <v>79</v>
      </c>
      <c r="L122" s="1">
        <v>39706</v>
      </c>
      <c r="M122">
        <v>47</v>
      </c>
      <c r="N122">
        <v>1200</v>
      </c>
      <c r="P122" t="s">
        <v>79</v>
      </c>
      <c r="Q122" s="1">
        <v>39431</v>
      </c>
      <c r="R122">
        <v>49</v>
      </c>
      <c r="S122">
        <v>1200</v>
      </c>
    </row>
    <row r="123" spans="11:19" x14ac:dyDescent="0.2">
      <c r="K123" t="s">
        <v>79</v>
      </c>
      <c r="L123" s="1">
        <v>39797</v>
      </c>
      <c r="M123">
        <v>52</v>
      </c>
      <c r="N123">
        <v>1200</v>
      </c>
      <c r="P123" t="s">
        <v>79</v>
      </c>
      <c r="Q123" s="1">
        <v>39522</v>
      </c>
      <c r="R123">
        <v>47</v>
      </c>
      <c r="S123">
        <v>1200</v>
      </c>
    </row>
    <row r="124" spans="11:19" x14ac:dyDescent="0.2">
      <c r="K124" t="s">
        <v>79</v>
      </c>
      <c r="L124" s="1">
        <v>39887</v>
      </c>
      <c r="M124">
        <v>56</v>
      </c>
      <c r="N124">
        <v>1200</v>
      </c>
      <c r="P124" t="s">
        <v>79</v>
      </c>
      <c r="Q124" s="1">
        <v>39603</v>
      </c>
      <c r="R124">
        <v>47</v>
      </c>
      <c r="S124">
        <v>1200</v>
      </c>
    </row>
    <row r="125" spans="11:19" x14ac:dyDescent="0.2">
      <c r="K125" t="s">
        <v>79</v>
      </c>
      <c r="L125" s="1">
        <v>39979</v>
      </c>
      <c r="M125">
        <v>50</v>
      </c>
      <c r="N125">
        <v>1200</v>
      </c>
      <c r="P125" t="s">
        <v>79</v>
      </c>
      <c r="Q125" s="1">
        <v>39706</v>
      </c>
      <c r="R125">
        <v>47</v>
      </c>
      <c r="S125">
        <v>1200</v>
      </c>
    </row>
    <row r="126" spans="11:19" x14ac:dyDescent="0.2">
      <c r="K126" t="s">
        <v>79</v>
      </c>
      <c r="L126" s="1">
        <v>40071</v>
      </c>
      <c r="M126">
        <v>45</v>
      </c>
      <c r="N126">
        <v>1200</v>
      </c>
      <c r="P126" t="s">
        <v>79</v>
      </c>
      <c r="Q126" s="1">
        <v>39797</v>
      </c>
      <c r="R126">
        <v>52</v>
      </c>
      <c r="S126">
        <v>1200</v>
      </c>
    </row>
    <row r="127" spans="11:19" x14ac:dyDescent="0.2">
      <c r="K127" t="s">
        <v>79</v>
      </c>
      <c r="L127" s="1">
        <v>40162</v>
      </c>
      <c r="M127">
        <v>49</v>
      </c>
      <c r="N127">
        <v>1200</v>
      </c>
      <c r="P127" t="s">
        <v>79</v>
      </c>
      <c r="Q127" s="1">
        <v>39887</v>
      </c>
      <c r="R127">
        <v>56</v>
      </c>
      <c r="S127">
        <v>1200</v>
      </c>
    </row>
    <row r="128" spans="11:19" x14ac:dyDescent="0.2">
      <c r="K128" t="s">
        <v>79</v>
      </c>
      <c r="L128" s="1">
        <v>40250</v>
      </c>
      <c r="M128">
        <v>43</v>
      </c>
      <c r="N128">
        <v>1200</v>
      </c>
      <c r="P128" t="s">
        <v>79</v>
      </c>
      <c r="Q128" s="1">
        <v>39979</v>
      </c>
      <c r="R128">
        <v>50</v>
      </c>
      <c r="S128">
        <v>1200</v>
      </c>
    </row>
    <row r="129" spans="11:19" x14ac:dyDescent="0.2">
      <c r="K129" t="s">
        <v>79</v>
      </c>
      <c r="L129" s="1">
        <v>40313</v>
      </c>
      <c r="M129">
        <v>41</v>
      </c>
      <c r="N129">
        <v>1200</v>
      </c>
      <c r="P129" t="s">
        <v>79</v>
      </c>
      <c r="Q129" s="1">
        <v>40071</v>
      </c>
      <c r="R129">
        <v>45</v>
      </c>
      <c r="S129">
        <v>1200</v>
      </c>
    </row>
    <row r="130" spans="11:19" x14ac:dyDescent="0.2">
      <c r="K130" s="10" t="s">
        <v>34</v>
      </c>
      <c r="L130" s="1">
        <v>38424</v>
      </c>
      <c r="M130">
        <v>53</v>
      </c>
      <c r="N130">
        <v>1500</v>
      </c>
      <c r="P130" t="s">
        <v>79</v>
      </c>
      <c r="Q130" s="1">
        <v>40162</v>
      </c>
      <c r="R130">
        <v>49</v>
      </c>
      <c r="S130">
        <v>1200</v>
      </c>
    </row>
    <row r="131" spans="11:19" x14ac:dyDescent="0.2">
      <c r="K131" s="10" t="s">
        <v>34</v>
      </c>
      <c r="L131" s="1">
        <v>39036</v>
      </c>
      <c r="M131">
        <v>54</v>
      </c>
      <c r="N131">
        <v>1000</v>
      </c>
      <c r="P131" t="s">
        <v>79</v>
      </c>
      <c r="Q131" s="1">
        <v>40250</v>
      </c>
      <c r="R131">
        <v>43</v>
      </c>
      <c r="S131">
        <v>1200</v>
      </c>
    </row>
    <row r="132" spans="11:19" x14ac:dyDescent="0.2">
      <c r="K132" s="10" t="s">
        <v>34</v>
      </c>
      <c r="L132" s="1">
        <v>39128</v>
      </c>
      <c r="M132">
        <v>45</v>
      </c>
      <c r="N132">
        <v>1000</v>
      </c>
      <c r="P132" t="s">
        <v>79</v>
      </c>
      <c r="Q132" s="1">
        <v>40313</v>
      </c>
      <c r="R132">
        <v>41</v>
      </c>
      <c r="S132">
        <v>1200</v>
      </c>
    </row>
    <row r="133" spans="11:19" x14ac:dyDescent="0.2">
      <c r="K133" s="10" t="s">
        <v>34</v>
      </c>
      <c r="L133" s="1">
        <v>39217</v>
      </c>
      <c r="M133">
        <v>35</v>
      </c>
      <c r="N133">
        <v>1000</v>
      </c>
      <c r="P133" t="s">
        <v>79</v>
      </c>
      <c r="Q133" s="1">
        <v>40798</v>
      </c>
      <c r="R133">
        <v>57</v>
      </c>
      <c r="S133">
        <v>1200</v>
      </c>
    </row>
    <row r="134" spans="11:19" x14ac:dyDescent="0.2">
      <c r="K134" s="10" t="s">
        <v>34</v>
      </c>
      <c r="L134" s="1">
        <v>39257</v>
      </c>
      <c r="M134">
        <v>37</v>
      </c>
      <c r="N134">
        <v>1000</v>
      </c>
      <c r="P134" t="s">
        <v>79</v>
      </c>
      <c r="Q134" s="1">
        <v>40866</v>
      </c>
      <c r="R134">
        <v>50</v>
      </c>
      <c r="S134">
        <v>1200</v>
      </c>
    </row>
    <row r="135" spans="11:19" x14ac:dyDescent="0.2">
      <c r="K135" s="10" t="s">
        <v>34</v>
      </c>
      <c r="L135" s="11">
        <v>39287</v>
      </c>
      <c r="M135">
        <v>45</v>
      </c>
      <c r="N135">
        <v>1148</v>
      </c>
      <c r="P135" s="10" t="s">
        <v>34</v>
      </c>
      <c r="Q135" s="1">
        <v>38424</v>
      </c>
      <c r="R135">
        <v>53</v>
      </c>
      <c r="S135">
        <v>1500</v>
      </c>
    </row>
    <row r="136" spans="11:19" x14ac:dyDescent="0.2">
      <c r="K136" t="s">
        <v>82</v>
      </c>
      <c r="L136" s="1">
        <v>39859</v>
      </c>
      <c r="M136">
        <v>52</v>
      </c>
      <c r="N136">
        <v>1000</v>
      </c>
      <c r="P136" s="10" t="s">
        <v>34</v>
      </c>
      <c r="Q136" s="1">
        <v>39036</v>
      </c>
      <c r="R136">
        <v>54</v>
      </c>
      <c r="S136">
        <v>1000</v>
      </c>
    </row>
    <row r="137" spans="11:19" x14ac:dyDescent="0.2">
      <c r="K137" t="s">
        <v>82</v>
      </c>
      <c r="L137" s="1">
        <v>39965</v>
      </c>
      <c r="M137">
        <v>41</v>
      </c>
      <c r="N137">
        <v>1000</v>
      </c>
      <c r="P137" s="10" t="s">
        <v>34</v>
      </c>
      <c r="Q137" s="1">
        <v>39128</v>
      </c>
      <c r="R137">
        <v>45</v>
      </c>
      <c r="S137">
        <v>1000</v>
      </c>
    </row>
    <row r="138" spans="11:19" x14ac:dyDescent="0.2">
      <c r="K138" t="s">
        <v>82</v>
      </c>
      <c r="L138" s="1">
        <v>40057</v>
      </c>
      <c r="M138">
        <v>29</v>
      </c>
      <c r="N138">
        <v>1300</v>
      </c>
      <c r="P138" s="10" t="s">
        <v>34</v>
      </c>
      <c r="Q138" s="1">
        <v>39217</v>
      </c>
      <c r="R138">
        <v>35</v>
      </c>
      <c r="S138">
        <v>1000</v>
      </c>
    </row>
    <row r="139" spans="11:19" x14ac:dyDescent="0.2">
      <c r="K139" t="s">
        <v>82</v>
      </c>
      <c r="L139" s="1">
        <v>40101</v>
      </c>
      <c r="M139">
        <v>40</v>
      </c>
      <c r="N139">
        <v>1300</v>
      </c>
      <c r="P139" s="10" t="s">
        <v>34</v>
      </c>
      <c r="Q139" s="1">
        <v>39257</v>
      </c>
      <c r="R139">
        <v>37</v>
      </c>
      <c r="S139">
        <v>1000</v>
      </c>
    </row>
    <row r="140" spans="11:19" x14ac:dyDescent="0.2">
      <c r="K140" t="s">
        <v>82</v>
      </c>
      <c r="L140" s="1">
        <v>40139</v>
      </c>
      <c r="M140">
        <v>39</v>
      </c>
      <c r="N140">
        <v>1396</v>
      </c>
      <c r="P140" s="10" t="s">
        <v>34</v>
      </c>
      <c r="Q140" s="11">
        <v>39287</v>
      </c>
      <c r="R140">
        <v>45</v>
      </c>
      <c r="S140">
        <v>1148</v>
      </c>
    </row>
    <row r="141" spans="11:19" x14ac:dyDescent="0.2">
      <c r="K141" t="s">
        <v>82</v>
      </c>
      <c r="L141" s="1">
        <v>40252</v>
      </c>
      <c r="M141">
        <v>39</v>
      </c>
      <c r="N141">
        <v>1000</v>
      </c>
      <c r="P141" t="s">
        <v>82</v>
      </c>
      <c r="Q141" s="1">
        <v>39859</v>
      </c>
      <c r="R141">
        <v>52</v>
      </c>
      <c r="S141">
        <v>1000</v>
      </c>
    </row>
    <row r="142" spans="11:19" x14ac:dyDescent="0.2">
      <c r="K142" t="s">
        <v>82</v>
      </c>
      <c r="L142" s="1">
        <v>40283</v>
      </c>
      <c r="M142">
        <v>41</v>
      </c>
      <c r="N142">
        <v>1000</v>
      </c>
      <c r="P142" t="s">
        <v>82</v>
      </c>
      <c r="Q142" s="1">
        <v>39965</v>
      </c>
      <c r="R142">
        <v>41</v>
      </c>
      <c r="S142">
        <v>1000</v>
      </c>
    </row>
    <row r="143" spans="11:19" x14ac:dyDescent="0.2">
      <c r="K143" t="s">
        <v>82</v>
      </c>
      <c r="L143" s="1">
        <v>40313</v>
      </c>
      <c r="M143">
        <v>44</v>
      </c>
      <c r="N143">
        <v>1000</v>
      </c>
      <c r="P143" t="s">
        <v>82</v>
      </c>
      <c r="Q143" s="1">
        <v>40057</v>
      </c>
      <c r="R143">
        <v>29</v>
      </c>
      <c r="S143">
        <v>1300</v>
      </c>
    </row>
    <row r="144" spans="11:19" x14ac:dyDescent="0.2">
      <c r="K144" t="s">
        <v>82</v>
      </c>
      <c r="L144" s="1">
        <v>40342</v>
      </c>
      <c r="M144">
        <v>41</v>
      </c>
      <c r="N144">
        <v>1269</v>
      </c>
      <c r="P144" t="s">
        <v>82</v>
      </c>
      <c r="Q144" s="1">
        <v>40101</v>
      </c>
      <c r="R144">
        <v>40</v>
      </c>
      <c r="S144">
        <v>1300</v>
      </c>
    </row>
    <row r="145" spans="11:19" x14ac:dyDescent="0.2">
      <c r="K145" t="s">
        <v>82</v>
      </c>
      <c r="L145" s="1">
        <v>40422</v>
      </c>
      <c r="M145">
        <v>46</v>
      </c>
      <c r="N145">
        <v>1000</v>
      </c>
      <c r="P145" t="s">
        <v>82</v>
      </c>
      <c r="Q145" s="1">
        <v>40139</v>
      </c>
      <c r="R145">
        <v>39</v>
      </c>
      <c r="S145">
        <v>1396</v>
      </c>
    </row>
    <row r="146" spans="11:19" x14ac:dyDescent="0.2">
      <c r="K146" t="s">
        <v>82</v>
      </c>
      <c r="L146" s="1">
        <v>40497</v>
      </c>
      <c r="M146">
        <v>42</v>
      </c>
      <c r="N146">
        <v>1000</v>
      </c>
      <c r="P146" t="s">
        <v>82</v>
      </c>
      <c r="Q146" s="1">
        <v>40252</v>
      </c>
      <c r="R146">
        <v>39</v>
      </c>
      <c r="S146">
        <v>1000</v>
      </c>
    </row>
    <row r="147" spans="11:19" x14ac:dyDescent="0.2">
      <c r="K147" t="s">
        <v>82</v>
      </c>
      <c r="L147" s="1">
        <v>40527</v>
      </c>
      <c r="M147">
        <v>49</v>
      </c>
      <c r="N147">
        <v>1000</v>
      </c>
      <c r="P147" t="s">
        <v>82</v>
      </c>
      <c r="Q147" s="1">
        <v>40283</v>
      </c>
      <c r="R147">
        <v>41</v>
      </c>
      <c r="S147">
        <v>1000</v>
      </c>
    </row>
    <row r="148" spans="11:19" x14ac:dyDescent="0.2">
      <c r="K148" t="s">
        <v>82</v>
      </c>
      <c r="L148" s="1">
        <v>40575</v>
      </c>
      <c r="M148">
        <v>49</v>
      </c>
      <c r="N148">
        <v>1000</v>
      </c>
      <c r="P148" t="s">
        <v>82</v>
      </c>
      <c r="Q148" s="1">
        <v>40313</v>
      </c>
      <c r="R148">
        <v>44</v>
      </c>
      <c r="S148">
        <v>1000</v>
      </c>
    </row>
    <row r="149" spans="11:19" x14ac:dyDescent="0.2">
      <c r="K149" t="s">
        <v>72</v>
      </c>
      <c r="L149" s="5">
        <v>36206</v>
      </c>
      <c r="M149">
        <v>91.2</v>
      </c>
      <c r="N149">
        <v>1000</v>
      </c>
      <c r="P149" t="s">
        <v>82</v>
      </c>
      <c r="Q149" s="1">
        <v>40342</v>
      </c>
      <c r="R149">
        <v>41</v>
      </c>
      <c r="S149">
        <v>1269</v>
      </c>
    </row>
    <row r="150" spans="11:19" x14ac:dyDescent="0.2">
      <c r="K150" t="s">
        <v>72</v>
      </c>
      <c r="L150" s="11">
        <v>36571</v>
      </c>
      <c r="M150">
        <v>76.8</v>
      </c>
      <c r="N150">
        <v>1000</v>
      </c>
      <c r="P150" t="s">
        <v>82</v>
      </c>
      <c r="Q150" s="1">
        <v>40422</v>
      </c>
      <c r="R150">
        <v>46</v>
      </c>
      <c r="S150">
        <v>1000</v>
      </c>
    </row>
    <row r="151" spans="11:19" x14ac:dyDescent="0.2">
      <c r="K151" t="s">
        <v>72</v>
      </c>
      <c r="L151" s="11">
        <v>36661</v>
      </c>
      <c r="M151">
        <v>55.9</v>
      </c>
      <c r="N151">
        <v>1000</v>
      </c>
      <c r="P151" t="s">
        <v>82</v>
      </c>
      <c r="Q151" s="1">
        <v>40497</v>
      </c>
      <c r="R151">
        <v>42</v>
      </c>
      <c r="S151">
        <v>1000</v>
      </c>
    </row>
    <row r="152" spans="11:19" x14ac:dyDescent="0.2">
      <c r="K152" t="s">
        <v>72</v>
      </c>
      <c r="L152" s="11">
        <v>36692</v>
      </c>
      <c r="M152">
        <v>60.6</v>
      </c>
      <c r="N152">
        <v>1000</v>
      </c>
      <c r="P152" t="s">
        <v>82</v>
      </c>
      <c r="Q152" s="1">
        <v>40527</v>
      </c>
      <c r="R152">
        <v>49</v>
      </c>
      <c r="S152">
        <v>1000</v>
      </c>
    </row>
    <row r="153" spans="11:19" x14ac:dyDescent="0.2">
      <c r="K153" t="s">
        <v>72</v>
      </c>
      <c r="L153" s="11">
        <v>36937</v>
      </c>
      <c r="M153">
        <v>62.7</v>
      </c>
      <c r="N153">
        <v>1000</v>
      </c>
      <c r="P153" t="s">
        <v>82</v>
      </c>
      <c r="Q153" s="1">
        <v>40575</v>
      </c>
      <c r="R153">
        <v>49</v>
      </c>
      <c r="S153">
        <v>1000</v>
      </c>
    </row>
    <row r="154" spans="11:19" x14ac:dyDescent="0.2">
      <c r="K154" t="s">
        <v>72</v>
      </c>
      <c r="L154" s="11">
        <v>37087</v>
      </c>
      <c r="M154">
        <v>55.8</v>
      </c>
      <c r="N154">
        <v>1000</v>
      </c>
      <c r="P154" t="s">
        <v>82</v>
      </c>
      <c r="Q154" s="1">
        <v>40801</v>
      </c>
      <c r="R154">
        <v>58</v>
      </c>
      <c r="S154">
        <v>1000</v>
      </c>
    </row>
    <row r="155" spans="11:19" x14ac:dyDescent="0.2">
      <c r="K155" t="s">
        <v>72</v>
      </c>
      <c r="L155" s="1">
        <v>37240</v>
      </c>
      <c r="M155">
        <v>35.5</v>
      </c>
      <c r="N155">
        <v>1000</v>
      </c>
      <c r="P155" t="s">
        <v>82</v>
      </c>
      <c r="Q155" s="1">
        <v>40923</v>
      </c>
      <c r="R155">
        <v>64</v>
      </c>
      <c r="S155">
        <v>1000</v>
      </c>
    </row>
    <row r="156" spans="11:19" x14ac:dyDescent="0.2">
      <c r="K156" t="s">
        <v>72</v>
      </c>
      <c r="L156" s="1">
        <v>37302</v>
      </c>
      <c r="M156">
        <v>34.4</v>
      </c>
      <c r="N156">
        <v>1000</v>
      </c>
      <c r="P156" t="s">
        <v>82</v>
      </c>
      <c r="Q156" s="1">
        <v>41014</v>
      </c>
      <c r="R156">
        <v>66</v>
      </c>
      <c r="S156">
        <v>1000</v>
      </c>
    </row>
    <row r="157" spans="11:19" x14ac:dyDescent="0.2">
      <c r="K157" t="s">
        <v>72</v>
      </c>
      <c r="L157" s="1">
        <v>37361</v>
      </c>
      <c r="M157">
        <v>44.7</v>
      </c>
      <c r="N157">
        <v>1000</v>
      </c>
      <c r="P157" s="10" t="s">
        <v>155</v>
      </c>
      <c r="Q157" s="1">
        <v>39614</v>
      </c>
      <c r="R157">
        <v>57.3</v>
      </c>
      <c r="S157">
        <v>2500</v>
      </c>
    </row>
    <row r="158" spans="11:19" x14ac:dyDescent="0.2">
      <c r="K158" t="s">
        <v>72</v>
      </c>
      <c r="L158" s="1">
        <v>37422</v>
      </c>
      <c r="M158">
        <v>32.299999999999997</v>
      </c>
      <c r="N158">
        <v>1000</v>
      </c>
      <c r="P158" s="10" t="s">
        <v>155</v>
      </c>
      <c r="Q158" s="1">
        <v>39644</v>
      </c>
      <c r="R158">
        <v>55.5</v>
      </c>
      <c r="S158">
        <v>2500</v>
      </c>
    </row>
    <row r="159" spans="11:19" x14ac:dyDescent="0.2">
      <c r="K159" t="s">
        <v>72</v>
      </c>
      <c r="L159" s="1">
        <v>37575</v>
      </c>
      <c r="M159">
        <v>32.6</v>
      </c>
      <c r="N159">
        <v>1000</v>
      </c>
      <c r="P159" s="10" t="s">
        <v>155</v>
      </c>
      <c r="Q159" s="1">
        <v>39701</v>
      </c>
      <c r="R159">
        <v>52.4</v>
      </c>
      <c r="S159">
        <v>2500</v>
      </c>
    </row>
    <row r="160" spans="11:19" x14ac:dyDescent="0.2">
      <c r="K160" t="s">
        <v>72</v>
      </c>
      <c r="L160" s="1">
        <v>37667</v>
      </c>
      <c r="M160">
        <v>35.1</v>
      </c>
      <c r="N160">
        <v>1000</v>
      </c>
      <c r="P160" s="10" t="s">
        <v>155</v>
      </c>
      <c r="Q160" s="1">
        <v>39731</v>
      </c>
      <c r="R160">
        <v>57</v>
      </c>
      <c r="S160">
        <v>2500</v>
      </c>
    </row>
    <row r="161" spans="11:19" x14ac:dyDescent="0.2">
      <c r="K161" t="s">
        <v>72</v>
      </c>
      <c r="L161" s="1">
        <v>37756</v>
      </c>
      <c r="M161">
        <v>36.799999999999997</v>
      </c>
      <c r="N161">
        <v>1000</v>
      </c>
      <c r="P161" s="10" t="s">
        <v>155</v>
      </c>
      <c r="Q161" s="1">
        <v>39797</v>
      </c>
      <c r="R161">
        <v>56.2</v>
      </c>
      <c r="S161">
        <v>2500</v>
      </c>
    </row>
    <row r="162" spans="11:19" x14ac:dyDescent="0.2">
      <c r="K162" t="s">
        <v>72</v>
      </c>
      <c r="L162" s="11">
        <v>37817</v>
      </c>
      <c r="M162">
        <v>30.8</v>
      </c>
      <c r="N162">
        <v>1000</v>
      </c>
      <c r="P162" s="10" t="s">
        <v>155</v>
      </c>
      <c r="Q162" s="1">
        <v>39828</v>
      </c>
      <c r="R162">
        <v>53.8</v>
      </c>
      <c r="S162">
        <v>2500</v>
      </c>
    </row>
    <row r="163" spans="11:19" x14ac:dyDescent="0.2">
      <c r="K163" t="s">
        <v>72</v>
      </c>
      <c r="L163" s="1">
        <v>37880</v>
      </c>
      <c r="M163">
        <v>36.1</v>
      </c>
      <c r="N163">
        <v>1300</v>
      </c>
      <c r="P163" s="10" t="s">
        <v>155</v>
      </c>
      <c r="Q163" s="1">
        <v>39943</v>
      </c>
      <c r="R163">
        <v>56.3</v>
      </c>
      <c r="S163">
        <v>2500</v>
      </c>
    </row>
    <row r="164" spans="11:19" x14ac:dyDescent="0.2">
      <c r="K164" t="s">
        <v>72</v>
      </c>
      <c r="L164" s="1">
        <v>37940</v>
      </c>
      <c r="M164">
        <v>41.5</v>
      </c>
      <c r="N164">
        <v>1300</v>
      </c>
      <c r="P164" s="10" t="s">
        <v>155</v>
      </c>
      <c r="Q164" s="1">
        <v>40071</v>
      </c>
      <c r="R164">
        <v>55.6</v>
      </c>
      <c r="S164">
        <v>2500</v>
      </c>
    </row>
    <row r="165" spans="11:19" x14ac:dyDescent="0.2">
      <c r="K165" t="s">
        <v>72</v>
      </c>
      <c r="L165" s="1">
        <v>37970</v>
      </c>
      <c r="M165">
        <v>41.7</v>
      </c>
      <c r="N165">
        <v>1300</v>
      </c>
      <c r="P165" s="10" t="s">
        <v>155</v>
      </c>
      <c r="Q165" s="1">
        <v>40132</v>
      </c>
      <c r="R165">
        <v>44.1</v>
      </c>
      <c r="S165">
        <v>2500</v>
      </c>
    </row>
    <row r="166" spans="11:19" x14ac:dyDescent="0.2">
      <c r="K166" t="s">
        <v>72</v>
      </c>
      <c r="L166" s="1">
        <v>38032</v>
      </c>
      <c r="M166">
        <v>41.4</v>
      </c>
      <c r="N166">
        <v>1300</v>
      </c>
      <c r="P166" s="10" t="s">
        <v>155</v>
      </c>
      <c r="Q166" s="1">
        <v>40162</v>
      </c>
      <c r="R166">
        <v>47.2</v>
      </c>
      <c r="S166">
        <v>2500</v>
      </c>
    </row>
    <row r="167" spans="11:19" x14ac:dyDescent="0.2">
      <c r="K167" t="s">
        <v>72</v>
      </c>
      <c r="L167" s="1">
        <v>38122</v>
      </c>
      <c r="M167">
        <v>43.3</v>
      </c>
      <c r="N167">
        <v>1300</v>
      </c>
      <c r="P167" s="10" t="s">
        <v>155</v>
      </c>
      <c r="Q167" s="1">
        <v>40219</v>
      </c>
      <c r="R167">
        <v>37.700000000000003</v>
      </c>
      <c r="S167">
        <v>2500</v>
      </c>
    </row>
    <row r="168" spans="11:19" x14ac:dyDescent="0.2">
      <c r="K168" t="s">
        <v>72</v>
      </c>
      <c r="L168" s="1">
        <v>38183</v>
      </c>
      <c r="M168">
        <v>50.8</v>
      </c>
      <c r="N168">
        <v>1300</v>
      </c>
      <c r="P168" s="10" t="s">
        <v>155</v>
      </c>
      <c r="Q168" s="1">
        <v>40252</v>
      </c>
      <c r="R168">
        <v>43</v>
      </c>
      <c r="S168">
        <v>2500</v>
      </c>
    </row>
    <row r="169" spans="11:19" x14ac:dyDescent="0.2">
      <c r="K169" t="s">
        <v>72</v>
      </c>
      <c r="L169" s="1">
        <v>38571</v>
      </c>
      <c r="M169">
        <v>48</v>
      </c>
      <c r="N169">
        <v>1300</v>
      </c>
      <c r="P169" s="10" t="s">
        <v>155</v>
      </c>
      <c r="Q169" s="11">
        <v>40313</v>
      </c>
      <c r="R169" s="10">
        <v>42.4</v>
      </c>
      <c r="S169">
        <v>2500</v>
      </c>
    </row>
    <row r="170" spans="11:19" x14ac:dyDescent="0.2">
      <c r="K170" t="s">
        <v>72</v>
      </c>
      <c r="L170" s="1">
        <v>38585</v>
      </c>
      <c r="M170">
        <v>59</v>
      </c>
      <c r="N170">
        <v>1300</v>
      </c>
      <c r="P170" s="10" t="s">
        <v>155</v>
      </c>
      <c r="Q170" s="1">
        <v>40347</v>
      </c>
      <c r="R170">
        <v>47.9</v>
      </c>
      <c r="S170">
        <v>2499</v>
      </c>
    </row>
    <row r="171" spans="11:19" x14ac:dyDescent="0.2">
      <c r="K171" t="s">
        <v>72</v>
      </c>
      <c r="L171" s="1">
        <v>38275</v>
      </c>
      <c r="M171">
        <v>53.7</v>
      </c>
      <c r="N171">
        <v>1300</v>
      </c>
      <c r="P171" s="10" t="s">
        <v>155</v>
      </c>
      <c r="Q171" s="1">
        <v>40386</v>
      </c>
      <c r="R171">
        <v>46.6</v>
      </c>
      <c r="S171">
        <v>2501</v>
      </c>
    </row>
    <row r="172" spans="11:19" x14ac:dyDescent="0.2">
      <c r="K172" t="s">
        <v>72</v>
      </c>
      <c r="L172" s="1">
        <v>38306</v>
      </c>
      <c r="M172">
        <v>64.5</v>
      </c>
      <c r="N172">
        <v>1300</v>
      </c>
      <c r="P172" s="10" t="s">
        <v>155</v>
      </c>
      <c r="Q172" s="1">
        <v>40425</v>
      </c>
      <c r="R172">
        <v>49.2</v>
      </c>
      <c r="S172">
        <v>2500</v>
      </c>
    </row>
    <row r="173" spans="11:19" x14ac:dyDescent="0.2">
      <c r="K173" t="s">
        <v>72</v>
      </c>
      <c r="L173" s="1">
        <v>38367</v>
      </c>
      <c r="M173">
        <v>64.2</v>
      </c>
      <c r="N173">
        <v>1300</v>
      </c>
      <c r="P173" s="10" t="s">
        <v>155</v>
      </c>
      <c r="Q173" s="1">
        <v>40441</v>
      </c>
      <c r="R173">
        <v>48.7</v>
      </c>
      <c r="S173">
        <v>2500</v>
      </c>
    </row>
    <row r="174" spans="11:19" x14ac:dyDescent="0.2">
      <c r="K174" t="s">
        <v>72</v>
      </c>
      <c r="L174" s="1">
        <v>38426</v>
      </c>
      <c r="M174">
        <v>70.5</v>
      </c>
      <c r="N174">
        <v>1300</v>
      </c>
      <c r="P174" s="10" t="s">
        <v>155</v>
      </c>
      <c r="Q174" s="1">
        <v>40471</v>
      </c>
      <c r="R174">
        <v>53.1</v>
      </c>
      <c r="S174">
        <v>2500</v>
      </c>
    </row>
    <row r="175" spans="11:19" x14ac:dyDescent="0.2">
      <c r="K175" t="s">
        <v>72</v>
      </c>
      <c r="L175" s="1">
        <v>38457</v>
      </c>
      <c r="M175">
        <v>67.2</v>
      </c>
      <c r="N175">
        <v>1300</v>
      </c>
      <c r="P175" s="10" t="s">
        <v>155</v>
      </c>
      <c r="Q175" s="1">
        <v>40558</v>
      </c>
      <c r="R175">
        <v>54.7</v>
      </c>
      <c r="S175">
        <v>2500</v>
      </c>
    </row>
    <row r="176" spans="11:19" x14ac:dyDescent="0.2">
      <c r="K176" t="s">
        <v>72</v>
      </c>
      <c r="L176" s="1">
        <v>38487</v>
      </c>
      <c r="M176">
        <v>71.2</v>
      </c>
      <c r="N176">
        <v>1300</v>
      </c>
      <c r="P176" s="10" t="s">
        <v>31</v>
      </c>
      <c r="Q176" s="1">
        <v>40597</v>
      </c>
      <c r="R176">
        <v>57</v>
      </c>
      <c r="S176">
        <v>1000</v>
      </c>
    </row>
    <row r="177" spans="11:19" x14ac:dyDescent="0.2">
      <c r="K177" t="s">
        <v>72</v>
      </c>
      <c r="L177" s="1">
        <v>38518</v>
      </c>
      <c r="M177">
        <v>71.8</v>
      </c>
      <c r="N177">
        <v>1300</v>
      </c>
      <c r="P177" s="10" t="s">
        <v>31</v>
      </c>
      <c r="Q177" s="1">
        <v>40619</v>
      </c>
      <c r="R177">
        <v>51</v>
      </c>
      <c r="S177">
        <v>2500</v>
      </c>
    </row>
    <row r="178" spans="11:19" x14ac:dyDescent="0.2">
      <c r="K178" t="s">
        <v>72</v>
      </c>
      <c r="L178" s="1">
        <v>38640</v>
      </c>
      <c r="M178">
        <v>67.599999999999994</v>
      </c>
      <c r="N178">
        <v>1300</v>
      </c>
      <c r="P178" s="10" t="s">
        <v>31</v>
      </c>
      <c r="Q178" s="1">
        <v>40667</v>
      </c>
      <c r="R178">
        <v>52</v>
      </c>
      <c r="S178">
        <v>2500</v>
      </c>
    </row>
    <row r="179" spans="11:19" x14ac:dyDescent="0.2">
      <c r="K179" t="s">
        <v>72</v>
      </c>
      <c r="L179" s="1">
        <v>38701</v>
      </c>
      <c r="M179">
        <v>62.5</v>
      </c>
      <c r="N179">
        <v>1300</v>
      </c>
      <c r="P179" s="10" t="s">
        <v>31</v>
      </c>
      <c r="Q179" s="1">
        <v>40687</v>
      </c>
      <c r="R179">
        <v>53.3</v>
      </c>
      <c r="S179">
        <v>1500</v>
      </c>
    </row>
    <row r="180" spans="11:19" x14ac:dyDescent="0.2">
      <c r="K180" t="s">
        <v>72</v>
      </c>
      <c r="L180" s="1">
        <v>38763</v>
      </c>
      <c r="M180">
        <v>73.599999999999994</v>
      </c>
      <c r="N180">
        <v>1300</v>
      </c>
      <c r="P180" s="10" t="s">
        <v>31</v>
      </c>
      <c r="Q180" s="1">
        <v>40727</v>
      </c>
      <c r="R180">
        <v>55</v>
      </c>
      <c r="S180">
        <v>2500</v>
      </c>
    </row>
    <row r="181" spans="11:19" x14ac:dyDescent="0.2">
      <c r="K181" t="s">
        <v>72</v>
      </c>
      <c r="L181" s="1">
        <v>38791</v>
      </c>
      <c r="M181">
        <v>73.099999999999994</v>
      </c>
      <c r="N181">
        <v>1300</v>
      </c>
      <c r="P181" s="10" t="s">
        <v>31</v>
      </c>
      <c r="Q181" s="1">
        <v>40784</v>
      </c>
      <c r="R181">
        <v>59</v>
      </c>
      <c r="S181">
        <v>2500</v>
      </c>
    </row>
    <row r="182" spans="11:19" x14ac:dyDescent="0.2">
      <c r="K182" t="s">
        <v>72</v>
      </c>
      <c r="L182" s="1">
        <v>38822</v>
      </c>
      <c r="M182">
        <v>74.2</v>
      </c>
      <c r="N182">
        <v>1300</v>
      </c>
      <c r="P182" s="10" t="s">
        <v>31</v>
      </c>
      <c r="Q182" s="1">
        <v>40813</v>
      </c>
      <c r="R182">
        <v>61</v>
      </c>
      <c r="S182">
        <v>2500</v>
      </c>
    </row>
    <row r="183" spans="11:19" x14ac:dyDescent="0.2">
      <c r="K183" t="s">
        <v>72</v>
      </c>
      <c r="L183" s="1">
        <v>38852</v>
      </c>
      <c r="M183">
        <v>75.400000000000006</v>
      </c>
      <c r="N183">
        <v>1300</v>
      </c>
      <c r="P183" s="10" t="s">
        <v>31</v>
      </c>
      <c r="Q183" s="1">
        <v>40852</v>
      </c>
      <c r="R183">
        <v>62</v>
      </c>
      <c r="S183">
        <v>2500</v>
      </c>
    </row>
    <row r="184" spans="11:19" x14ac:dyDescent="0.2">
      <c r="K184" t="s">
        <v>72</v>
      </c>
      <c r="L184" s="1">
        <v>38883</v>
      </c>
      <c r="M184">
        <v>70.099999999999994</v>
      </c>
      <c r="N184">
        <v>1300</v>
      </c>
      <c r="P184" s="10" t="s">
        <v>31</v>
      </c>
      <c r="Q184" s="1">
        <v>40887</v>
      </c>
      <c r="R184">
        <v>60</v>
      </c>
      <c r="S184">
        <v>2500</v>
      </c>
    </row>
    <row r="185" spans="11:19" x14ac:dyDescent="0.2">
      <c r="K185" t="s">
        <v>72</v>
      </c>
      <c r="L185" s="1">
        <v>38913</v>
      </c>
      <c r="M185">
        <v>70.5</v>
      </c>
      <c r="N185">
        <v>1300</v>
      </c>
      <c r="P185" s="10" t="s">
        <v>31</v>
      </c>
      <c r="Q185" s="1">
        <v>40929</v>
      </c>
      <c r="R185">
        <v>61</v>
      </c>
      <c r="S185">
        <v>1500</v>
      </c>
    </row>
    <row r="186" spans="11:19" x14ac:dyDescent="0.2">
      <c r="K186" t="s">
        <v>72</v>
      </c>
      <c r="L186" s="1">
        <v>38944</v>
      </c>
      <c r="M186">
        <v>72.8</v>
      </c>
      <c r="N186">
        <v>1300</v>
      </c>
      <c r="P186" s="10" t="s">
        <v>31</v>
      </c>
      <c r="Q186" s="1">
        <v>40973</v>
      </c>
      <c r="R186">
        <v>63</v>
      </c>
      <c r="S186">
        <v>2500</v>
      </c>
    </row>
    <row r="187" spans="11:19" x14ac:dyDescent="0.2">
      <c r="K187" t="s">
        <v>72</v>
      </c>
      <c r="L187" s="1">
        <v>38975</v>
      </c>
      <c r="M187">
        <v>70.8</v>
      </c>
      <c r="N187">
        <v>1300</v>
      </c>
      <c r="P187" s="10" t="s">
        <v>31</v>
      </c>
      <c r="Q187" s="1">
        <v>41034</v>
      </c>
      <c r="R187">
        <v>66</v>
      </c>
      <c r="S187">
        <v>9300</v>
      </c>
    </row>
    <row r="188" spans="11:19" x14ac:dyDescent="0.2">
      <c r="K188" t="s">
        <v>72</v>
      </c>
      <c r="L188" s="1">
        <v>39036</v>
      </c>
      <c r="M188">
        <v>66.3</v>
      </c>
      <c r="N188">
        <v>1600</v>
      </c>
      <c r="P188" s="10" t="s">
        <v>31</v>
      </c>
      <c r="Q188" s="1">
        <v>41065</v>
      </c>
      <c r="R188">
        <v>63</v>
      </c>
      <c r="S188">
        <v>2500</v>
      </c>
    </row>
    <row r="189" spans="11:19" x14ac:dyDescent="0.2">
      <c r="K189" t="s">
        <v>72</v>
      </c>
      <c r="L189" s="1">
        <v>39128</v>
      </c>
      <c r="M189">
        <v>67.400000000000006</v>
      </c>
      <c r="N189">
        <v>1300</v>
      </c>
      <c r="P189" s="10" t="s">
        <v>31</v>
      </c>
      <c r="Q189" s="1">
        <v>41123</v>
      </c>
      <c r="R189">
        <v>64</v>
      </c>
      <c r="S189">
        <v>2500</v>
      </c>
    </row>
    <row r="190" spans="11:19" x14ac:dyDescent="0.2">
      <c r="K190" t="s">
        <v>72</v>
      </c>
      <c r="L190" s="1">
        <v>39156</v>
      </c>
      <c r="M190">
        <v>64.7</v>
      </c>
      <c r="N190">
        <v>1300</v>
      </c>
      <c r="P190" s="10" t="s">
        <v>31</v>
      </c>
      <c r="Q190" s="1">
        <v>41218</v>
      </c>
      <c r="R190">
        <v>60</v>
      </c>
      <c r="S190">
        <v>2500</v>
      </c>
    </row>
    <row r="191" spans="11:19" x14ac:dyDescent="0.2">
      <c r="K191" t="s">
        <v>72</v>
      </c>
      <c r="L191" s="1">
        <v>39209</v>
      </c>
      <c r="M191">
        <v>63.1</v>
      </c>
      <c r="N191">
        <v>1300</v>
      </c>
      <c r="P191" s="10" t="s">
        <v>31</v>
      </c>
      <c r="Q191" s="1">
        <v>41250</v>
      </c>
      <c r="R191">
        <v>60</v>
      </c>
      <c r="S191">
        <v>1500</v>
      </c>
    </row>
    <row r="192" spans="11:19" x14ac:dyDescent="0.2">
      <c r="K192" t="s">
        <v>72</v>
      </c>
      <c r="L192" s="1">
        <v>39223</v>
      </c>
      <c r="M192">
        <v>55.8</v>
      </c>
      <c r="N192">
        <v>1300</v>
      </c>
      <c r="P192" s="10" t="s">
        <v>31</v>
      </c>
      <c r="Q192" s="1">
        <v>41297</v>
      </c>
      <c r="R192">
        <v>70</v>
      </c>
      <c r="S192">
        <v>2500</v>
      </c>
    </row>
    <row r="193" spans="11:19" x14ac:dyDescent="0.2">
      <c r="K193" t="s">
        <v>72</v>
      </c>
      <c r="L193" s="1">
        <v>39248</v>
      </c>
      <c r="M193">
        <v>65</v>
      </c>
      <c r="N193">
        <v>1300</v>
      </c>
      <c r="P193" s="10" t="s">
        <v>7</v>
      </c>
      <c r="Q193" s="1">
        <v>40235</v>
      </c>
      <c r="R193">
        <v>43</v>
      </c>
      <c r="S193">
        <v>1300</v>
      </c>
    </row>
    <row r="194" spans="11:19" x14ac:dyDescent="0.2">
      <c r="K194" t="s">
        <v>72</v>
      </c>
      <c r="L194" s="1">
        <v>39278</v>
      </c>
      <c r="M194">
        <v>60</v>
      </c>
      <c r="N194">
        <v>1300</v>
      </c>
      <c r="P194" s="10" t="s">
        <v>7</v>
      </c>
      <c r="Q194" s="1">
        <v>40326</v>
      </c>
      <c r="R194">
        <v>46</v>
      </c>
      <c r="S194">
        <v>1300</v>
      </c>
    </row>
    <row r="195" spans="11:19" x14ac:dyDescent="0.2">
      <c r="K195" t="s">
        <v>72</v>
      </c>
      <c r="L195" s="1">
        <v>39340</v>
      </c>
      <c r="M195">
        <v>63.4</v>
      </c>
      <c r="N195">
        <v>1300</v>
      </c>
      <c r="P195" s="10" t="s">
        <v>7</v>
      </c>
      <c r="Q195" s="1">
        <v>40595</v>
      </c>
      <c r="R195">
        <v>46</v>
      </c>
      <c r="S195">
        <v>1300</v>
      </c>
    </row>
    <row r="196" spans="11:19" x14ac:dyDescent="0.2">
      <c r="K196" t="s">
        <v>72</v>
      </c>
      <c r="L196" s="1">
        <v>39370</v>
      </c>
      <c r="M196">
        <v>62.2</v>
      </c>
      <c r="N196">
        <v>1300</v>
      </c>
      <c r="P196" s="10" t="s">
        <v>7</v>
      </c>
      <c r="Q196" s="1">
        <v>41348</v>
      </c>
      <c r="R196">
        <v>51</v>
      </c>
      <c r="S196">
        <v>1000</v>
      </c>
    </row>
    <row r="197" spans="11:19" x14ac:dyDescent="0.2">
      <c r="K197" t="s">
        <v>72</v>
      </c>
      <c r="L197" s="1">
        <v>39401</v>
      </c>
      <c r="M197">
        <v>52</v>
      </c>
      <c r="N197">
        <v>1300</v>
      </c>
      <c r="P197" s="10" t="s">
        <v>7</v>
      </c>
      <c r="Q197" s="1">
        <v>41410</v>
      </c>
      <c r="R197">
        <v>46.5</v>
      </c>
      <c r="S197">
        <v>2000</v>
      </c>
    </row>
    <row r="198" spans="11:19" x14ac:dyDescent="0.2">
      <c r="K198" t="s">
        <v>72</v>
      </c>
      <c r="L198" s="1">
        <v>39493</v>
      </c>
      <c r="M198">
        <v>51.8</v>
      </c>
      <c r="N198">
        <v>1300</v>
      </c>
      <c r="P198" s="10" t="s">
        <v>4</v>
      </c>
      <c r="Q198" s="1">
        <v>40235</v>
      </c>
      <c r="R198">
        <v>40</v>
      </c>
      <c r="S198">
        <v>1300</v>
      </c>
    </row>
    <row r="199" spans="11:19" x14ac:dyDescent="0.2">
      <c r="K199" t="s">
        <v>72</v>
      </c>
      <c r="L199" s="1">
        <v>39553</v>
      </c>
      <c r="M199">
        <v>55.8</v>
      </c>
      <c r="N199">
        <v>1300</v>
      </c>
      <c r="P199" s="10" t="s">
        <v>4</v>
      </c>
      <c r="Q199" s="1">
        <v>40326</v>
      </c>
      <c r="R199">
        <v>41</v>
      </c>
      <c r="S199">
        <v>1300</v>
      </c>
    </row>
    <row r="200" spans="11:19" x14ac:dyDescent="0.2">
      <c r="K200" t="s">
        <v>72</v>
      </c>
      <c r="L200" s="1">
        <v>39583</v>
      </c>
      <c r="M200">
        <v>55.5</v>
      </c>
      <c r="N200">
        <v>1300</v>
      </c>
      <c r="P200" s="10" t="s">
        <v>4</v>
      </c>
      <c r="Q200" s="1">
        <v>40594</v>
      </c>
      <c r="R200">
        <v>43</v>
      </c>
      <c r="S200">
        <v>1300</v>
      </c>
    </row>
    <row r="201" spans="11:19" x14ac:dyDescent="0.2">
      <c r="K201" t="s">
        <v>72</v>
      </c>
      <c r="L201" s="1">
        <v>39614</v>
      </c>
      <c r="M201">
        <v>57.7</v>
      </c>
      <c r="N201">
        <v>1300</v>
      </c>
      <c r="P201" s="10" t="s">
        <v>4</v>
      </c>
      <c r="Q201" s="1">
        <v>41002</v>
      </c>
      <c r="R201">
        <v>46.2</v>
      </c>
      <c r="S201">
        <v>1900</v>
      </c>
    </row>
    <row r="202" spans="11:19" x14ac:dyDescent="0.2">
      <c r="K202" t="s">
        <v>72</v>
      </c>
      <c r="L202" s="1">
        <v>39644</v>
      </c>
      <c r="M202">
        <v>58.4</v>
      </c>
      <c r="N202">
        <v>1300</v>
      </c>
      <c r="P202" t="s">
        <v>72</v>
      </c>
      <c r="Q202" s="1">
        <v>36206</v>
      </c>
      <c r="R202">
        <v>91.2</v>
      </c>
      <c r="S202">
        <v>1000</v>
      </c>
    </row>
    <row r="203" spans="11:19" x14ac:dyDescent="0.2">
      <c r="K203" t="s">
        <v>72</v>
      </c>
      <c r="L203" s="1">
        <v>39675</v>
      </c>
      <c r="M203">
        <v>58</v>
      </c>
      <c r="N203">
        <v>1300</v>
      </c>
      <c r="P203" t="s">
        <v>72</v>
      </c>
      <c r="Q203" s="1">
        <v>36571</v>
      </c>
      <c r="R203">
        <v>76.8</v>
      </c>
      <c r="S203">
        <v>1000</v>
      </c>
    </row>
    <row r="204" spans="11:19" x14ac:dyDescent="0.2">
      <c r="K204" t="s">
        <v>72</v>
      </c>
      <c r="L204" s="1">
        <v>39706</v>
      </c>
      <c r="M204">
        <v>56.9</v>
      </c>
      <c r="N204">
        <v>1300</v>
      </c>
      <c r="P204" t="s">
        <v>72</v>
      </c>
      <c r="Q204" s="1">
        <v>36661</v>
      </c>
      <c r="R204">
        <v>55.9</v>
      </c>
      <c r="S204">
        <v>1000</v>
      </c>
    </row>
    <row r="205" spans="11:19" x14ac:dyDescent="0.2">
      <c r="K205" t="s">
        <v>72</v>
      </c>
      <c r="L205" s="1">
        <v>39736</v>
      </c>
      <c r="M205">
        <v>57.3</v>
      </c>
      <c r="N205">
        <v>1300</v>
      </c>
      <c r="P205" t="s">
        <v>72</v>
      </c>
      <c r="Q205" s="1">
        <v>36692</v>
      </c>
      <c r="R205">
        <v>60.6</v>
      </c>
      <c r="S205">
        <v>1000</v>
      </c>
    </row>
    <row r="206" spans="11:19" x14ac:dyDescent="0.2">
      <c r="K206" t="s">
        <v>72</v>
      </c>
      <c r="L206" s="1">
        <v>39767</v>
      </c>
      <c r="M206">
        <v>57.9</v>
      </c>
      <c r="N206">
        <v>1300</v>
      </c>
      <c r="P206" t="s">
        <v>72</v>
      </c>
      <c r="Q206" s="1">
        <v>36937</v>
      </c>
      <c r="R206">
        <v>62.7</v>
      </c>
      <c r="S206">
        <v>1000</v>
      </c>
    </row>
    <row r="207" spans="11:19" x14ac:dyDescent="0.2">
      <c r="K207" t="s">
        <v>72</v>
      </c>
      <c r="L207" s="1">
        <v>39797</v>
      </c>
      <c r="M207">
        <v>51</v>
      </c>
      <c r="N207">
        <v>1300</v>
      </c>
      <c r="P207" t="s">
        <v>72</v>
      </c>
      <c r="Q207" s="1">
        <v>37087</v>
      </c>
      <c r="R207">
        <v>55.8</v>
      </c>
      <c r="S207">
        <v>1000</v>
      </c>
    </row>
    <row r="208" spans="11:19" x14ac:dyDescent="0.2">
      <c r="K208" t="s">
        <v>72</v>
      </c>
      <c r="L208" s="1">
        <v>39828</v>
      </c>
      <c r="M208">
        <v>51</v>
      </c>
      <c r="N208">
        <v>1300</v>
      </c>
      <c r="P208" t="s">
        <v>72</v>
      </c>
      <c r="Q208" s="1">
        <v>37240</v>
      </c>
      <c r="R208">
        <v>35.5</v>
      </c>
      <c r="S208">
        <v>1000</v>
      </c>
    </row>
    <row r="209" spans="11:19" x14ac:dyDescent="0.2">
      <c r="K209" t="s">
        <v>72</v>
      </c>
      <c r="L209" s="1">
        <v>39859</v>
      </c>
      <c r="M209">
        <v>53.8</v>
      </c>
      <c r="N209">
        <v>1300</v>
      </c>
      <c r="P209" t="s">
        <v>72</v>
      </c>
      <c r="Q209" s="1">
        <v>37302</v>
      </c>
      <c r="R209">
        <v>34.4</v>
      </c>
      <c r="S209">
        <v>1000</v>
      </c>
    </row>
    <row r="210" spans="11:19" x14ac:dyDescent="0.2">
      <c r="K210" t="s">
        <v>72</v>
      </c>
      <c r="L210" s="1">
        <v>39887</v>
      </c>
      <c r="M210">
        <v>59.3</v>
      </c>
      <c r="N210">
        <v>1300</v>
      </c>
      <c r="P210" t="s">
        <v>72</v>
      </c>
      <c r="Q210" s="1">
        <v>37361</v>
      </c>
      <c r="R210">
        <v>44.7</v>
      </c>
      <c r="S210">
        <v>1000</v>
      </c>
    </row>
    <row r="211" spans="11:19" x14ac:dyDescent="0.2">
      <c r="K211" t="s">
        <v>72</v>
      </c>
      <c r="L211" s="1">
        <v>39979</v>
      </c>
      <c r="M211">
        <v>52.3</v>
      </c>
      <c r="N211">
        <v>1300</v>
      </c>
      <c r="P211" t="s">
        <v>72</v>
      </c>
      <c r="Q211" s="1">
        <v>37422</v>
      </c>
      <c r="R211">
        <v>32.299999999999997</v>
      </c>
      <c r="S211">
        <v>1000</v>
      </c>
    </row>
    <row r="212" spans="11:19" x14ac:dyDescent="0.2">
      <c r="K212" t="s">
        <v>72</v>
      </c>
      <c r="L212" s="1">
        <v>40071</v>
      </c>
      <c r="M212">
        <v>52.8</v>
      </c>
      <c r="N212">
        <v>1300</v>
      </c>
      <c r="P212" t="s">
        <v>72</v>
      </c>
      <c r="Q212" s="1">
        <v>37575</v>
      </c>
      <c r="R212">
        <v>32.6</v>
      </c>
      <c r="S212">
        <v>1000</v>
      </c>
    </row>
    <row r="213" spans="11:19" x14ac:dyDescent="0.2">
      <c r="K213" t="s">
        <v>72</v>
      </c>
      <c r="L213" s="1">
        <v>40094</v>
      </c>
      <c r="M213">
        <v>46.2</v>
      </c>
      <c r="N213">
        <v>1300</v>
      </c>
      <c r="P213" t="s">
        <v>72</v>
      </c>
      <c r="Q213" s="1">
        <v>37667</v>
      </c>
      <c r="R213">
        <v>35.1</v>
      </c>
      <c r="S213">
        <v>1000</v>
      </c>
    </row>
    <row r="214" spans="11:19" x14ac:dyDescent="0.2">
      <c r="K214" t="s">
        <v>72</v>
      </c>
      <c r="L214" s="1">
        <v>40162</v>
      </c>
      <c r="M214">
        <v>46.7</v>
      </c>
      <c r="N214">
        <v>1300</v>
      </c>
      <c r="P214" t="s">
        <v>72</v>
      </c>
      <c r="Q214" s="1">
        <v>37756</v>
      </c>
      <c r="R214">
        <v>36.799999999999997</v>
      </c>
      <c r="S214">
        <v>1000</v>
      </c>
    </row>
    <row r="215" spans="11:19" x14ac:dyDescent="0.2">
      <c r="K215" t="s">
        <v>72</v>
      </c>
      <c r="L215" s="1">
        <v>40224</v>
      </c>
      <c r="M215">
        <v>42.6</v>
      </c>
      <c r="N215">
        <v>1300</v>
      </c>
      <c r="P215" t="s">
        <v>72</v>
      </c>
      <c r="Q215" s="1">
        <v>37817</v>
      </c>
      <c r="R215">
        <v>30.8</v>
      </c>
      <c r="S215">
        <v>1000</v>
      </c>
    </row>
    <row r="216" spans="11:19" x14ac:dyDescent="0.2">
      <c r="K216" t="s">
        <v>72</v>
      </c>
      <c r="L216" s="1">
        <v>40283</v>
      </c>
      <c r="M216">
        <v>44.4</v>
      </c>
      <c r="N216">
        <v>1300</v>
      </c>
      <c r="P216" t="s">
        <v>72</v>
      </c>
      <c r="Q216" s="1">
        <v>37880</v>
      </c>
      <c r="R216">
        <v>36.1</v>
      </c>
      <c r="S216">
        <v>1300</v>
      </c>
    </row>
    <row r="217" spans="11:19" x14ac:dyDescent="0.2">
      <c r="K217" t="s">
        <v>72</v>
      </c>
      <c r="L217" s="1">
        <v>40313</v>
      </c>
      <c r="M217">
        <v>48</v>
      </c>
      <c r="N217">
        <v>1300</v>
      </c>
      <c r="P217" t="s">
        <v>72</v>
      </c>
      <c r="Q217" s="1">
        <v>37940</v>
      </c>
      <c r="R217">
        <v>41.5</v>
      </c>
      <c r="S217">
        <v>1300</v>
      </c>
    </row>
    <row r="218" spans="11:19" x14ac:dyDescent="0.2">
      <c r="K218" t="s">
        <v>72</v>
      </c>
      <c r="L218" s="1">
        <v>40344</v>
      </c>
      <c r="M218">
        <v>47</v>
      </c>
      <c r="N218">
        <v>1300</v>
      </c>
      <c r="P218" t="s">
        <v>72</v>
      </c>
      <c r="Q218" s="1">
        <v>37970</v>
      </c>
      <c r="R218">
        <v>41.7</v>
      </c>
      <c r="S218">
        <v>1300</v>
      </c>
    </row>
    <row r="219" spans="11:19" x14ac:dyDescent="0.2">
      <c r="K219" t="s">
        <v>72</v>
      </c>
      <c r="L219" s="1">
        <v>40405</v>
      </c>
      <c r="M219">
        <v>44.7</v>
      </c>
      <c r="N219">
        <v>1300</v>
      </c>
      <c r="P219" t="s">
        <v>72</v>
      </c>
      <c r="Q219" s="1">
        <v>38032</v>
      </c>
      <c r="R219">
        <v>41.4</v>
      </c>
      <c r="S219">
        <v>1300</v>
      </c>
    </row>
    <row r="220" spans="11:19" x14ac:dyDescent="0.2">
      <c r="K220" s="10" t="s">
        <v>155</v>
      </c>
      <c r="L220" s="1">
        <v>39614</v>
      </c>
      <c r="M220">
        <v>57.3</v>
      </c>
      <c r="N220">
        <v>2500</v>
      </c>
      <c r="P220" t="s">
        <v>72</v>
      </c>
      <c r="Q220" s="1">
        <v>38122</v>
      </c>
      <c r="R220">
        <v>43.3</v>
      </c>
      <c r="S220">
        <v>1300</v>
      </c>
    </row>
    <row r="221" spans="11:19" x14ac:dyDescent="0.2">
      <c r="K221" s="10" t="s">
        <v>155</v>
      </c>
      <c r="L221" s="1">
        <v>39644</v>
      </c>
      <c r="M221">
        <v>55.5</v>
      </c>
      <c r="N221">
        <v>2500</v>
      </c>
      <c r="P221" t="s">
        <v>72</v>
      </c>
      <c r="Q221" s="1">
        <v>38183</v>
      </c>
      <c r="R221">
        <v>50.8</v>
      </c>
      <c r="S221">
        <v>1300</v>
      </c>
    </row>
    <row r="222" spans="11:19" x14ac:dyDescent="0.2">
      <c r="K222" s="10" t="s">
        <v>155</v>
      </c>
      <c r="L222" s="1">
        <v>39701</v>
      </c>
      <c r="M222">
        <v>52.4</v>
      </c>
      <c r="N222">
        <v>2500</v>
      </c>
      <c r="P222" t="s">
        <v>72</v>
      </c>
      <c r="Q222" s="1">
        <v>38571</v>
      </c>
      <c r="R222">
        <v>48</v>
      </c>
      <c r="S222">
        <v>1300</v>
      </c>
    </row>
    <row r="223" spans="11:19" x14ac:dyDescent="0.2">
      <c r="K223" s="10" t="s">
        <v>155</v>
      </c>
      <c r="L223" s="1">
        <v>39731</v>
      </c>
      <c r="M223">
        <v>57</v>
      </c>
      <c r="N223">
        <v>2500</v>
      </c>
      <c r="P223" t="s">
        <v>72</v>
      </c>
      <c r="Q223" s="1">
        <v>38585</v>
      </c>
      <c r="R223">
        <v>59</v>
      </c>
      <c r="S223">
        <v>1300</v>
      </c>
    </row>
    <row r="224" spans="11:19" x14ac:dyDescent="0.2">
      <c r="K224" s="10" t="s">
        <v>155</v>
      </c>
      <c r="L224" s="1">
        <v>39797</v>
      </c>
      <c r="M224">
        <v>56.2</v>
      </c>
      <c r="N224">
        <v>2500</v>
      </c>
      <c r="P224" t="s">
        <v>72</v>
      </c>
      <c r="Q224" s="1">
        <v>38275</v>
      </c>
      <c r="R224">
        <v>53.7</v>
      </c>
      <c r="S224">
        <v>1300</v>
      </c>
    </row>
    <row r="225" spans="11:19" x14ac:dyDescent="0.2">
      <c r="K225" s="10" t="s">
        <v>155</v>
      </c>
      <c r="L225" s="1">
        <v>39828</v>
      </c>
      <c r="M225">
        <v>53.8</v>
      </c>
      <c r="N225">
        <v>2500</v>
      </c>
      <c r="P225" t="s">
        <v>72</v>
      </c>
      <c r="Q225" s="1">
        <v>38306</v>
      </c>
      <c r="R225">
        <v>64.5</v>
      </c>
      <c r="S225">
        <v>1300</v>
      </c>
    </row>
    <row r="226" spans="11:19" x14ac:dyDescent="0.2">
      <c r="K226" s="10" t="s">
        <v>155</v>
      </c>
      <c r="L226" s="1">
        <v>39943</v>
      </c>
      <c r="M226">
        <v>56.3</v>
      </c>
      <c r="N226">
        <v>2500</v>
      </c>
      <c r="P226" t="s">
        <v>72</v>
      </c>
      <c r="Q226" s="1">
        <v>38367</v>
      </c>
      <c r="R226">
        <v>64.2</v>
      </c>
      <c r="S226">
        <v>1300</v>
      </c>
    </row>
    <row r="227" spans="11:19" x14ac:dyDescent="0.2">
      <c r="K227" s="10" t="s">
        <v>155</v>
      </c>
      <c r="L227" s="1">
        <v>40071</v>
      </c>
      <c r="M227">
        <v>55.6</v>
      </c>
      <c r="N227">
        <v>2500</v>
      </c>
      <c r="P227" t="s">
        <v>72</v>
      </c>
      <c r="Q227" s="1">
        <v>38426</v>
      </c>
      <c r="R227">
        <v>70.5</v>
      </c>
      <c r="S227">
        <v>1300</v>
      </c>
    </row>
    <row r="228" spans="11:19" x14ac:dyDescent="0.2">
      <c r="K228" s="10" t="s">
        <v>155</v>
      </c>
      <c r="L228" s="1">
        <v>40132</v>
      </c>
      <c r="M228">
        <v>44.1</v>
      </c>
      <c r="N228">
        <v>2500</v>
      </c>
      <c r="P228" t="s">
        <v>72</v>
      </c>
      <c r="Q228" s="1">
        <v>38457</v>
      </c>
      <c r="R228">
        <v>67.2</v>
      </c>
      <c r="S228">
        <v>1300</v>
      </c>
    </row>
    <row r="229" spans="11:19" x14ac:dyDescent="0.2">
      <c r="K229" s="10" t="s">
        <v>155</v>
      </c>
      <c r="L229" s="1">
        <v>40162</v>
      </c>
      <c r="M229">
        <v>47.2</v>
      </c>
      <c r="N229">
        <v>2500</v>
      </c>
      <c r="P229" t="s">
        <v>72</v>
      </c>
      <c r="Q229" s="1">
        <v>38487</v>
      </c>
      <c r="R229">
        <v>71.2</v>
      </c>
      <c r="S229">
        <v>1300</v>
      </c>
    </row>
    <row r="230" spans="11:19" x14ac:dyDescent="0.2">
      <c r="K230" s="10" t="s">
        <v>155</v>
      </c>
      <c r="L230" s="1">
        <v>40219</v>
      </c>
      <c r="M230">
        <v>37.700000000000003</v>
      </c>
      <c r="N230">
        <v>2500</v>
      </c>
      <c r="P230" t="s">
        <v>72</v>
      </c>
      <c r="Q230" s="1">
        <v>38518</v>
      </c>
      <c r="R230">
        <v>71.8</v>
      </c>
      <c r="S230">
        <v>1300</v>
      </c>
    </row>
    <row r="231" spans="11:19" x14ac:dyDescent="0.2">
      <c r="K231" s="10" t="s">
        <v>155</v>
      </c>
      <c r="L231" s="1">
        <v>40252</v>
      </c>
      <c r="M231">
        <v>43</v>
      </c>
      <c r="N231">
        <v>2500</v>
      </c>
      <c r="P231" t="s">
        <v>72</v>
      </c>
      <c r="Q231" s="1">
        <v>38640</v>
      </c>
      <c r="R231">
        <v>67.599999999999994</v>
      </c>
      <c r="S231">
        <v>1300</v>
      </c>
    </row>
    <row r="232" spans="11:19" x14ac:dyDescent="0.2">
      <c r="K232" s="10" t="s">
        <v>155</v>
      </c>
      <c r="L232" s="11">
        <v>40313</v>
      </c>
      <c r="M232" s="10">
        <v>42.4</v>
      </c>
      <c r="N232">
        <v>2500</v>
      </c>
      <c r="P232" t="s">
        <v>72</v>
      </c>
      <c r="Q232" s="1">
        <v>38701</v>
      </c>
      <c r="R232">
        <v>62.5</v>
      </c>
      <c r="S232">
        <v>1300</v>
      </c>
    </row>
    <row r="233" spans="11:19" x14ac:dyDescent="0.2">
      <c r="K233" s="10" t="s">
        <v>155</v>
      </c>
      <c r="L233" s="1">
        <v>40347</v>
      </c>
      <c r="M233">
        <v>47.9</v>
      </c>
      <c r="N233">
        <v>2499</v>
      </c>
      <c r="P233" t="s">
        <v>72</v>
      </c>
      <c r="Q233" s="1">
        <v>38763</v>
      </c>
      <c r="R233">
        <v>73.599999999999994</v>
      </c>
      <c r="S233">
        <v>1300</v>
      </c>
    </row>
    <row r="234" spans="11:19" x14ac:dyDescent="0.2">
      <c r="K234" s="10" t="s">
        <v>155</v>
      </c>
      <c r="L234" s="1">
        <v>40386</v>
      </c>
      <c r="M234">
        <v>46.6</v>
      </c>
      <c r="N234">
        <v>2501</v>
      </c>
      <c r="P234" t="s">
        <v>72</v>
      </c>
      <c r="Q234" s="1">
        <v>38791</v>
      </c>
      <c r="R234">
        <v>73.099999999999994</v>
      </c>
      <c r="S234">
        <v>1300</v>
      </c>
    </row>
    <row r="235" spans="11:19" x14ac:dyDescent="0.2">
      <c r="K235" s="10" t="s">
        <v>155</v>
      </c>
      <c r="L235" s="1">
        <v>40425</v>
      </c>
      <c r="M235">
        <v>49.2</v>
      </c>
      <c r="N235">
        <v>2500</v>
      </c>
      <c r="P235" t="s">
        <v>72</v>
      </c>
      <c r="Q235" s="1">
        <v>38822</v>
      </c>
      <c r="R235">
        <v>74.2</v>
      </c>
      <c r="S235">
        <v>1300</v>
      </c>
    </row>
    <row r="236" spans="11:19" x14ac:dyDescent="0.2">
      <c r="K236" s="10" t="s">
        <v>155</v>
      </c>
      <c r="L236" s="1">
        <v>40441</v>
      </c>
      <c r="M236">
        <v>48.7</v>
      </c>
      <c r="N236">
        <v>2500</v>
      </c>
      <c r="P236" t="s">
        <v>72</v>
      </c>
      <c r="Q236" s="1">
        <v>38852</v>
      </c>
      <c r="R236">
        <v>75.400000000000006</v>
      </c>
      <c r="S236">
        <v>1300</v>
      </c>
    </row>
    <row r="237" spans="11:19" x14ac:dyDescent="0.2">
      <c r="K237" s="10" t="s">
        <v>155</v>
      </c>
      <c r="L237" s="1">
        <v>40471</v>
      </c>
      <c r="M237">
        <v>53.1</v>
      </c>
      <c r="N237">
        <v>2500</v>
      </c>
      <c r="P237" t="s">
        <v>72</v>
      </c>
      <c r="Q237" s="1">
        <v>38883</v>
      </c>
      <c r="R237">
        <v>70.099999999999994</v>
      </c>
      <c r="S237">
        <v>1300</v>
      </c>
    </row>
    <row r="238" spans="11:19" x14ac:dyDescent="0.2">
      <c r="K238" s="10" t="s">
        <v>155</v>
      </c>
      <c r="L238" s="1">
        <v>40558</v>
      </c>
      <c r="M238">
        <v>54.7</v>
      </c>
      <c r="N238">
        <v>2500</v>
      </c>
      <c r="P238" t="s">
        <v>72</v>
      </c>
      <c r="Q238" s="1">
        <v>38913</v>
      </c>
      <c r="R238">
        <v>70.5</v>
      </c>
      <c r="S238">
        <v>1300</v>
      </c>
    </row>
    <row r="239" spans="11:19" x14ac:dyDescent="0.2">
      <c r="K239" s="10" t="s">
        <v>7</v>
      </c>
      <c r="L239" s="1">
        <v>40235</v>
      </c>
      <c r="M239">
        <v>43</v>
      </c>
      <c r="N239">
        <v>1300</v>
      </c>
      <c r="P239" t="s">
        <v>72</v>
      </c>
      <c r="Q239" s="1">
        <v>38944</v>
      </c>
      <c r="R239">
        <v>72.8</v>
      </c>
      <c r="S239">
        <v>1300</v>
      </c>
    </row>
    <row r="240" spans="11:19" x14ac:dyDescent="0.2">
      <c r="K240" s="10" t="s">
        <v>7</v>
      </c>
      <c r="L240" s="1">
        <v>40326</v>
      </c>
      <c r="M240">
        <v>46</v>
      </c>
      <c r="N240">
        <v>1300</v>
      </c>
      <c r="P240" t="s">
        <v>72</v>
      </c>
      <c r="Q240" s="1">
        <v>38975</v>
      </c>
      <c r="R240">
        <v>70.8</v>
      </c>
      <c r="S240">
        <v>1300</v>
      </c>
    </row>
    <row r="241" spans="11:19" x14ac:dyDescent="0.2">
      <c r="K241" s="10" t="s">
        <v>7</v>
      </c>
      <c r="L241" s="1">
        <v>40595</v>
      </c>
      <c r="M241">
        <v>46</v>
      </c>
      <c r="N241">
        <v>1300</v>
      </c>
      <c r="P241" t="s">
        <v>72</v>
      </c>
      <c r="Q241" s="1">
        <v>39036</v>
      </c>
      <c r="R241">
        <v>66.3</v>
      </c>
      <c r="S241">
        <v>1600</v>
      </c>
    </row>
    <row r="242" spans="11:19" x14ac:dyDescent="0.2">
      <c r="K242" s="10" t="s">
        <v>4</v>
      </c>
      <c r="L242" s="1">
        <v>40235</v>
      </c>
      <c r="M242">
        <v>40</v>
      </c>
      <c r="N242">
        <v>1300</v>
      </c>
      <c r="P242" t="s">
        <v>72</v>
      </c>
      <c r="Q242" s="1">
        <v>39128</v>
      </c>
      <c r="R242">
        <v>67.400000000000006</v>
      </c>
      <c r="S242">
        <v>1300</v>
      </c>
    </row>
    <row r="243" spans="11:19" x14ac:dyDescent="0.2">
      <c r="K243" s="10" t="s">
        <v>4</v>
      </c>
      <c r="L243" s="1">
        <v>40326</v>
      </c>
      <c r="M243">
        <v>41</v>
      </c>
      <c r="N243">
        <v>1300</v>
      </c>
      <c r="P243" t="s">
        <v>72</v>
      </c>
      <c r="Q243" s="1">
        <v>39156</v>
      </c>
      <c r="R243">
        <v>64.7</v>
      </c>
      <c r="S243">
        <v>1300</v>
      </c>
    </row>
    <row r="244" spans="11:19" x14ac:dyDescent="0.2">
      <c r="K244" s="10" t="s">
        <v>4</v>
      </c>
      <c r="L244" s="1">
        <v>40594</v>
      </c>
      <c r="M244">
        <v>43</v>
      </c>
      <c r="N244">
        <v>1300</v>
      </c>
      <c r="P244" t="s">
        <v>72</v>
      </c>
      <c r="Q244" s="1">
        <v>39209</v>
      </c>
      <c r="R244">
        <v>63.1</v>
      </c>
      <c r="S244">
        <v>1300</v>
      </c>
    </row>
    <row r="245" spans="11:19" x14ac:dyDescent="0.2">
      <c r="P245" t="s">
        <v>72</v>
      </c>
      <c r="Q245" s="1">
        <v>39223</v>
      </c>
      <c r="R245">
        <v>55.8</v>
      </c>
      <c r="S245">
        <v>1300</v>
      </c>
    </row>
    <row r="246" spans="11:19" x14ac:dyDescent="0.2">
      <c r="P246" t="s">
        <v>72</v>
      </c>
      <c r="Q246" s="1">
        <v>39248</v>
      </c>
      <c r="R246">
        <v>65</v>
      </c>
      <c r="S246">
        <v>1300</v>
      </c>
    </row>
    <row r="247" spans="11:19" x14ac:dyDescent="0.2">
      <c r="P247" t="s">
        <v>72</v>
      </c>
      <c r="Q247" s="1">
        <v>39278</v>
      </c>
      <c r="R247">
        <v>60</v>
      </c>
      <c r="S247">
        <v>1300</v>
      </c>
    </row>
    <row r="248" spans="11:19" x14ac:dyDescent="0.2">
      <c r="P248" t="s">
        <v>72</v>
      </c>
      <c r="Q248" s="1">
        <v>39340</v>
      </c>
      <c r="R248">
        <v>63.4</v>
      </c>
      <c r="S248">
        <v>1300</v>
      </c>
    </row>
    <row r="249" spans="11:19" x14ac:dyDescent="0.2">
      <c r="P249" t="s">
        <v>72</v>
      </c>
      <c r="Q249" s="1">
        <v>39370</v>
      </c>
      <c r="R249">
        <v>62.2</v>
      </c>
      <c r="S249">
        <v>1300</v>
      </c>
    </row>
    <row r="250" spans="11:19" x14ac:dyDescent="0.2">
      <c r="P250" t="s">
        <v>72</v>
      </c>
      <c r="Q250" s="1">
        <v>39401</v>
      </c>
      <c r="R250">
        <v>52</v>
      </c>
      <c r="S250">
        <v>1300</v>
      </c>
    </row>
    <row r="251" spans="11:19" x14ac:dyDescent="0.2">
      <c r="P251" t="s">
        <v>72</v>
      </c>
      <c r="Q251" s="1">
        <v>39493</v>
      </c>
      <c r="R251">
        <v>51.8</v>
      </c>
      <c r="S251">
        <v>1300</v>
      </c>
    </row>
    <row r="252" spans="11:19" x14ac:dyDescent="0.2">
      <c r="P252" t="s">
        <v>72</v>
      </c>
      <c r="Q252" s="1">
        <v>39553</v>
      </c>
      <c r="R252">
        <v>55.8</v>
      </c>
      <c r="S252">
        <v>1300</v>
      </c>
    </row>
    <row r="253" spans="11:19" x14ac:dyDescent="0.2">
      <c r="P253" t="s">
        <v>72</v>
      </c>
      <c r="Q253" s="1">
        <v>39583</v>
      </c>
      <c r="R253">
        <v>55.5</v>
      </c>
      <c r="S253">
        <v>1300</v>
      </c>
    </row>
    <row r="254" spans="11:19" x14ac:dyDescent="0.2">
      <c r="P254" t="s">
        <v>72</v>
      </c>
      <c r="Q254" s="1">
        <v>39614</v>
      </c>
      <c r="R254">
        <v>57.7</v>
      </c>
      <c r="S254">
        <v>1300</v>
      </c>
    </row>
    <row r="255" spans="11:19" x14ac:dyDescent="0.2">
      <c r="P255" t="s">
        <v>72</v>
      </c>
      <c r="Q255" s="1">
        <v>39644</v>
      </c>
      <c r="R255">
        <v>58.4</v>
      </c>
      <c r="S255">
        <v>1300</v>
      </c>
    </row>
    <row r="256" spans="11:19" x14ac:dyDescent="0.2">
      <c r="P256" t="s">
        <v>72</v>
      </c>
      <c r="Q256" s="1">
        <v>39675</v>
      </c>
      <c r="R256">
        <v>58</v>
      </c>
      <c r="S256">
        <v>1300</v>
      </c>
    </row>
    <row r="257" spans="16:19" x14ac:dyDescent="0.2">
      <c r="P257" t="s">
        <v>72</v>
      </c>
      <c r="Q257" s="1">
        <v>39706</v>
      </c>
      <c r="R257">
        <v>56.9</v>
      </c>
      <c r="S257">
        <v>1300</v>
      </c>
    </row>
    <row r="258" spans="16:19" x14ac:dyDescent="0.2">
      <c r="P258" t="s">
        <v>72</v>
      </c>
      <c r="Q258" s="1">
        <v>39767</v>
      </c>
      <c r="R258">
        <v>57.3</v>
      </c>
      <c r="S258">
        <v>1300</v>
      </c>
    </row>
    <row r="259" spans="16:19" x14ac:dyDescent="0.2">
      <c r="P259" t="s">
        <v>72</v>
      </c>
      <c r="Q259" s="1">
        <v>39797</v>
      </c>
      <c r="R259">
        <v>57.9</v>
      </c>
      <c r="S259">
        <v>1300</v>
      </c>
    </row>
    <row r="260" spans="16:19" x14ac:dyDescent="0.2">
      <c r="P260" t="s">
        <v>72</v>
      </c>
      <c r="Q260" s="1">
        <v>39828</v>
      </c>
      <c r="R260">
        <v>51</v>
      </c>
      <c r="S260">
        <v>1300</v>
      </c>
    </row>
    <row r="261" spans="16:19" x14ac:dyDescent="0.2">
      <c r="P261" t="s">
        <v>72</v>
      </c>
      <c r="Q261" s="1">
        <v>39859</v>
      </c>
      <c r="R261">
        <v>53.8</v>
      </c>
      <c r="S261">
        <v>1300</v>
      </c>
    </row>
    <row r="262" spans="16:19" x14ac:dyDescent="0.2">
      <c r="P262" t="s">
        <v>72</v>
      </c>
      <c r="Q262" s="1">
        <v>39872</v>
      </c>
      <c r="R262">
        <v>61</v>
      </c>
      <c r="S262">
        <v>1300</v>
      </c>
    </row>
    <row r="263" spans="16:19" x14ac:dyDescent="0.2">
      <c r="P263" t="s">
        <v>72</v>
      </c>
      <c r="Q263" s="1">
        <v>39887</v>
      </c>
      <c r="R263">
        <v>59.3</v>
      </c>
      <c r="S263">
        <v>1300</v>
      </c>
    </row>
    <row r="264" spans="16:19" x14ac:dyDescent="0.2">
      <c r="P264" t="s">
        <v>72</v>
      </c>
      <c r="Q264" s="1">
        <v>39918</v>
      </c>
      <c r="R264">
        <v>55.4</v>
      </c>
      <c r="S264">
        <v>1300</v>
      </c>
    </row>
    <row r="265" spans="16:19" x14ac:dyDescent="0.2">
      <c r="P265" t="s">
        <v>72</v>
      </c>
      <c r="Q265" s="1">
        <v>39948</v>
      </c>
      <c r="R265">
        <v>53.2</v>
      </c>
      <c r="S265">
        <v>1300</v>
      </c>
    </row>
    <row r="266" spans="16:19" x14ac:dyDescent="0.2">
      <c r="P266" t="s">
        <v>72</v>
      </c>
      <c r="Q266" s="11">
        <v>39979</v>
      </c>
      <c r="R266">
        <v>52.3</v>
      </c>
      <c r="S266">
        <v>1300</v>
      </c>
    </row>
    <row r="267" spans="16:19" x14ac:dyDescent="0.2">
      <c r="P267" t="s">
        <v>72</v>
      </c>
      <c r="Q267" s="1">
        <v>40009</v>
      </c>
      <c r="R267">
        <v>57.3</v>
      </c>
      <c r="S267">
        <v>1300</v>
      </c>
    </row>
    <row r="268" spans="16:19" x14ac:dyDescent="0.2">
      <c r="P268" t="s">
        <v>72</v>
      </c>
      <c r="Q268" s="1">
        <v>40071</v>
      </c>
      <c r="R268">
        <v>52.8</v>
      </c>
      <c r="S268">
        <v>1300</v>
      </c>
    </row>
    <row r="269" spans="16:19" x14ac:dyDescent="0.2">
      <c r="P269" t="s">
        <v>72</v>
      </c>
      <c r="Q269" s="1">
        <v>40094</v>
      </c>
      <c r="R269">
        <v>46.2</v>
      </c>
      <c r="S269">
        <v>1300</v>
      </c>
    </row>
    <row r="270" spans="16:19" x14ac:dyDescent="0.2">
      <c r="P270" t="s">
        <v>72</v>
      </c>
      <c r="Q270" s="1">
        <v>40132</v>
      </c>
      <c r="R270">
        <v>50.8</v>
      </c>
      <c r="S270">
        <v>1300</v>
      </c>
    </row>
    <row r="271" spans="16:19" x14ac:dyDescent="0.2">
      <c r="P271" t="s">
        <v>72</v>
      </c>
      <c r="Q271" s="1">
        <v>40162</v>
      </c>
      <c r="R271">
        <v>46.7</v>
      </c>
      <c r="S271">
        <v>1300</v>
      </c>
    </row>
    <row r="272" spans="16:19" x14ac:dyDescent="0.2">
      <c r="P272" t="s">
        <v>72</v>
      </c>
      <c r="Q272" s="1">
        <v>40224</v>
      </c>
      <c r="R272">
        <v>42.6</v>
      </c>
      <c r="S272">
        <v>1300</v>
      </c>
    </row>
    <row r="273" spans="16:19" x14ac:dyDescent="0.2">
      <c r="P273" t="s">
        <v>72</v>
      </c>
      <c r="Q273" s="1">
        <v>40283</v>
      </c>
      <c r="R273">
        <v>44.4</v>
      </c>
      <c r="S273">
        <v>1300</v>
      </c>
    </row>
    <row r="274" spans="16:19" x14ac:dyDescent="0.2">
      <c r="P274" t="s">
        <v>72</v>
      </c>
      <c r="Q274" s="1">
        <v>40313</v>
      </c>
      <c r="R274">
        <v>48</v>
      </c>
      <c r="S274">
        <v>1300</v>
      </c>
    </row>
    <row r="275" spans="16:19" x14ac:dyDescent="0.2">
      <c r="P275" t="s">
        <v>72</v>
      </c>
      <c r="Q275" s="1">
        <v>40344</v>
      </c>
      <c r="R275">
        <v>47</v>
      </c>
      <c r="S275">
        <v>1300</v>
      </c>
    </row>
    <row r="276" spans="16:19" x14ac:dyDescent="0.2">
      <c r="P276" t="s">
        <v>72</v>
      </c>
      <c r="Q276" s="1">
        <v>40405</v>
      </c>
      <c r="R276">
        <v>44.7</v>
      </c>
      <c r="S276">
        <v>1300</v>
      </c>
    </row>
    <row r="277" spans="16:19" x14ac:dyDescent="0.2">
      <c r="P277" t="s">
        <v>72</v>
      </c>
      <c r="Q277" s="1">
        <v>40436</v>
      </c>
      <c r="R277">
        <v>45.3</v>
      </c>
      <c r="S277">
        <v>1300</v>
      </c>
    </row>
    <row r="278" spans="16:19" x14ac:dyDescent="0.2">
      <c r="P278" t="s">
        <v>72</v>
      </c>
      <c r="Q278" s="1">
        <v>40497</v>
      </c>
      <c r="R278">
        <v>47.7</v>
      </c>
      <c r="S278">
        <v>1300</v>
      </c>
    </row>
    <row r="279" spans="16:19" x14ac:dyDescent="0.2">
      <c r="P279" t="s">
        <v>72</v>
      </c>
      <c r="Q279" s="1">
        <v>40527</v>
      </c>
      <c r="R279">
        <v>53.9</v>
      </c>
      <c r="S279">
        <v>1300</v>
      </c>
    </row>
    <row r="280" spans="16:19" x14ac:dyDescent="0.2">
      <c r="P280" t="s">
        <v>72</v>
      </c>
      <c r="Q280" s="1">
        <v>40589</v>
      </c>
      <c r="R280">
        <v>54.6</v>
      </c>
      <c r="S280">
        <v>1300</v>
      </c>
    </row>
    <row r="281" spans="16:19" x14ac:dyDescent="0.2">
      <c r="P281" t="s">
        <v>72</v>
      </c>
      <c r="Q281" s="1">
        <v>40648</v>
      </c>
      <c r="R281">
        <v>52.4</v>
      </c>
      <c r="S281">
        <v>1300</v>
      </c>
    </row>
    <row r="282" spans="16:19" x14ac:dyDescent="0.2">
      <c r="P282" t="s">
        <v>72</v>
      </c>
      <c r="Q282" s="1">
        <v>40678</v>
      </c>
      <c r="R282">
        <v>49.3</v>
      </c>
      <c r="S282">
        <v>1300</v>
      </c>
    </row>
    <row r="283" spans="16:19" x14ac:dyDescent="0.2">
      <c r="P283" t="s">
        <v>72</v>
      </c>
      <c r="Q283" s="1">
        <v>40709</v>
      </c>
      <c r="R283">
        <v>51.9</v>
      </c>
      <c r="S283">
        <v>1300</v>
      </c>
    </row>
    <row r="284" spans="16:19" x14ac:dyDescent="0.2">
      <c r="P284" t="s">
        <v>72</v>
      </c>
      <c r="Q284" s="1">
        <v>40739</v>
      </c>
      <c r="R284">
        <v>50.4</v>
      </c>
      <c r="S284">
        <v>1300</v>
      </c>
    </row>
    <row r="285" spans="16:19" x14ac:dyDescent="0.2">
      <c r="P285" t="s">
        <v>72</v>
      </c>
      <c r="Q285" s="1">
        <v>40770</v>
      </c>
      <c r="R285">
        <v>48.6</v>
      </c>
      <c r="S285">
        <v>1300</v>
      </c>
    </row>
    <row r="286" spans="16:19" x14ac:dyDescent="0.2">
      <c r="P286" t="s">
        <v>72</v>
      </c>
      <c r="Q286" s="1">
        <v>40801</v>
      </c>
      <c r="R286">
        <v>58.9</v>
      </c>
      <c r="S286">
        <v>1300</v>
      </c>
    </row>
    <row r="287" spans="16:19" x14ac:dyDescent="0.2">
      <c r="P287" t="s">
        <v>72</v>
      </c>
      <c r="Q287" s="1">
        <v>40831</v>
      </c>
      <c r="R287">
        <v>53.1</v>
      </c>
      <c r="S287">
        <v>1300</v>
      </c>
    </row>
    <row r="288" spans="16:19" x14ac:dyDescent="0.2">
      <c r="P288" t="s">
        <v>72</v>
      </c>
      <c r="Q288" s="1">
        <v>40862</v>
      </c>
      <c r="R288">
        <v>51</v>
      </c>
      <c r="S288">
        <v>1300</v>
      </c>
    </row>
    <row r="289" spans="16:19" x14ac:dyDescent="0.2">
      <c r="P289" t="s">
        <v>72</v>
      </c>
      <c r="Q289" s="1">
        <v>40877</v>
      </c>
      <c r="R289">
        <v>52.9</v>
      </c>
      <c r="S289">
        <v>1300</v>
      </c>
    </row>
    <row r="290" spans="16:19" x14ac:dyDescent="0.2">
      <c r="P290" t="s">
        <v>72</v>
      </c>
      <c r="Q290" s="1">
        <v>40892</v>
      </c>
      <c r="R290">
        <v>56</v>
      </c>
      <c r="S290">
        <v>1300</v>
      </c>
    </row>
    <row r="291" spans="16:19" x14ac:dyDescent="0.2">
      <c r="P291" t="s">
        <v>72</v>
      </c>
      <c r="Q291" s="1">
        <v>40954</v>
      </c>
      <c r="R291">
        <v>58.8</v>
      </c>
      <c r="S291">
        <v>1300</v>
      </c>
    </row>
    <row r="292" spans="16:19" x14ac:dyDescent="0.2">
      <c r="P292" t="s">
        <v>72</v>
      </c>
      <c r="Q292" s="1">
        <v>40983</v>
      </c>
      <c r="R292">
        <v>64.7</v>
      </c>
      <c r="S292">
        <v>1300</v>
      </c>
    </row>
    <row r="293" spans="16:19" x14ac:dyDescent="0.2">
      <c r="P293" t="s">
        <v>72</v>
      </c>
      <c r="Q293" s="1">
        <v>41014</v>
      </c>
      <c r="R293">
        <v>65</v>
      </c>
      <c r="S293">
        <v>1300</v>
      </c>
    </row>
    <row r="294" spans="16:19" x14ac:dyDescent="0.2">
      <c r="P294" t="s">
        <v>72</v>
      </c>
      <c r="Q294" s="1">
        <v>41075</v>
      </c>
      <c r="R294">
        <v>62.4</v>
      </c>
      <c r="S294">
        <v>1300</v>
      </c>
    </row>
    <row r="295" spans="16:19" x14ac:dyDescent="0.2">
      <c r="P295" t="s">
        <v>72</v>
      </c>
      <c r="Q295" s="1">
        <v>41105</v>
      </c>
      <c r="R295">
        <v>61.6</v>
      </c>
      <c r="S295">
        <v>1300</v>
      </c>
    </row>
    <row r="296" spans="16:19" x14ac:dyDescent="0.2">
      <c r="P296" t="s">
        <v>72</v>
      </c>
      <c r="Q296" s="1">
        <v>41136</v>
      </c>
      <c r="R296">
        <v>55.8</v>
      </c>
      <c r="S296">
        <v>1300</v>
      </c>
    </row>
    <row r="297" spans="16:19" x14ac:dyDescent="0.2">
      <c r="P297" t="s">
        <v>72</v>
      </c>
      <c r="Q297" s="1">
        <v>41167</v>
      </c>
      <c r="R297">
        <v>60.8</v>
      </c>
      <c r="S297">
        <v>1300</v>
      </c>
    </row>
    <row r="298" spans="16:19" x14ac:dyDescent="0.2">
      <c r="P298" t="s">
        <v>72</v>
      </c>
      <c r="Q298" s="1">
        <v>41194</v>
      </c>
      <c r="R298">
        <v>68</v>
      </c>
      <c r="S298">
        <v>1300</v>
      </c>
    </row>
    <row r="299" spans="16:19" x14ac:dyDescent="0.2">
      <c r="P299" t="s">
        <v>72</v>
      </c>
      <c r="Q299" s="1">
        <v>40983</v>
      </c>
      <c r="R299">
        <v>59.8</v>
      </c>
      <c r="S299">
        <v>1300</v>
      </c>
    </row>
    <row r="300" spans="16:19" x14ac:dyDescent="0.2">
      <c r="P300" t="s">
        <v>72</v>
      </c>
      <c r="Q300" s="1">
        <v>40999</v>
      </c>
      <c r="R300">
        <v>57.8</v>
      </c>
      <c r="S300">
        <v>1300</v>
      </c>
    </row>
    <row r="301" spans="16:19" x14ac:dyDescent="0.2">
      <c r="P301" t="s">
        <v>72</v>
      </c>
      <c r="Q301" s="1">
        <v>41014</v>
      </c>
      <c r="R301">
        <v>71.599999999999994</v>
      </c>
      <c r="S301">
        <v>1300</v>
      </c>
    </row>
  </sheetData>
  <phoneticPr fontId="1" type="noConversion"/>
  <pageMargins left="0.75" right="0.75" top="1" bottom="1" header="0.5" footer="0.5"/>
  <pageSetup paperSize="0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55"/>
  <sheetViews>
    <sheetView topLeftCell="N337" workbookViewId="0">
      <selection activeCell="AA1" sqref="V1:AA355"/>
    </sheetView>
  </sheetViews>
  <sheetFormatPr defaultColWidth="11.42578125" defaultRowHeight="12.75" x14ac:dyDescent="0.2"/>
  <cols>
    <col min="3" max="3" width="0" hidden="1" customWidth="1"/>
    <col min="17" max="17" width="11.42578125" style="36"/>
  </cols>
  <sheetData>
    <row r="1" spans="1:27" x14ac:dyDescent="0.2">
      <c r="A1" s="6">
        <v>41502</v>
      </c>
      <c r="H1" s="6">
        <v>42522</v>
      </c>
      <c r="I1" t="s">
        <v>273</v>
      </c>
      <c r="J1" s="10" t="s">
        <v>278</v>
      </c>
      <c r="K1" t="s">
        <v>275</v>
      </c>
      <c r="L1" t="s">
        <v>276</v>
      </c>
      <c r="M1" t="s">
        <v>277</v>
      </c>
      <c r="O1" s="6">
        <v>42522</v>
      </c>
      <c r="P1" t="s">
        <v>273</v>
      </c>
      <c r="Q1" s="35" t="s">
        <v>278</v>
      </c>
      <c r="R1" t="s">
        <v>275</v>
      </c>
      <c r="S1" t="s">
        <v>276</v>
      </c>
      <c r="T1" t="s">
        <v>277</v>
      </c>
      <c r="V1" t="s">
        <v>282</v>
      </c>
      <c r="W1" t="s">
        <v>273</v>
      </c>
      <c r="X1" s="10" t="s">
        <v>278</v>
      </c>
      <c r="Y1" t="s">
        <v>275</v>
      </c>
      <c r="Z1" t="s">
        <v>276</v>
      </c>
      <c r="AA1" t="s">
        <v>277</v>
      </c>
    </row>
    <row r="2" spans="1:27" x14ac:dyDescent="0.2">
      <c r="A2" t="s">
        <v>96</v>
      </c>
      <c r="B2" s="1">
        <v>38317</v>
      </c>
      <c r="C2">
        <v>-5</v>
      </c>
      <c r="D2">
        <f>100+C2</f>
        <v>95</v>
      </c>
      <c r="E2">
        <v>403</v>
      </c>
      <c r="H2" t="s">
        <v>85</v>
      </c>
      <c r="I2" s="1">
        <v>32523</v>
      </c>
      <c r="J2">
        <f>L2+100</f>
        <v>140</v>
      </c>
      <c r="K2">
        <v>1534</v>
      </c>
      <c r="L2">
        <v>40</v>
      </c>
      <c r="M2">
        <v>70</v>
      </c>
      <c r="O2" t="s">
        <v>85</v>
      </c>
      <c r="P2" s="1">
        <v>32523</v>
      </c>
      <c r="Q2" s="36">
        <f>S2+100</f>
        <v>140</v>
      </c>
      <c r="R2">
        <v>1534</v>
      </c>
      <c r="S2">
        <v>40</v>
      </c>
      <c r="T2">
        <v>70</v>
      </c>
      <c r="V2" t="s">
        <v>193</v>
      </c>
      <c r="W2" s="1">
        <v>31824</v>
      </c>
      <c r="X2">
        <f>100+Z2</f>
        <v>69.2</v>
      </c>
      <c r="Y2">
        <v>3000</v>
      </c>
      <c r="Z2">
        <v>-30.8</v>
      </c>
      <c r="AA2">
        <v>25.13</v>
      </c>
    </row>
    <row r="3" spans="1:27" x14ac:dyDescent="0.2">
      <c r="A3" t="s">
        <v>94</v>
      </c>
      <c r="B3" s="1">
        <v>38190</v>
      </c>
      <c r="C3">
        <v>7</v>
      </c>
      <c r="D3">
        <f t="shared" ref="D3:D66" si="0">100+C3</f>
        <v>107</v>
      </c>
      <c r="E3">
        <v>2000</v>
      </c>
      <c r="H3" t="s">
        <v>85</v>
      </c>
      <c r="I3" s="1">
        <v>33939</v>
      </c>
      <c r="J3">
        <f t="shared" ref="J3:J66" si="1">L3+100</f>
        <v>40</v>
      </c>
      <c r="K3">
        <v>1534</v>
      </c>
      <c r="L3">
        <v>-60</v>
      </c>
      <c r="M3">
        <v>20</v>
      </c>
      <c r="O3" t="s">
        <v>85</v>
      </c>
      <c r="P3" s="1">
        <v>33939</v>
      </c>
      <c r="Q3" s="36">
        <f t="shared" ref="Q3:Q66" si="2">S3+100</f>
        <v>40</v>
      </c>
      <c r="R3">
        <v>1534</v>
      </c>
      <c r="S3">
        <v>-60</v>
      </c>
      <c r="T3">
        <v>20</v>
      </c>
      <c r="V3" t="s">
        <v>193</v>
      </c>
      <c r="W3" s="1">
        <v>32066</v>
      </c>
      <c r="X3">
        <f t="shared" ref="X3:X66" si="3">100+Z3</f>
        <v>74.69</v>
      </c>
      <c r="Y3">
        <v>2999</v>
      </c>
      <c r="Z3">
        <v>-25.31</v>
      </c>
      <c r="AA3">
        <v>27.69</v>
      </c>
    </row>
    <row r="4" spans="1:27" x14ac:dyDescent="0.2">
      <c r="A4" t="s">
        <v>94</v>
      </c>
      <c r="B4" s="1">
        <v>39024</v>
      </c>
      <c r="C4">
        <v>16</v>
      </c>
      <c r="D4">
        <f t="shared" si="0"/>
        <v>116</v>
      </c>
      <c r="E4">
        <v>2000</v>
      </c>
      <c r="H4" t="s">
        <v>85</v>
      </c>
      <c r="I4" s="1">
        <v>34029</v>
      </c>
      <c r="J4">
        <f t="shared" si="1"/>
        <v>38</v>
      </c>
      <c r="K4">
        <v>1534</v>
      </c>
      <c r="L4">
        <v>-62</v>
      </c>
      <c r="M4">
        <v>19</v>
      </c>
      <c r="O4" t="s">
        <v>85</v>
      </c>
      <c r="P4" s="1">
        <v>34029</v>
      </c>
      <c r="Q4" s="36">
        <f t="shared" si="2"/>
        <v>38</v>
      </c>
      <c r="R4">
        <v>1534</v>
      </c>
      <c r="S4">
        <v>-62</v>
      </c>
      <c r="T4">
        <v>19</v>
      </c>
      <c r="V4" t="s">
        <v>193</v>
      </c>
      <c r="W4" s="1">
        <v>32127</v>
      </c>
      <c r="X4">
        <f t="shared" si="3"/>
        <v>76.400000000000006</v>
      </c>
      <c r="Y4">
        <v>3000</v>
      </c>
      <c r="Z4">
        <v>-23.6</v>
      </c>
      <c r="AA4">
        <v>29.47</v>
      </c>
    </row>
    <row r="5" spans="1:27" x14ac:dyDescent="0.2">
      <c r="A5" t="s">
        <v>79</v>
      </c>
      <c r="B5" s="1">
        <v>36234</v>
      </c>
      <c r="C5">
        <v>73</v>
      </c>
      <c r="D5">
        <f t="shared" si="0"/>
        <v>173</v>
      </c>
      <c r="E5">
        <v>1200</v>
      </c>
      <c r="H5" t="s">
        <v>85</v>
      </c>
      <c r="I5" s="1">
        <v>40224</v>
      </c>
      <c r="J5">
        <f t="shared" si="1"/>
        <v>92</v>
      </c>
      <c r="K5">
        <v>1534</v>
      </c>
      <c r="L5">
        <v>-8</v>
      </c>
      <c r="M5">
        <v>46</v>
      </c>
      <c r="O5" t="s">
        <v>85</v>
      </c>
      <c r="P5" s="1">
        <v>40224</v>
      </c>
      <c r="Q5" s="36">
        <f t="shared" si="2"/>
        <v>92</v>
      </c>
      <c r="R5">
        <v>1534</v>
      </c>
      <c r="S5">
        <v>-8</v>
      </c>
      <c r="T5">
        <v>46</v>
      </c>
      <c r="V5" t="s">
        <v>193</v>
      </c>
      <c r="W5" s="1">
        <v>32218</v>
      </c>
      <c r="X5">
        <f t="shared" si="3"/>
        <v>81.8</v>
      </c>
      <c r="Y5">
        <v>1929</v>
      </c>
      <c r="Z5">
        <v>-18.2</v>
      </c>
      <c r="AA5">
        <v>37.6</v>
      </c>
    </row>
    <row r="6" spans="1:27" x14ac:dyDescent="0.2">
      <c r="A6" t="s">
        <v>79</v>
      </c>
      <c r="B6" s="11">
        <v>36326</v>
      </c>
      <c r="C6">
        <v>61</v>
      </c>
      <c r="D6">
        <f t="shared" si="0"/>
        <v>161</v>
      </c>
      <c r="E6">
        <v>1200</v>
      </c>
      <c r="H6" t="s">
        <v>85</v>
      </c>
      <c r="I6" s="1">
        <v>40428</v>
      </c>
      <c r="J6">
        <f t="shared" si="1"/>
        <v>91</v>
      </c>
      <c r="K6">
        <v>1534</v>
      </c>
      <c r="L6">
        <v>-9</v>
      </c>
      <c r="M6">
        <v>45.45</v>
      </c>
      <c r="O6" t="s">
        <v>85</v>
      </c>
      <c r="P6" s="1">
        <v>40428</v>
      </c>
      <c r="Q6" s="36">
        <f t="shared" si="2"/>
        <v>91</v>
      </c>
      <c r="R6">
        <v>1534</v>
      </c>
      <c r="S6">
        <v>-9</v>
      </c>
      <c r="T6">
        <v>45.45</v>
      </c>
      <c r="V6" t="s">
        <v>193</v>
      </c>
      <c r="W6" s="1">
        <v>32310</v>
      </c>
      <c r="X6">
        <f t="shared" si="3"/>
        <v>95.08</v>
      </c>
      <c r="Y6">
        <v>340</v>
      </c>
      <c r="Z6">
        <v>-4.92</v>
      </c>
      <c r="AA6">
        <v>47.22</v>
      </c>
    </row>
    <row r="7" spans="1:27" x14ac:dyDescent="0.2">
      <c r="A7" t="s">
        <v>79</v>
      </c>
      <c r="B7" s="1">
        <v>36509</v>
      </c>
      <c r="C7">
        <v>48</v>
      </c>
      <c r="D7">
        <f t="shared" si="0"/>
        <v>148</v>
      </c>
      <c r="E7">
        <v>1200</v>
      </c>
      <c r="H7" t="s">
        <v>85</v>
      </c>
      <c r="I7" s="1">
        <v>40518</v>
      </c>
      <c r="J7">
        <f t="shared" si="1"/>
        <v>86.7</v>
      </c>
      <c r="K7">
        <v>1534</v>
      </c>
      <c r="L7">
        <v>-13.3</v>
      </c>
      <c r="M7">
        <v>43.33</v>
      </c>
      <c r="O7" t="s">
        <v>85</v>
      </c>
      <c r="P7" s="1">
        <v>40518</v>
      </c>
      <c r="Q7" s="36">
        <f t="shared" si="2"/>
        <v>86.7</v>
      </c>
      <c r="R7">
        <v>1534</v>
      </c>
      <c r="S7">
        <v>-13.3</v>
      </c>
      <c r="T7">
        <v>43.33</v>
      </c>
      <c r="V7" t="s">
        <v>193</v>
      </c>
      <c r="W7" s="1">
        <v>32371</v>
      </c>
      <c r="X7">
        <f t="shared" si="3"/>
        <v>77.25</v>
      </c>
      <c r="Y7">
        <v>2000</v>
      </c>
      <c r="Z7">
        <v>-22.75</v>
      </c>
      <c r="AA7">
        <v>33.479999999999997</v>
      </c>
    </row>
    <row r="8" spans="1:27" x14ac:dyDescent="0.2">
      <c r="A8" t="s">
        <v>79</v>
      </c>
      <c r="B8" s="1">
        <v>36692</v>
      </c>
      <c r="C8">
        <v>30</v>
      </c>
      <c r="D8">
        <f t="shared" si="0"/>
        <v>130</v>
      </c>
      <c r="E8">
        <v>1200</v>
      </c>
      <c r="H8" t="s">
        <v>85</v>
      </c>
      <c r="I8" s="1">
        <v>40627</v>
      </c>
      <c r="J8">
        <f t="shared" si="1"/>
        <v>94</v>
      </c>
      <c r="K8">
        <v>1534</v>
      </c>
      <c r="L8">
        <v>-6</v>
      </c>
      <c r="M8">
        <v>47</v>
      </c>
      <c r="O8" t="s">
        <v>85</v>
      </c>
      <c r="P8" s="1">
        <v>40627</v>
      </c>
      <c r="Q8" s="36">
        <f t="shared" si="2"/>
        <v>94</v>
      </c>
      <c r="R8">
        <v>1534</v>
      </c>
      <c r="S8">
        <v>-6</v>
      </c>
      <c r="T8">
        <v>47</v>
      </c>
      <c r="V8" t="s">
        <v>193</v>
      </c>
      <c r="W8" s="1">
        <v>32463</v>
      </c>
      <c r="X8">
        <f t="shared" si="3"/>
        <v>76.489999999999995</v>
      </c>
      <c r="Y8">
        <v>1991</v>
      </c>
      <c r="Z8">
        <v>-23.51</v>
      </c>
      <c r="AA8">
        <v>32.43</v>
      </c>
    </row>
    <row r="9" spans="1:27" x14ac:dyDescent="0.2">
      <c r="A9" t="s">
        <v>79</v>
      </c>
      <c r="B9" s="1">
        <v>36784</v>
      </c>
      <c r="C9">
        <v>27</v>
      </c>
      <c r="D9">
        <f t="shared" si="0"/>
        <v>127</v>
      </c>
      <c r="E9">
        <v>1200</v>
      </c>
      <c r="H9" t="s">
        <v>85</v>
      </c>
      <c r="I9" s="1">
        <v>40821</v>
      </c>
      <c r="J9">
        <f t="shared" si="1"/>
        <v>116</v>
      </c>
      <c r="K9">
        <v>1534</v>
      </c>
      <c r="L9">
        <v>16</v>
      </c>
      <c r="M9">
        <v>58.33</v>
      </c>
      <c r="O9" t="s">
        <v>85</v>
      </c>
      <c r="P9" s="1">
        <v>40821</v>
      </c>
      <c r="Q9" s="36">
        <f t="shared" si="2"/>
        <v>116</v>
      </c>
      <c r="R9">
        <v>1534</v>
      </c>
      <c r="S9">
        <v>16</v>
      </c>
      <c r="T9">
        <v>58.33</v>
      </c>
      <c r="V9" t="s">
        <v>193</v>
      </c>
      <c r="W9" s="1">
        <v>32524</v>
      </c>
      <c r="X9">
        <f t="shared" si="3"/>
        <v>78.7</v>
      </c>
      <c r="Y9">
        <v>2000</v>
      </c>
      <c r="Z9">
        <v>-21.3</v>
      </c>
      <c r="AA9">
        <v>35.15</v>
      </c>
    </row>
    <row r="10" spans="1:27" x14ac:dyDescent="0.2">
      <c r="A10" t="s">
        <v>79</v>
      </c>
      <c r="B10" s="1">
        <v>36965</v>
      </c>
      <c r="C10">
        <v>43</v>
      </c>
      <c r="D10">
        <f t="shared" si="0"/>
        <v>143</v>
      </c>
      <c r="E10">
        <v>1200</v>
      </c>
      <c r="H10" t="s">
        <v>85</v>
      </c>
      <c r="I10" s="1">
        <v>41455</v>
      </c>
      <c r="J10">
        <f t="shared" si="1"/>
        <v>92.4</v>
      </c>
      <c r="K10">
        <v>1534</v>
      </c>
      <c r="L10">
        <v>-7.6</v>
      </c>
      <c r="M10">
        <v>46.17</v>
      </c>
      <c r="O10" t="s">
        <v>85</v>
      </c>
      <c r="P10" s="1">
        <v>41455</v>
      </c>
      <c r="Q10" s="36">
        <f t="shared" si="2"/>
        <v>92.4</v>
      </c>
      <c r="R10">
        <v>1534</v>
      </c>
      <c r="S10">
        <v>-7.6</v>
      </c>
      <c r="T10">
        <v>46.17</v>
      </c>
      <c r="V10" t="s">
        <v>193</v>
      </c>
      <c r="W10" s="1">
        <v>32614</v>
      </c>
      <c r="X10">
        <f t="shared" si="3"/>
        <v>79.650000000000006</v>
      </c>
      <c r="Y10">
        <v>2000</v>
      </c>
      <c r="Z10">
        <v>-20.350000000000001</v>
      </c>
      <c r="AA10">
        <v>34.94</v>
      </c>
    </row>
    <row r="11" spans="1:27" x14ac:dyDescent="0.2">
      <c r="A11" t="s">
        <v>79</v>
      </c>
      <c r="B11" s="1">
        <v>37149</v>
      </c>
      <c r="C11">
        <v>0</v>
      </c>
      <c r="D11">
        <f t="shared" si="0"/>
        <v>100</v>
      </c>
      <c r="E11">
        <v>1200</v>
      </c>
      <c r="H11" t="s">
        <v>85</v>
      </c>
      <c r="I11" s="1">
        <v>41812</v>
      </c>
      <c r="J11">
        <f t="shared" si="1"/>
        <v>83</v>
      </c>
      <c r="K11">
        <v>1534</v>
      </c>
      <c r="L11">
        <v>-17</v>
      </c>
      <c r="M11">
        <v>41.48</v>
      </c>
      <c r="O11" t="s">
        <v>85</v>
      </c>
      <c r="P11" s="1">
        <v>41812</v>
      </c>
      <c r="Q11" s="36">
        <f t="shared" si="2"/>
        <v>83</v>
      </c>
      <c r="R11">
        <v>1534</v>
      </c>
      <c r="S11">
        <v>-17</v>
      </c>
      <c r="T11">
        <v>41.48</v>
      </c>
      <c r="V11" t="s">
        <v>193</v>
      </c>
      <c r="W11" s="1">
        <v>32828</v>
      </c>
      <c r="X11">
        <f t="shared" si="3"/>
        <v>69.400000000000006</v>
      </c>
      <c r="Y11">
        <v>2000</v>
      </c>
      <c r="Z11">
        <v>-30.6</v>
      </c>
      <c r="AA11">
        <v>27.16</v>
      </c>
    </row>
    <row r="12" spans="1:27" x14ac:dyDescent="0.2">
      <c r="A12" t="s">
        <v>79</v>
      </c>
      <c r="B12" s="1">
        <v>37240</v>
      </c>
      <c r="C12">
        <v>-25</v>
      </c>
      <c r="D12">
        <f t="shared" si="0"/>
        <v>75</v>
      </c>
      <c r="E12">
        <v>1200</v>
      </c>
      <c r="H12" t="s">
        <v>85</v>
      </c>
      <c r="I12" s="1">
        <v>42267</v>
      </c>
      <c r="J12">
        <f t="shared" si="1"/>
        <v>67</v>
      </c>
      <c r="K12">
        <v>1534</v>
      </c>
      <c r="L12">
        <v>-33</v>
      </c>
      <c r="M12">
        <v>33.33</v>
      </c>
      <c r="O12" t="s">
        <v>85</v>
      </c>
      <c r="P12" s="1">
        <v>42267</v>
      </c>
      <c r="Q12" s="36">
        <f t="shared" si="2"/>
        <v>67</v>
      </c>
      <c r="R12">
        <v>1534</v>
      </c>
      <c r="S12">
        <v>-33</v>
      </c>
      <c r="T12">
        <v>33.33</v>
      </c>
      <c r="V12" t="s">
        <v>193</v>
      </c>
      <c r="W12" s="1">
        <v>33009</v>
      </c>
      <c r="X12">
        <f t="shared" si="3"/>
        <v>74.150000000000006</v>
      </c>
      <c r="Y12">
        <v>2000</v>
      </c>
      <c r="Z12">
        <v>-25.85</v>
      </c>
      <c r="AA12">
        <v>30.1</v>
      </c>
    </row>
    <row r="13" spans="1:27" x14ac:dyDescent="0.2">
      <c r="A13" t="s">
        <v>79</v>
      </c>
      <c r="B13" s="1">
        <v>37330</v>
      </c>
      <c r="C13">
        <v>-26</v>
      </c>
      <c r="D13">
        <f t="shared" si="0"/>
        <v>74</v>
      </c>
      <c r="E13">
        <v>1200</v>
      </c>
      <c r="H13" t="s">
        <v>193</v>
      </c>
      <c r="I13" s="1">
        <v>31824</v>
      </c>
      <c r="J13">
        <f t="shared" si="1"/>
        <v>69.2</v>
      </c>
      <c r="K13">
        <v>2032</v>
      </c>
      <c r="L13">
        <v>-30.8</v>
      </c>
      <c r="M13">
        <v>25.13</v>
      </c>
      <c r="O13" t="s">
        <v>193</v>
      </c>
      <c r="P13" s="1">
        <v>31824</v>
      </c>
      <c r="Q13" s="36">
        <f t="shared" si="2"/>
        <v>69.2</v>
      </c>
      <c r="R13">
        <v>2032</v>
      </c>
      <c r="S13">
        <v>-30.8</v>
      </c>
      <c r="T13">
        <v>25.13</v>
      </c>
      <c r="V13" t="s">
        <v>193</v>
      </c>
      <c r="W13" s="1">
        <v>33101</v>
      </c>
      <c r="X13">
        <f t="shared" si="3"/>
        <v>71.2</v>
      </c>
      <c r="Y13">
        <v>2000</v>
      </c>
      <c r="Z13">
        <v>-28.8</v>
      </c>
      <c r="AA13">
        <v>29.31</v>
      </c>
    </row>
    <row r="14" spans="1:27" x14ac:dyDescent="0.2">
      <c r="A14" t="s">
        <v>79</v>
      </c>
      <c r="B14" s="1">
        <v>37422</v>
      </c>
      <c r="C14">
        <v>-15</v>
      </c>
      <c r="D14">
        <f t="shared" si="0"/>
        <v>85</v>
      </c>
      <c r="E14">
        <v>1200</v>
      </c>
      <c r="H14" t="s">
        <v>193</v>
      </c>
      <c r="I14" s="1">
        <v>32066</v>
      </c>
      <c r="J14">
        <f t="shared" si="1"/>
        <v>74.69</v>
      </c>
      <c r="K14">
        <v>2032</v>
      </c>
      <c r="L14">
        <v>-25.31</v>
      </c>
      <c r="M14">
        <v>27.69</v>
      </c>
      <c r="O14" t="s">
        <v>193</v>
      </c>
      <c r="P14" s="1">
        <v>32066</v>
      </c>
      <c r="Q14" s="36">
        <f t="shared" si="2"/>
        <v>74.69</v>
      </c>
      <c r="R14">
        <v>2032</v>
      </c>
      <c r="S14">
        <v>-25.31</v>
      </c>
      <c r="T14">
        <v>27.69</v>
      </c>
      <c r="V14" t="s">
        <v>193</v>
      </c>
      <c r="W14" s="1">
        <v>33162</v>
      </c>
      <c r="X14">
        <f t="shared" si="3"/>
        <v>73.05</v>
      </c>
      <c r="Y14">
        <v>2000</v>
      </c>
      <c r="Z14">
        <v>-26.95</v>
      </c>
      <c r="AA14">
        <v>29.81</v>
      </c>
    </row>
    <row r="15" spans="1:27" x14ac:dyDescent="0.2">
      <c r="A15" t="s">
        <v>79</v>
      </c>
      <c r="B15" s="1">
        <v>37514</v>
      </c>
      <c r="C15">
        <v>-20</v>
      </c>
      <c r="D15">
        <f t="shared" si="0"/>
        <v>80</v>
      </c>
      <c r="E15">
        <v>1200</v>
      </c>
      <c r="H15" t="s">
        <v>193</v>
      </c>
      <c r="I15" s="1">
        <v>32127</v>
      </c>
      <c r="J15">
        <f t="shared" si="1"/>
        <v>76.400000000000006</v>
      </c>
      <c r="K15">
        <v>2032</v>
      </c>
      <c r="L15">
        <v>-23.6</v>
      </c>
      <c r="M15">
        <v>29.47</v>
      </c>
      <c r="O15" t="s">
        <v>193</v>
      </c>
      <c r="P15" s="1">
        <v>32127</v>
      </c>
      <c r="Q15" s="36">
        <f t="shared" si="2"/>
        <v>76.400000000000006</v>
      </c>
      <c r="R15">
        <v>2032</v>
      </c>
      <c r="S15">
        <v>-23.6</v>
      </c>
      <c r="T15">
        <v>29.47</v>
      </c>
      <c r="V15" t="s">
        <v>193</v>
      </c>
      <c r="W15" s="1">
        <v>33313</v>
      </c>
      <c r="X15">
        <f t="shared" si="3"/>
        <v>83</v>
      </c>
      <c r="Y15">
        <v>2000</v>
      </c>
      <c r="Z15">
        <v>-17</v>
      </c>
      <c r="AA15">
        <v>37.61</v>
      </c>
    </row>
    <row r="16" spans="1:27" x14ac:dyDescent="0.2">
      <c r="A16" t="s">
        <v>79</v>
      </c>
      <c r="B16" s="1">
        <v>37605</v>
      </c>
      <c r="C16">
        <v>-18</v>
      </c>
      <c r="D16">
        <f t="shared" si="0"/>
        <v>82</v>
      </c>
      <c r="E16">
        <v>1200</v>
      </c>
      <c r="H16" t="s">
        <v>193</v>
      </c>
      <c r="I16" s="1">
        <v>32218</v>
      </c>
      <c r="J16">
        <f t="shared" si="1"/>
        <v>81.8</v>
      </c>
      <c r="K16">
        <v>2032</v>
      </c>
      <c r="L16">
        <v>-18.2</v>
      </c>
      <c r="M16">
        <v>37.6</v>
      </c>
      <c r="O16" t="s">
        <v>193</v>
      </c>
      <c r="P16" s="1">
        <v>32218</v>
      </c>
      <c r="Q16" s="36">
        <f t="shared" si="2"/>
        <v>81.8</v>
      </c>
      <c r="R16">
        <v>2032</v>
      </c>
      <c r="S16">
        <v>-18.2</v>
      </c>
      <c r="T16">
        <v>37.6</v>
      </c>
      <c r="V16" t="s">
        <v>193</v>
      </c>
      <c r="W16" s="1">
        <v>33466</v>
      </c>
      <c r="X16">
        <f t="shared" si="3"/>
        <v>71.2</v>
      </c>
      <c r="Y16">
        <v>2000</v>
      </c>
      <c r="Z16">
        <v>-28.8</v>
      </c>
      <c r="AA16">
        <v>29.31</v>
      </c>
    </row>
    <row r="17" spans="1:27" x14ac:dyDescent="0.2">
      <c r="A17" t="s">
        <v>79</v>
      </c>
      <c r="B17" s="1">
        <v>37787</v>
      </c>
      <c r="C17">
        <v>-10</v>
      </c>
      <c r="D17">
        <f t="shared" si="0"/>
        <v>90</v>
      </c>
      <c r="E17">
        <v>1200</v>
      </c>
      <c r="H17" t="s">
        <v>193</v>
      </c>
      <c r="I17" s="1">
        <v>32310</v>
      </c>
      <c r="J17">
        <f t="shared" si="1"/>
        <v>95.08</v>
      </c>
      <c r="K17">
        <v>2032</v>
      </c>
      <c r="L17">
        <v>-4.92</v>
      </c>
      <c r="M17">
        <v>47.22</v>
      </c>
      <c r="O17" t="s">
        <v>193</v>
      </c>
      <c r="P17" s="1">
        <v>32310</v>
      </c>
      <c r="Q17" s="36">
        <f t="shared" si="2"/>
        <v>95.08</v>
      </c>
      <c r="R17">
        <v>2032</v>
      </c>
      <c r="S17">
        <v>-4.92</v>
      </c>
      <c r="T17">
        <v>47.22</v>
      </c>
      <c r="V17" t="s">
        <v>193</v>
      </c>
      <c r="W17" s="1">
        <v>33558</v>
      </c>
      <c r="X17">
        <f t="shared" si="3"/>
        <v>83</v>
      </c>
      <c r="Y17">
        <v>2000</v>
      </c>
      <c r="Z17">
        <v>-17</v>
      </c>
      <c r="AA17">
        <v>37.869999999999997</v>
      </c>
    </row>
    <row r="18" spans="1:27" x14ac:dyDescent="0.2">
      <c r="A18" t="s">
        <v>79</v>
      </c>
      <c r="B18" s="1">
        <v>37879</v>
      </c>
      <c r="C18">
        <v>-30</v>
      </c>
      <c r="D18">
        <f t="shared" si="0"/>
        <v>70</v>
      </c>
      <c r="E18">
        <v>1200</v>
      </c>
      <c r="H18" t="s">
        <v>193</v>
      </c>
      <c r="I18" s="1">
        <v>32371</v>
      </c>
      <c r="J18">
        <f t="shared" si="1"/>
        <v>77.25</v>
      </c>
      <c r="K18">
        <v>2032</v>
      </c>
      <c r="L18">
        <v>-22.75</v>
      </c>
      <c r="M18">
        <v>33.479999999999997</v>
      </c>
      <c r="O18" t="s">
        <v>193</v>
      </c>
      <c r="P18" s="1">
        <v>32371</v>
      </c>
      <c r="Q18" s="36">
        <f t="shared" si="2"/>
        <v>77.25</v>
      </c>
      <c r="R18">
        <v>2032</v>
      </c>
      <c r="S18">
        <v>-22.75</v>
      </c>
      <c r="T18">
        <v>33.479999999999997</v>
      </c>
      <c r="V18" t="s">
        <v>193</v>
      </c>
      <c r="W18" s="1">
        <v>33650</v>
      </c>
      <c r="X18">
        <f t="shared" si="3"/>
        <v>88.6</v>
      </c>
      <c r="Y18">
        <v>2000</v>
      </c>
      <c r="Z18">
        <v>-11.4</v>
      </c>
      <c r="AA18">
        <v>42.55</v>
      </c>
    </row>
    <row r="19" spans="1:27" x14ac:dyDescent="0.2">
      <c r="A19" t="s">
        <v>79</v>
      </c>
      <c r="B19" s="1">
        <v>37970</v>
      </c>
      <c r="C19">
        <v>-9</v>
      </c>
      <c r="D19">
        <f t="shared" si="0"/>
        <v>91</v>
      </c>
      <c r="E19">
        <v>1200</v>
      </c>
      <c r="H19" t="s">
        <v>193</v>
      </c>
      <c r="I19" s="1">
        <v>32463</v>
      </c>
      <c r="J19">
        <f t="shared" si="1"/>
        <v>76.489999999999995</v>
      </c>
      <c r="K19">
        <v>2032</v>
      </c>
      <c r="L19">
        <v>-23.51</v>
      </c>
      <c r="M19">
        <v>32.43</v>
      </c>
      <c r="O19" t="s">
        <v>193</v>
      </c>
      <c r="P19" s="1">
        <v>32463</v>
      </c>
      <c r="Q19" s="36">
        <f t="shared" si="2"/>
        <v>76.489999999999995</v>
      </c>
      <c r="R19">
        <v>2032</v>
      </c>
      <c r="S19">
        <v>-23.51</v>
      </c>
      <c r="T19">
        <v>32.43</v>
      </c>
      <c r="V19" t="s">
        <v>193</v>
      </c>
      <c r="W19" s="1">
        <v>33740</v>
      </c>
      <c r="X19">
        <f t="shared" si="3"/>
        <v>85.5</v>
      </c>
      <c r="Y19">
        <v>2000</v>
      </c>
      <c r="Z19">
        <v>-14.5</v>
      </c>
      <c r="AA19">
        <v>40.47</v>
      </c>
    </row>
    <row r="20" spans="1:27" x14ac:dyDescent="0.2">
      <c r="A20" t="s">
        <v>79</v>
      </c>
      <c r="B20" s="1">
        <v>38153</v>
      </c>
      <c r="C20">
        <v>3</v>
      </c>
      <c r="D20">
        <f t="shared" si="0"/>
        <v>103</v>
      </c>
      <c r="E20">
        <v>1200</v>
      </c>
      <c r="H20" t="s">
        <v>193</v>
      </c>
      <c r="I20" s="1">
        <v>32524</v>
      </c>
      <c r="J20">
        <f t="shared" si="1"/>
        <v>78.7</v>
      </c>
      <c r="K20">
        <v>2032</v>
      </c>
      <c r="L20">
        <v>-21.3</v>
      </c>
      <c r="M20">
        <v>35.15</v>
      </c>
      <c r="O20" t="s">
        <v>193</v>
      </c>
      <c r="P20" s="1">
        <v>32524</v>
      </c>
      <c r="Q20" s="36">
        <f t="shared" si="2"/>
        <v>78.7</v>
      </c>
      <c r="R20">
        <v>2032</v>
      </c>
      <c r="S20">
        <v>-21.3</v>
      </c>
      <c r="T20">
        <v>35.15</v>
      </c>
      <c r="V20" t="s">
        <v>193</v>
      </c>
      <c r="W20" s="1">
        <v>33801</v>
      </c>
      <c r="X20">
        <f t="shared" si="3"/>
        <v>81.349999999999994</v>
      </c>
      <c r="Y20">
        <v>2000</v>
      </c>
      <c r="Z20">
        <v>-18.649999999999999</v>
      </c>
      <c r="AA20">
        <v>38.200000000000003</v>
      </c>
    </row>
    <row r="21" spans="1:27" x14ac:dyDescent="0.2">
      <c r="A21" t="s">
        <v>79</v>
      </c>
      <c r="B21" s="1">
        <v>38245</v>
      </c>
      <c r="C21">
        <v>13</v>
      </c>
      <c r="D21">
        <f t="shared" si="0"/>
        <v>113</v>
      </c>
      <c r="E21">
        <v>1200</v>
      </c>
      <c r="H21" t="s">
        <v>193</v>
      </c>
      <c r="I21" s="1">
        <v>32614</v>
      </c>
      <c r="J21">
        <f t="shared" si="1"/>
        <v>79.650000000000006</v>
      </c>
      <c r="K21">
        <v>2032</v>
      </c>
      <c r="L21">
        <v>-20.350000000000001</v>
      </c>
      <c r="M21">
        <v>34.94</v>
      </c>
      <c r="O21" t="s">
        <v>193</v>
      </c>
      <c r="P21" s="1">
        <v>32614</v>
      </c>
      <c r="Q21" s="36">
        <f t="shared" si="2"/>
        <v>79.650000000000006</v>
      </c>
      <c r="R21">
        <v>2032</v>
      </c>
      <c r="S21">
        <v>-20.350000000000001</v>
      </c>
      <c r="T21">
        <v>34.94</v>
      </c>
      <c r="V21" t="s">
        <v>193</v>
      </c>
      <c r="W21" s="1">
        <v>33893</v>
      </c>
      <c r="X21">
        <f t="shared" si="3"/>
        <v>92.1</v>
      </c>
      <c r="Y21">
        <v>2000</v>
      </c>
      <c r="Z21">
        <v>-7.9</v>
      </c>
      <c r="AA21">
        <v>45.1</v>
      </c>
    </row>
    <row r="22" spans="1:27" x14ac:dyDescent="0.2">
      <c r="A22" t="s">
        <v>79</v>
      </c>
      <c r="B22" s="1">
        <v>38426</v>
      </c>
      <c r="C22">
        <v>47</v>
      </c>
      <c r="D22">
        <f t="shared" si="0"/>
        <v>147</v>
      </c>
      <c r="E22">
        <v>1200</v>
      </c>
      <c r="H22" t="s">
        <v>193</v>
      </c>
      <c r="I22" s="1">
        <v>32828</v>
      </c>
      <c r="J22">
        <f t="shared" si="1"/>
        <v>69.400000000000006</v>
      </c>
      <c r="K22">
        <v>2032</v>
      </c>
      <c r="L22">
        <v>-30.6</v>
      </c>
      <c r="M22">
        <v>27.16</v>
      </c>
      <c r="O22" t="s">
        <v>193</v>
      </c>
      <c r="P22" s="1">
        <v>32828</v>
      </c>
      <c r="Q22" s="36">
        <f t="shared" si="2"/>
        <v>69.400000000000006</v>
      </c>
      <c r="R22">
        <v>2032</v>
      </c>
      <c r="S22">
        <v>-30.6</v>
      </c>
      <c r="T22">
        <v>27.16</v>
      </c>
      <c r="V22" t="s">
        <v>193</v>
      </c>
      <c r="W22" s="1">
        <v>34136</v>
      </c>
      <c r="X22">
        <f t="shared" si="3"/>
        <v>77.650000000000006</v>
      </c>
      <c r="Y22">
        <v>2001</v>
      </c>
      <c r="Z22">
        <v>-22.35</v>
      </c>
      <c r="AA22">
        <v>33.21</v>
      </c>
    </row>
    <row r="23" spans="1:27" x14ac:dyDescent="0.2">
      <c r="A23" t="s">
        <v>79</v>
      </c>
      <c r="B23" s="1">
        <v>38518</v>
      </c>
      <c r="C23">
        <v>33</v>
      </c>
      <c r="D23">
        <f t="shared" si="0"/>
        <v>133</v>
      </c>
      <c r="E23">
        <v>1200</v>
      </c>
      <c r="H23" t="s">
        <v>193</v>
      </c>
      <c r="I23" s="1">
        <v>33009</v>
      </c>
      <c r="J23">
        <f t="shared" si="1"/>
        <v>74.150000000000006</v>
      </c>
      <c r="K23">
        <v>2032</v>
      </c>
      <c r="L23">
        <v>-25.85</v>
      </c>
      <c r="M23">
        <v>30.1</v>
      </c>
      <c r="O23" t="s">
        <v>193</v>
      </c>
      <c r="P23" s="1">
        <v>33009</v>
      </c>
      <c r="Q23" s="36">
        <f t="shared" si="2"/>
        <v>74.150000000000006</v>
      </c>
      <c r="R23">
        <v>2032</v>
      </c>
      <c r="S23">
        <v>-25.85</v>
      </c>
      <c r="T23">
        <v>30.1</v>
      </c>
      <c r="V23" t="s">
        <v>193</v>
      </c>
      <c r="W23" s="1">
        <v>34197</v>
      </c>
      <c r="X23">
        <f t="shared" si="3"/>
        <v>71.55</v>
      </c>
      <c r="Y23">
        <v>2000</v>
      </c>
      <c r="Z23">
        <v>-28.45</v>
      </c>
      <c r="AA23">
        <v>28.75</v>
      </c>
    </row>
    <row r="24" spans="1:27" x14ac:dyDescent="0.2">
      <c r="A24" t="s">
        <v>79</v>
      </c>
      <c r="B24" s="1">
        <v>38610</v>
      </c>
      <c r="C24">
        <v>31</v>
      </c>
      <c r="D24">
        <f t="shared" si="0"/>
        <v>131</v>
      </c>
      <c r="E24">
        <v>1200</v>
      </c>
      <c r="H24" t="s">
        <v>193</v>
      </c>
      <c r="I24" s="1">
        <v>33101</v>
      </c>
      <c r="J24">
        <f t="shared" si="1"/>
        <v>71.2</v>
      </c>
      <c r="K24">
        <v>2032</v>
      </c>
      <c r="L24">
        <v>-28.8</v>
      </c>
      <c r="M24">
        <v>29.31</v>
      </c>
      <c r="O24" t="s">
        <v>193</v>
      </c>
      <c r="P24" s="1">
        <v>33101</v>
      </c>
      <c r="Q24" s="36">
        <f t="shared" si="2"/>
        <v>71.2</v>
      </c>
      <c r="R24">
        <v>2032</v>
      </c>
      <c r="S24">
        <v>-28.8</v>
      </c>
      <c r="T24">
        <v>29.31</v>
      </c>
      <c r="V24" t="s">
        <v>193</v>
      </c>
      <c r="W24" s="1">
        <v>34258</v>
      </c>
      <c r="X24">
        <f t="shared" si="3"/>
        <v>69.8</v>
      </c>
      <c r="Y24">
        <v>2000</v>
      </c>
      <c r="Z24">
        <v>-30.2</v>
      </c>
      <c r="AA24">
        <v>24.45</v>
      </c>
    </row>
    <row r="25" spans="1:27" x14ac:dyDescent="0.2">
      <c r="A25" t="s">
        <v>79</v>
      </c>
      <c r="B25" s="1">
        <v>38701</v>
      </c>
      <c r="C25">
        <v>40</v>
      </c>
      <c r="D25">
        <f t="shared" si="0"/>
        <v>140</v>
      </c>
      <c r="E25">
        <v>1200</v>
      </c>
      <c r="H25" t="s">
        <v>193</v>
      </c>
      <c r="I25" s="1">
        <v>33162</v>
      </c>
      <c r="J25">
        <f t="shared" si="1"/>
        <v>73.05</v>
      </c>
      <c r="K25">
        <v>2032</v>
      </c>
      <c r="L25">
        <v>-26.95</v>
      </c>
      <c r="M25">
        <v>29.81</v>
      </c>
      <c r="O25" t="s">
        <v>193</v>
      </c>
      <c r="P25" s="1">
        <v>33162</v>
      </c>
      <c r="Q25" s="36">
        <f t="shared" si="2"/>
        <v>73.05</v>
      </c>
      <c r="R25">
        <v>2032</v>
      </c>
      <c r="S25">
        <v>-26.95</v>
      </c>
      <c r="T25">
        <v>29.81</v>
      </c>
      <c r="V25" t="s">
        <v>193</v>
      </c>
      <c r="W25" s="1">
        <v>34381</v>
      </c>
      <c r="X25">
        <f t="shared" si="3"/>
        <v>81.3</v>
      </c>
      <c r="Y25">
        <v>2000</v>
      </c>
      <c r="Z25">
        <v>-18.7</v>
      </c>
      <c r="AA25">
        <v>36.39</v>
      </c>
    </row>
    <row r="26" spans="1:27" x14ac:dyDescent="0.2">
      <c r="A26" t="s">
        <v>79</v>
      </c>
      <c r="B26" s="1">
        <v>38791</v>
      </c>
      <c r="C26">
        <v>37</v>
      </c>
      <c r="D26">
        <f t="shared" si="0"/>
        <v>137</v>
      </c>
      <c r="E26">
        <v>1200</v>
      </c>
      <c r="H26" t="s">
        <v>193</v>
      </c>
      <c r="I26" s="1">
        <v>33313</v>
      </c>
      <c r="J26">
        <f t="shared" si="1"/>
        <v>83</v>
      </c>
      <c r="K26">
        <v>2032</v>
      </c>
      <c r="L26">
        <v>-17</v>
      </c>
      <c r="M26">
        <v>37.61</v>
      </c>
      <c r="O26" t="s">
        <v>193</v>
      </c>
      <c r="P26" s="1">
        <v>33313</v>
      </c>
      <c r="Q26" s="36">
        <f t="shared" si="2"/>
        <v>83</v>
      </c>
      <c r="R26">
        <v>2032</v>
      </c>
      <c r="S26">
        <v>-17</v>
      </c>
      <c r="T26">
        <v>37.61</v>
      </c>
      <c r="V26" t="s">
        <v>193</v>
      </c>
      <c r="W26" s="1">
        <v>34501</v>
      </c>
      <c r="X26">
        <f t="shared" si="3"/>
        <v>71.099999999999994</v>
      </c>
      <c r="Y26">
        <v>2000</v>
      </c>
      <c r="Z26">
        <v>-28.9</v>
      </c>
      <c r="AA26">
        <v>27.24</v>
      </c>
    </row>
    <row r="27" spans="1:27" x14ac:dyDescent="0.2">
      <c r="A27" t="s">
        <v>79</v>
      </c>
      <c r="B27" s="1">
        <v>38883</v>
      </c>
      <c r="C27">
        <v>34</v>
      </c>
      <c r="D27">
        <f t="shared" si="0"/>
        <v>134</v>
      </c>
      <c r="E27">
        <v>1200</v>
      </c>
      <c r="H27" t="s">
        <v>193</v>
      </c>
      <c r="I27" s="1">
        <v>33466</v>
      </c>
      <c r="J27">
        <f t="shared" si="1"/>
        <v>71.2</v>
      </c>
      <c r="K27">
        <v>2032</v>
      </c>
      <c r="L27">
        <v>-28.8</v>
      </c>
      <c r="M27">
        <v>29.31</v>
      </c>
      <c r="O27" t="s">
        <v>193</v>
      </c>
      <c r="P27" s="1">
        <v>33466</v>
      </c>
      <c r="Q27" s="36">
        <f t="shared" si="2"/>
        <v>71.2</v>
      </c>
      <c r="R27">
        <v>2032</v>
      </c>
      <c r="S27">
        <v>-28.8</v>
      </c>
      <c r="T27">
        <v>29.31</v>
      </c>
      <c r="V27" t="s">
        <v>193</v>
      </c>
      <c r="W27" s="1">
        <v>34623</v>
      </c>
      <c r="X27">
        <f t="shared" si="3"/>
        <v>77.2</v>
      </c>
      <c r="Y27">
        <v>2000</v>
      </c>
      <c r="Z27">
        <v>-22.8</v>
      </c>
      <c r="AA27">
        <v>33.01</v>
      </c>
    </row>
    <row r="28" spans="1:27" x14ac:dyDescent="0.2">
      <c r="A28" t="s">
        <v>79</v>
      </c>
      <c r="B28" s="1">
        <v>38975</v>
      </c>
      <c r="C28">
        <v>26</v>
      </c>
      <c r="D28">
        <f t="shared" si="0"/>
        <v>126</v>
      </c>
      <c r="E28">
        <v>1200</v>
      </c>
      <c r="H28" t="s">
        <v>193</v>
      </c>
      <c r="I28" s="1">
        <v>33558</v>
      </c>
      <c r="J28">
        <f t="shared" si="1"/>
        <v>83</v>
      </c>
      <c r="K28">
        <v>2032</v>
      </c>
      <c r="L28">
        <v>-17</v>
      </c>
      <c r="M28">
        <v>37.869999999999997</v>
      </c>
      <c r="O28" t="s">
        <v>193</v>
      </c>
      <c r="P28" s="1">
        <v>33558</v>
      </c>
      <c r="Q28" s="36">
        <f t="shared" si="2"/>
        <v>83</v>
      </c>
      <c r="R28">
        <v>2032</v>
      </c>
      <c r="S28">
        <v>-17</v>
      </c>
      <c r="T28">
        <v>37.869999999999997</v>
      </c>
      <c r="V28" t="s">
        <v>193</v>
      </c>
      <c r="W28" s="1">
        <v>34749</v>
      </c>
      <c r="X28">
        <f t="shared" si="3"/>
        <v>82.45</v>
      </c>
      <c r="Y28">
        <v>2000</v>
      </c>
      <c r="Z28">
        <v>-17.55</v>
      </c>
      <c r="AA28">
        <v>36.61</v>
      </c>
    </row>
    <row r="29" spans="1:27" x14ac:dyDescent="0.2">
      <c r="A29" t="s">
        <v>79</v>
      </c>
      <c r="B29" s="1">
        <v>39066</v>
      </c>
      <c r="C29">
        <v>23</v>
      </c>
      <c r="D29">
        <f t="shared" si="0"/>
        <v>123</v>
      </c>
      <c r="E29">
        <v>1200</v>
      </c>
      <c r="H29" t="s">
        <v>193</v>
      </c>
      <c r="I29" s="1">
        <v>33650</v>
      </c>
      <c r="J29">
        <f t="shared" si="1"/>
        <v>88.6</v>
      </c>
      <c r="K29">
        <v>2032</v>
      </c>
      <c r="L29">
        <v>-11.4</v>
      </c>
      <c r="M29">
        <v>42.55</v>
      </c>
      <c r="O29" t="s">
        <v>193</v>
      </c>
      <c r="P29" s="1">
        <v>33650</v>
      </c>
      <c r="Q29" s="36">
        <f t="shared" si="2"/>
        <v>88.6</v>
      </c>
      <c r="R29">
        <v>2032</v>
      </c>
      <c r="S29">
        <v>-11.4</v>
      </c>
      <c r="T29">
        <v>42.55</v>
      </c>
      <c r="V29" t="s">
        <v>193</v>
      </c>
      <c r="W29" s="1">
        <v>34878</v>
      </c>
      <c r="X29">
        <f t="shared" si="3"/>
        <v>70.95</v>
      </c>
      <c r="Y29">
        <v>2000</v>
      </c>
      <c r="Z29">
        <v>-29.05</v>
      </c>
      <c r="AA29">
        <v>29.18</v>
      </c>
    </row>
    <row r="30" spans="1:27" x14ac:dyDescent="0.2">
      <c r="A30" t="s">
        <v>79</v>
      </c>
      <c r="B30" s="1">
        <v>39156</v>
      </c>
      <c r="C30">
        <v>25</v>
      </c>
      <c r="D30">
        <f t="shared" si="0"/>
        <v>125</v>
      </c>
      <c r="E30">
        <v>1200</v>
      </c>
      <c r="H30" t="s">
        <v>193</v>
      </c>
      <c r="I30" s="1">
        <v>33740</v>
      </c>
      <c r="J30">
        <f t="shared" si="1"/>
        <v>85.5</v>
      </c>
      <c r="K30">
        <v>2032</v>
      </c>
      <c r="L30">
        <v>-14.5</v>
      </c>
      <c r="M30">
        <v>40.47</v>
      </c>
      <c r="O30" t="s">
        <v>193</v>
      </c>
      <c r="P30" s="1">
        <v>33740</v>
      </c>
      <c r="Q30" s="36">
        <f t="shared" si="2"/>
        <v>85.5</v>
      </c>
      <c r="R30">
        <v>2032</v>
      </c>
      <c r="S30">
        <v>-14.5</v>
      </c>
      <c r="T30">
        <v>40.47</v>
      </c>
      <c r="V30" t="s">
        <v>193</v>
      </c>
      <c r="W30" s="1">
        <v>35142</v>
      </c>
      <c r="X30">
        <f t="shared" si="3"/>
        <v>67.849999999999994</v>
      </c>
      <c r="Y30">
        <v>2000</v>
      </c>
      <c r="Z30">
        <v>-32.15</v>
      </c>
      <c r="AA30">
        <v>23.41</v>
      </c>
    </row>
    <row r="31" spans="1:27" x14ac:dyDescent="0.2">
      <c r="A31" t="s">
        <v>79</v>
      </c>
      <c r="B31" s="1">
        <v>39248</v>
      </c>
      <c r="C31">
        <v>25</v>
      </c>
      <c r="D31">
        <f t="shared" si="0"/>
        <v>125</v>
      </c>
      <c r="E31">
        <v>1200</v>
      </c>
      <c r="H31" t="s">
        <v>193</v>
      </c>
      <c r="I31" s="1">
        <v>33801</v>
      </c>
      <c r="J31">
        <f t="shared" si="1"/>
        <v>81.349999999999994</v>
      </c>
      <c r="K31">
        <v>2032</v>
      </c>
      <c r="L31">
        <v>-18.649999999999999</v>
      </c>
      <c r="M31">
        <v>38.200000000000003</v>
      </c>
      <c r="O31" t="s">
        <v>193</v>
      </c>
      <c r="P31" s="1">
        <v>33801</v>
      </c>
      <c r="Q31" s="36">
        <f t="shared" si="2"/>
        <v>81.349999999999994</v>
      </c>
      <c r="R31">
        <v>2032</v>
      </c>
      <c r="S31">
        <v>-18.649999999999999</v>
      </c>
      <c r="T31">
        <v>38.200000000000003</v>
      </c>
      <c r="V31" t="s">
        <v>193</v>
      </c>
      <c r="W31" s="1">
        <v>35306</v>
      </c>
      <c r="X31">
        <f t="shared" si="3"/>
        <v>66.900000000000006</v>
      </c>
      <c r="Y31">
        <v>2000</v>
      </c>
      <c r="Z31">
        <v>-33.1</v>
      </c>
      <c r="AA31">
        <v>21.61</v>
      </c>
    </row>
    <row r="32" spans="1:27" x14ac:dyDescent="0.2">
      <c r="A32" t="s">
        <v>79</v>
      </c>
      <c r="B32" s="1">
        <v>39345</v>
      </c>
      <c r="C32">
        <v>22</v>
      </c>
      <c r="D32">
        <f t="shared" si="0"/>
        <v>122</v>
      </c>
      <c r="E32">
        <v>1200</v>
      </c>
      <c r="H32" t="s">
        <v>193</v>
      </c>
      <c r="I32" s="1">
        <v>33893</v>
      </c>
      <c r="J32">
        <f t="shared" si="1"/>
        <v>92.1</v>
      </c>
      <c r="K32">
        <v>2032</v>
      </c>
      <c r="L32">
        <v>-7.9</v>
      </c>
      <c r="M32">
        <v>45.1</v>
      </c>
      <c r="O32" t="s">
        <v>193</v>
      </c>
      <c r="P32" s="1">
        <v>33893</v>
      </c>
      <c r="Q32" s="36">
        <f t="shared" si="2"/>
        <v>92.1</v>
      </c>
      <c r="R32">
        <v>2032</v>
      </c>
      <c r="S32">
        <v>-7.9</v>
      </c>
      <c r="T32">
        <v>45.1</v>
      </c>
      <c r="V32" t="s">
        <v>193</v>
      </c>
      <c r="W32" s="1">
        <v>35473</v>
      </c>
      <c r="X32">
        <f t="shared" si="3"/>
        <v>74.349999999999994</v>
      </c>
      <c r="Y32">
        <v>2000</v>
      </c>
      <c r="Z32">
        <v>-25.65</v>
      </c>
      <c r="AA32">
        <v>28.68</v>
      </c>
    </row>
    <row r="33" spans="1:27" x14ac:dyDescent="0.2">
      <c r="A33" t="s">
        <v>79</v>
      </c>
      <c r="B33" s="1">
        <v>39431</v>
      </c>
      <c r="C33">
        <v>6</v>
      </c>
      <c r="D33">
        <f t="shared" si="0"/>
        <v>106</v>
      </c>
      <c r="E33">
        <v>1200</v>
      </c>
      <c r="H33" t="s">
        <v>193</v>
      </c>
      <c r="I33" s="1">
        <v>34136</v>
      </c>
      <c r="J33">
        <f t="shared" si="1"/>
        <v>77.650000000000006</v>
      </c>
      <c r="K33">
        <v>2032</v>
      </c>
      <c r="L33">
        <v>-22.35</v>
      </c>
      <c r="M33">
        <v>33.21</v>
      </c>
      <c r="O33" t="s">
        <v>193</v>
      </c>
      <c r="P33" s="1">
        <v>34136</v>
      </c>
      <c r="Q33" s="36">
        <f t="shared" si="2"/>
        <v>77.650000000000006</v>
      </c>
      <c r="R33">
        <v>2032</v>
      </c>
      <c r="S33">
        <v>-22.35</v>
      </c>
      <c r="T33">
        <v>33.21</v>
      </c>
      <c r="V33" t="s">
        <v>193</v>
      </c>
      <c r="W33" s="1">
        <v>35668</v>
      </c>
      <c r="X33">
        <f t="shared" si="3"/>
        <v>70.87</v>
      </c>
      <c r="Y33">
        <v>2000</v>
      </c>
      <c r="Z33">
        <v>-29.13</v>
      </c>
      <c r="AA33">
        <v>27.68</v>
      </c>
    </row>
    <row r="34" spans="1:27" x14ac:dyDescent="0.2">
      <c r="A34" t="s">
        <v>79</v>
      </c>
      <c r="B34" s="1">
        <v>39522</v>
      </c>
      <c r="C34">
        <v>3</v>
      </c>
      <c r="D34">
        <f t="shared" si="0"/>
        <v>103</v>
      </c>
      <c r="E34">
        <v>1200</v>
      </c>
      <c r="H34" t="s">
        <v>193</v>
      </c>
      <c r="I34" s="1">
        <v>34197</v>
      </c>
      <c r="J34">
        <f t="shared" si="1"/>
        <v>71.55</v>
      </c>
      <c r="K34">
        <v>2032</v>
      </c>
      <c r="L34">
        <v>-28.45</v>
      </c>
      <c r="M34">
        <v>28.75</v>
      </c>
      <c r="O34" t="s">
        <v>193</v>
      </c>
      <c r="P34" s="1">
        <v>34197</v>
      </c>
      <c r="Q34" s="36">
        <f t="shared" si="2"/>
        <v>71.55</v>
      </c>
      <c r="R34">
        <v>2032</v>
      </c>
      <c r="S34">
        <v>-28.45</v>
      </c>
      <c r="T34">
        <v>28.75</v>
      </c>
      <c r="V34" t="s">
        <v>193</v>
      </c>
      <c r="W34" s="1">
        <v>35731</v>
      </c>
      <c r="X34">
        <f t="shared" si="3"/>
        <v>68.42</v>
      </c>
      <c r="Y34">
        <v>2000</v>
      </c>
      <c r="Z34">
        <v>-31.58</v>
      </c>
      <c r="AA34">
        <v>24.54</v>
      </c>
    </row>
    <row r="35" spans="1:27" x14ac:dyDescent="0.2">
      <c r="A35" t="s">
        <v>79</v>
      </c>
      <c r="B35" s="1">
        <v>39603</v>
      </c>
      <c r="C35">
        <v>2</v>
      </c>
      <c r="D35">
        <f t="shared" si="0"/>
        <v>102</v>
      </c>
      <c r="E35">
        <v>1200</v>
      </c>
      <c r="H35" t="s">
        <v>193</v>
      </c>
      <c r="I35" s="1">
        <v>34258</v>
      </c>
      <c r="J35">
        <f t="shared" si="1"/>
        <v>69.8</v>
      </c>
      <c r="K35">
        <v>2032</v>
      </c>
      <c r="L35">
        <v>-30.2</v>
      </c>
      <c r="M35">
        <v>24.45</v>
      </c>
      <c r="O35" t="s">
        <v>193</v>
      </c>
      <c r="P35" s="1">
        <v>34258</v>
      </c>
      <c r="Q35" s="36">
        <f t="shared" si="2"/>
        <v>69.8</v>
      </c>
      <c r="R35">
        <v>2032</v>
      </c>
      <c r="S35">
        <v>-30.2</v>
      </c>
      <c r="T35">
        <v>24.45</v>
      </c>
      <c r="V35" t="s">
        <v>193</v>
      </c>
      <c r="W35" s="1">
        <v>35907</v>
      </c>
      <c r="X35">
        <f t="shared" si="3"/>
        <v>79.8</v>
      </c>
      <c r="Y35">
        <v>2000</v>
      </c>
      <c r="Z35">
        <v>-20.2</v>
      </c>
      <c r="AA35">
        <v>37.520000000000003</v>
      </c>
    </row>
    <row r="36" spans="1:27" x14ac:dyDescent="0.2">
      <c r="A36" t="s">
        <v>79</v>
      </c>
      <c r="B36" s="1">
        <v>39706</v>
      </c>
      <c r="C36">
        <v>6</v>
      </c>
      <c r="D36">
        <f t="shared" si="0"/>
        <v>106</v>
      </c>
      <c r="E36">
        <v>1200</v>
      </c>
      <c r="H36" t="s">
        <v>193</v>
      </c>
      <c r="I36" s="1">
        <v>34381</v>
      </c>
      <c r="J36">
        <f t="shared" si="1"/>
        <v>81.3</v>
      </c>
      <c r="K36">
        <v>2032</v>
      </c>
      <c r="L36">
        <v>-18.7</v>
      </c>
      <c r="M36">
        <v>36.39</v>
      </c>
      <c r="O36" t="s">
        <v>193</v>
      </c>
      <c r="P36" s="1">
        <v>34381</v>
      </c>
      <c r="Q36" s="36">
        <f t="shared" si="2"/>
        <v>81.3</v>
      </c>
      <c r="R36">
        <v>2032</v>
      </c>
      <c r="S36">
        <v>-18.7</v>
      </c>
      <c r="T36">
        <v>36.39</v>
      </c>
      <c r="V36" t="s">
        <v>193</v>
      </c>
      <c r="W36" s="1">
        <v>36023</v>
      </c>
      <c r="X36">
        <f t="shared" si="3"/>
        <v>79.13</v>
      </c>
      <c r="Y36">
        <v>2000</v>
      </c>
      <c r="Z36">
        <v>-20.87</v>
      </c>
      <c r="AA36">
        <v>36.86</v>
      </c>
    </row>
    <row r="37" spans="1:27" x14ac:dyDescent="0.2">
      <c r="A37" t="s">
        <v>79</v>
      </c>
      <c r="B37" s="1">
        <v>39797</v>
      </c>
      <c r="C37">
        <v>11</v>
      </c>
      <c r="D37">
        <f t="shared" si="0"/>
        <v>111</v>
      </c>
      <c r="E37">
        <v>1200</v>
      </c>
      <c r="H37" t="s">
        <v>193</v>
      </c>
      <c r="I37" s="1">
        <v>34501</v>
      </c>
      <c r="J37">
        <f t="shared" si="1"/>
        <v>71.099999999999994</v>
      </c>
      <c r="K37">
        <v>2032</v>
      </c>
      <c r="L37">
        <v>-28.9</v>
      </c>
      <c r="M37">
        <v>27.24</v>
      </c>
      <c r="O37" t="s">
        <v>193</v>
      </c>
      <c r="P37" s="1">
        <v>34501</v>
      </c>
      <c r="Q37" s="36">
        <f t="shared" si="2"/>
        <v>71.099999999999994</v>
      </c>
      <c r="R37">
        <v>2032</v>
      </c>
      <c r="S37">
        <v>-28.9</v>
      </c>
      <c r="T37">
        <v>27.24</v>
      </c>
      <c r="V37" t="s">
        <v>193</v>
      </c>
      <c r="W37" s="1">
        <v>36101</v>
      </c>
      <c r="X37">
        <f t="shared" si="3"/>
        <v>68.92</v>
      </c>
      <c r="Y37">
        <v>2000</v>
      </c>
      <c r="Z37">
        <v>-31.08</v>
      </c>
      <c r="AA37">
        <v>28.97</v>
      </c>
    </row>
    <row r="38" spans="1:27" x14ac:dyDescent="0.2">
      <c r="A38" t="s">
        <v>79</v>
      </c>
      <c r="B38" s="1">
        <v>39887</v>
      </c>
      <c r="C38">
        <v>20</v>
      </c>
      <c r="D38">
        <f t="shared" si="0"/>
        <v>120</v>
      </c>
      <c r="E38">
        <v>1200</v>
      </c>
      <c r="H38" t="s">
        <v>193</v>
      </c>
      <c r="I38" s="1">
        <v>34623</v>
      </c>
      <c r="J38">
        <f t="shared" si="1"/>
        <v>77.2</v>
      </c>
      <c r="K38">
        <v>2032</v>
      </c>
      <c r="L38">
        <v>-22.8</v>
      </c>
      <c r="M38">
        <v>33.01</v>
      </c>
      <c r="O38" t="s">
        <v>193</v>
      </c>
      <c r="P38" s="1">
        <v>34623</v>
      </c>
      <c r="Q38" s="36">
        <f t="shared" si="2"/>
        <v>77.2</v>
      </c>
      <c r="R38">
        <v>2032</v>
      </c>
      <c r="S38">
        <v>-22.8</v>
      </c>
      <c r="T38">
        <v>33.01</v>
      </c>
      <c r="V38" t="s">
        <v>193</v>
      </c>
      <c r="W38" s="1">
        <v>36226</v>
      </c>
      <c r="X38">
        <f t="shared" si="3"/>
        <v>65.03</v>
      </c>
      <c r="Y38">
        <v>2000</v>
      </c>
      <c r="Z38">
        <v>-34.97</v>
      </c>
      <c r="AA38">
        <v>27.67</v>
      </c>
    </row>
    <row r="39" spans="1:27" x14ac:dyDescent="0.2">
      <c r="A39" t="s">
        <v>79</v>
      </c>
      <c r="B39" s="1">
        <v>39979</v>
      </c>
      <c r="C39">
        <v>8</v>
      </c>
      <c r="D39">
        <f t="shared" si="0"/>
        <v>108</v>
      </c>
      <c r="E39">
        <v>1200</v>
      </c>
      <c r="H39" t="s">
        <v>193</v>
      </c>
      <c r="I39" s="1">
        <v>34749</v>
      </c>
      <c r="J39">
        <f t="shared" si="1"/>
        <v>82.45</v>
      </c>
      <c r="K39">
        <v>2032</v>
      </c>
      <c r="L39">
        <v>-17.55</v>
      </c>
      <c r="M39">
        <v>36.61</v>
      </c>
      <c r="O39" t="s">
        <v>193</v>
      </c>
      <c r="P39" s="1">
        <v>34749</v>
      </c>
      <c r="Q39" s="36">
        <f t="shared" si="2"/>
        <v>82.45</v>
      </c>
      <c r="R39">
        <v>2032</v>
      </c>
      <c r="S39">
        <v>-17.55</v>
      </c>
      <c r="T39">
        <v>36.61</v>
      </c>
      <c r="V39" t="s">
        <v>193</v>
      </c>
      <c r="W39" s="1">
        <v>36410</v>
      </c>
      <c r="X39">
        <f t="shared" si="3"/>
        <v>52.71</v>
      </c>
      <c r="Y39">
        <v>2000</v>
      </c>
      <c r="Z39">
        <v>-47.29</v>
      </c>
      <c r="AA39">
        <v>16.440000000000001</v>
      </c>
    </row>
    <row r="40" spans="1:27" x14ac:dyDescent="0.2">
      <c r="A40" t="s">
        <v>79</v>
      </c>
      <c r="B40" s="1">
        <v>40071</v>
      </c>
      <c r="C40">
        <v>0</v>
      </c>
      <c r="D40">
        <f t="shared" si="0"/>
        <v>100</v>
      </c>
      <c r="E40">
        <v>1200</v>
      </c>
      <c r="H40" t="s">
        <v>193</v>
      </c>
      <c r="I40" s="1">
        <v>34878</v>
      </c>
      <c r="J40">
        <f t="shared" si="1"/>
        <v>70.95</v>
      </c>
      <c r="K40">
        <v>2032</v>
      </c>
      <c r="L40">
        <v>-29.05</v>
      </c>
      <c r="M40">
        <v>29.18</v>
      </c>
      <c r="O40" t="s">
        <v>193</v>
      </c>
      <c r="P40" s="1">
        <v>34878</v>
      </c>
      <c r="Q40" s="36">
        <f t="shared" si="2"/>
        <v>70.95</v>
      </c>
      <c r="R40">
        <v>2032</v>
      </c>
      <c r="S40">
        <v>-29.05</v>
      </c>
      <c r="T40">
        <v>29.18</v>
      </c>
      <c r="V40" t="s">
        <v>193</v>
      </c>
      <c r="W40" s="1">
        <v>36487</v>
      </c>
      <c r="X40">
        <f t="shared" si="3"/>
        <v>55.56</v>
      </c>
      <c r="Y40">
        <v>2000</v>
      </c>
      <c r="Z40">
        <v>-44.44</v>
      </c>
      <c r="AA40">
        <v>18.39</v>
      </c>
    </row>
    <row r="41" spans="1:27" x14ac:dyDescent="0.2">
      <c r="A41" t="s">
        <v>79</v>
      </c>
      <c r="B41" s="1">
        <v>40162</v>
      </c>
      <c r="C41">
        <v>8</v>
      </c>
      <c r="D41">
        <f t="shared" si="0"/>
        <v>108</v>
      </c>
      <c r="E41">
        <v>1200</v>
      </c>
      <c r="H41" t="s">
        <v>193</v>
      </c>
      <c r="I41" s="1">
        <v>35142</v>
      </c>
      <c r="J41">
        <f t="shared" si="1"/>
        <v>67.849999999999994</v>
      </c>
      <c r="K41">
        <v>2032</v>
      </c>
      <c r="L41">
        <v>-32.15</v>
      </c>
      <c r="M41">
        <v>23.41</v>
      </c>
      <c r="O41" t="s">
        <v>193</v>
      </c>
      <c r="P41" s="1">
        <v>35142</v>
      </c>
      <c r="Q41" s="36">
        <f t="shared" si="2"/>
        <v>67.849999999999994</v>
      </c>
      <c r="R41">
        <v>2032</v>
      </c>
      <c r="S41">
        <v>-32.15</v>
      </c>
      <c r="T41">
        <v>23.41</v>
      </c>
      <c r="V41" t="s">
        <v>279</v>
      </c>
      <c r="W41" s="1">
        <v>39473</v>
      </c>
      <c r="X41">
        <f t="shared" si="3"/>
        <v>111.98</v>
      </c>
      <c r="Y41">
        <v>1444</v>
      </c>
      <c r="Z41">
        <v>11.98</v>
      </c>
      <c r="AA41">
        <v>59.39</v>
      </c>
    </row>
    <row r="42" spans="1:27" x14ac:dyDescent="0.2">
      <c r="A42" t="s">
        <v>79</v>
      </c>
      <c r="B42" s="1">
        <v>40250</v>
      </c>
      <c r="C42">
        <v>-6</v>
      </c>
      <c r="D42">
        <f t="shared" si="0"/>
        <v>94</v>
      </c>
      <c r="E42">
        <v>1200</v>
      </c>
      <c r="H42" t="s">
        <v>193</v>
      </c>
      <c r="I42" s="1">
        <v>35306</v>
      </c>
      <c r="J42">
        <f t="shared" si="1"/>
        <v>66.900000000000006</v>
      </c>
      <c r="K42">
        <v>2032</v>
      </c>
      <c r="L42">
        <v>-33.1</v>
      </c>
      <c r="M42">
        <v>21.61</v>
      </c>
      <c r="O42" t="s">
        <v>193</v>
      </c>
      <c r="P42" s="1">
        <v>35306</v>
      </c>
      <c r="Q42" s="36">
        <f t="shared" si="2"/>
        <v>66.900000000000006</v>
      </c>
      <c r="R42">
        <v>2032</v>
      </c>
      <c r="S42">
        <v>-33.1</v>
      </c>
      <c r="T42">
        <v>21.61</v>
      </c>
      <c r="V42" t="s">
        <v>279</v>
      </c>
      <c r="W42" s="1">
        <v>40223</v>
      </c>
      <c r="X42">
        <f t="shared" si="3"/>
        <v>99.26</v>
      </c>
      <c r="Y42">
        <v>1476</v>
      </c>
      <c r="Z42">
        <v>-0.74</v>
      </c>
      <c r="AA42">
        <v>49.35</v>
      </c>
    </row>
    <row r="43" spans="1:27" x14ac:dyDescent="0.2">
      <c r="A43" t="s">
        <v>79</v>
      </c>
      <c r="B43" s="1">
        <v>40798</v>
      </c>
      <c r="C43">
        <v>20</v>
      </c>
      <c r="D43">
        <f t="shared" si="0"/>
        <v>120</v>
      </c>
      <c r="E43">
        <v>1200</v>
      </c>
      <c r="H43" t="s">
        <v>193</v>
      </c>
      <c r="I43" s="1">
        <v>35473</v>
      </c>
      <c r="J43">
        <f t="shared" si="1"/>
        <v>74.349999999999994</v>
      </c>
      <c r="K43">
        <v>2032</v>
      </c>
      <c r="L43">
        <v>-25.65</v>
      </c>
      <c r="M43">
        <v>28.68</v>
      </c>
      <c r="O43" t="s">
        <v>193</v>
      </c>
      <c r="P43" s="1">
        <v>35473</v>
      </c>
      <c r="Q43" s="36">
        <f t="shared" si="2"/>
        <v>74.349999999999994</v>
      </c>
      <c r="R43">
        <v>2032</v>
      </c>
      <c r="S43">
        <v>-25.65</v>
      </c>
      <c r="T43">
        <v>28.68</v>
      </c>
      <c r="V43" t="s">
        <v>279</v>
      </c>
      <c r="W43" s="1">
        <v>40997</v>
      </c>
      <c r="X43">
        <f t="shared" si="3"/>
        <v>129.99</v>
      </c>
      <c r="Y43">
        <v>1477</v>
      </c>
      <c r="Z43">
        <v>29.99</v>
      </c>
      <c r="AA43">
        <v>72.3</v>
      </c>
    </row>
    <row r="44" spans="1:27" x14ac:dyDescent="0.2">
      <c r="A44" t="s">
        <v>79</v>
      </c>
      <c r="B44" s="1">
        <v>40866</v>
      </c>
      <c r="C44">
        <v>6</v>
      </c>
      <c r="D44">
        <f t="shared" si="0"/>
        <v>106</v>
      </c>
      <c r="E44">
        <v>1200</v>
      </c>
      <c r="H44" t="s">
        <v>193</v>
      </c>
      <c r="I44" s="1">
        <v>35668</v>
      </c>
      <c r="J44">
        <f t="shared" si="1"/>
        <v>70.87</v>
      </c>
      <c r="K44">
        <v>2032</v>
      </c>
      <c r="L44">
        <v>-29.13</v>
      </c>
      <c r="M44">
        <v>27.68</v>
      </c>
      <c r="O44" t="s">
        <v>193</v>
      </c>
      <c r="P44" s="1">
        <v>35668</v>
      </c>
      <c r="Q44" s="36">
        <f t="shared" si="2"/>
        <v>70.87</v>
      </c>
      <c r="R44">
        <v>2032</v>
      </c>
      <c r="S44">
        <v>-29.13</v>
      </c>
      <c r="T44">
        <v>27.68</v>
      </c>
      <c r="V44" t="s">
        <v>279</v>
      </c>
      <c r="W44" s="1">
        <v>41755</v>
      </c>
      <c r="X44">
        <f t="shared" si="3"/>
        <v>65.210000000000008</v>
      </c>
      <c r="Y44">
        <v>1463</v>
      </c>
      <c r="Z44">
        <v>-34.79</v>
      </c>
      <c r="AA44">
        <v>25.97</v>
      </c>
    </row>
    <row r="45" spans="1:27" x14ac:dyDescent="0.2">
      <c r="A45" s="10" t="s">
        <v>34</v>
      </c>
      <c r="B45" s="1">
        <v>38424</v>
      </c>
      <c r="C45">
        <v>15</v>
      </c>
      <c r="D45">
        <f t="shared" si="0"/>
        <v>115</v>
      </c>
      <c r="E45">
        <v>1500</v>
      </c>
      <c r="H45" t="s">
        <v>193</v>
      </c>
      <c r="I45" s="1">
        <v>35731</v>
      </c>
      <c r="J45">
        <f t="shared" si="1"/>
        <v>68.42</v>
      </c>
      <c r="K45">
        <v>2032</v>
      </c>
      <c r="L45">
        <v>-31.58</v>
      </c>
      <c r="M45">
        <v>24.54</v>
      </c>
      <c r="O45" t="s">
        <v>193</v>
      </c>
      <c r="P45" s="1">
        <v>35731</v>
      </c>
      <c r="Q45" s="36">
        <f t="shared" si="2"/>
        <v>68.42</v>
      </c>
      <c r="R45">
        <v>2032</v>
      </c>
      <c r="S45">
        <v>-31.58</v>
      </c>
      <c r="T45">
        <v>24.54</v>
      </c>
      <c r="V45" t="s">
        <v>71</v>
      </c>
      <c r="W45" s="1">
        <v>37408</v>
      </c>
      <c r="X45">
        <f t="shared" si="3"/>
        <v>112</v>
      </c>
      <c r="Y45">
        <v>1200</v>
      </c>
      <c r="Z45">
        <v>12</v>
      </c>
      <c r="AA45">
        <v>56.67</v>
      </c>
    </row>
    <row r="46" spans="1:27" x14ac:dyDescent="0.2">
      <c r="A46" s="10" t="s">
        <v>34</v>
      </c>
      <c r="B46" s="1">
        <v>39036</v>
      </c>
      <c r="C46">
        <v>18</v>
      </c>
      <c r="D46">
        <f t="shared" si="0"/>
        <v>118</v>
      </c>
      <c r="E46">
        <v>1000</v>
      </c>
      <c r="H46" t="s">
        <v>193</v>
      </c>
      <c r="I46" s="1">
        <v>35907</v>
      </c>
      <c r="J46">
        <f t="shared" si="1"/>
        <v>79.8</v>
      </c>
      <c r="K46">
        <v>2032</v>
      </c>
      <c r="L46">
        <v>-20.2</v>
      </c>
      <c r="M46">
        <v>37.520000000000003</v>
      </c>
      <c r="O46" t="s">
        <v>193</v>
      </c>
      <c r="P46" s="1">
        <v>35907</v>
      </c>
      <c r="Q46" s="36">
        <f t="shared" si="2"/>
        <v>79.8</v>
      </c>
      <c r="R46">
        <v>2032</v>
      </c>
      <c r="S46">
        <v>-20.2</v>
      </c>
      <c r="T46">
        <v>37.520000000000003</v>
      </c>
      <c r="V46" t="s">
        <v>71</v>
      </c>
      <c r="W46" s="1">
        <v>37861</v>
      </c>
      <c r="X46">
        <f t="shared" si="3"/>
        <v>75</v>
      </c>
      <c r="Y46">
        <v>1200</v>
      </c>
      <c r="Z46">
        <v>-25</v>
      </c>
      <c r="AA46">
        <v>36.840000000000003</v>
      </c>
    </row>
    <row r="47" spans="1:27" x14ac:dyDescent="0.2">
      <c r="A47" s="10" t="s">
        <v>34</v>
      </c>
      <c r="B47" s="1">
        <v>39128</v>
      </c>
      <c r="C47">
        <v>4</v>
      </c>
      <c r="D47">
        <f t="shared" si="0"/>
        <v>104</v>
      </c>
      <c r="E47">
        <v>1000</v>
      </c>
      <c r="H47" t="s">
        <v>193</v>
      </c>
      <c r="I47" s="1">
        <v>36023</v>
      </c>
      <c r="J47">
        <f t="shared" si="1"/>
        <v>79.13</v>
      </c>
      <c r="K47">
        <v>2032</v>
      </c>
      <c r="L47">
        <v>-20.87</v>
      </c>
      <c r="M47">
        <v>36.86</v>
      </c>
      <c r="O47" t="s">
        <v>193</v>
      </c>
      <c r="P47" s="1">
        <v>36023</v>
      </c>
      <c r="Q47" s="36">
        <f t="shared" si="2"/>
        <v>79.13</v>
      </c>
      <c r="R47">
        <v>2032</v>
      </c>
      <c r="S47">
        <v>-20.87</v>
      </c>
      <c r="T47">
        <v>36.86</v>
      </c>
      <c r="V47" t="s">
        <v>71</v>
      </c>
      <c r="W47" s="1">
        <v>38167</v>
      </c>
      <c r="X47">
        <f t="shared" si="3"/>
        <v>99</v>
      </c>
      <c r="Y47">
        <v>1200</v>
      </c>
      <c r="Z47">
        <v>-1</v>
      </c>
      <c r="AA47">
        <v>49.43</v>
      </c>
    </row>
    <row r="48" spans="1:27" x14ac:dyDescent="0.2">
      <c r="A48" s="10" t="s">
        <v>34</v>
      </c>
      <c r="B48" s="1">
        <v>39217</v>
      </c>
      <c r="C48">
        <v>-15</v>
      </c>
      <c r="D48">
        <f t="shared" si="0"/>
        <v>85</v>
      </c>
      <c r="E48">
        <v>1000</v>
      </c>
      <c r="H48" t="s">
        <v>193</v>
      </c>
      <c r="I48" s="1">
        <v>36101</v>
      </c>
      <c r="J48">
        <f t="shared" si="1"/>
        <v>68.92</v>
      </c>
      <c r="K48">
        <v>2032</v>
      </c>
      <c r="L48">
        <v>-31.08</v>
      </c>
      <c r="M48">
        <v>28.97</v>
      </c>
      <c r="O48" t="s">
        <v>193</v>
      </c>
      <c r="P48" s="1">
        <v>36101</v>
      </c>
      <c r="Q48" s="36">
        <f t="shared" si="2"/>
        <v>68.92</v>
      </c>
      <c r="R48">
        <v>2032</v>
      </c>
      <c r="S48">
        <v>-31.08</v>
      </c>
      <c r="T48">
        <v>28.97</v>
      </c>
      <c r="V48" t="s">
        <v>71</v>
      </c>
      <c r="W48" s="1">
        <v>38604</v>
      </c>
      <c r="X48">
        <f t="shared" si="3"/>
        <v>138</v>
      </c>
      <c r="Y48">
        <v>1200</v>
      </c>
      <c r="Z48">
        <v>38</v>
      </c>
      <c r="AA48">
        <v>70.650000000000006</v>
      </c>
    </row>
    <row r="49" spans="1:27" x14ac:dyDescent="0.2">
      <c r="A49" s="10" t="s">
        <v>34</v>
      </c>
      <c r="B49" s="1">
        <v>39257</v>
      </c>
      <c r="C49">
        <v>-6</v>
      </c>
      <c r="D49">
        <f t="shared" si="0"/>
        <v>94</v>
      </c>
      <c r="E49">
        <v>1000</v>
      </c>
      <c r="H49" t="s">
        <v>193</v>
      </c>
      <c r="I49" s="1">
        <v>36226</v>
      </c>
      <c r="J49">
        <f t="shared" si="1"/>
        <v>65.03</v>
      </c>
      <c r="K49">
        <v>2032</v>
      </c>
      <c r="L49">
        <v>-34.97</v>
      </c>
      <c r="M49">
        <v>27.67</v>
      </c>
      <c r="O49" t="s">
        <v>193</v>
      </c>
      <c r="P49" s="1">
        <v>36226</v>
      </c>
      <c r="Q49" s="36">
        <f t="shared" si="2"/>
        <v>65.03</v>
      </c>
      <c r="R49">
        <v>2032</v>
      </c>
      <c r="S49">
        <v>-34.97</v>
      </c>
      <c r="T49">
        <v>27.67</v>
      </c>
      <c r="V49" t="s">
        <v>71</v>
      </c>
      <c r="W49" s="1">
        <v>39036</v>
      </c>
      <c r="X49">
        <f t="shared" si="3"/>
        <v>140</v>
      </c>
      <c r="Y49">
        <v>1200</v>
      </c>
      <c r="Z49">
        <v>40</v>
      </c>
      <c r="AA49">
        <v>72.22</v>
      </c>
    </row>
    <row r="50" spans="1:27" x14ac:dyDescent="0.2">
      <c r="A50" s="10" t="s">
        <v>34</v>
      </c>
      <c r="B50" s="11">
        <v>39287</v>
      </c>
      <c r="C50">
        <v>7</v>
      </c>
      <c r="D50">
        <f t="shared" si="0"/>
        <v>107</v>
      </c>
      <c r="E50">
        <v>1148</v>
      </c>
      <c r="H50" t="s">
        <v>193</v>
      </c>
      <c r="I50" s="1">
        <v>36410</v>
      </c>
      <c r="J50">
        <f t="shared" si="1"/>
        <v>52.71</v>
      </c>
      <c r="K50">
        <v>2032</v>
      </c>
      <c r="L50">
        <v>-47.29</v>
      </c>
      <c r="M50">
        <v>16.440000000000001</v>
      </c>
      <c r="O50" t="s">
        <v>193</v>
      </c>
      <c r="P50" s="1">
        <v>36410</v>
      </c>
      <c r="Q50" s="36">
        <f t="shared" si="2"/>
        <v>52.71</v>
      </c>
      <c r="R50">
        <v>2032</v>
      </c>
      <c r="S50">
        <v>-47.29</v>
      </c>
      <c r="T50">
        <v>16.440000000000001</v>
      </c>
      <c r="V50" t="s">
        <v>71</v>
      </c>
      <c r="W50" s="1">
        <v>39364</v>
      </c>
      <c r="X50">
        <f t="shared" si="3"/>
        <v>128</v>
      </c>
      <c r="Y50">
        <v>1200</v>
      </c>
      <c r="Z50">
        <v>28</v>
      </c>
      <c r="AA50">
        <v>64.89</v>
      </c>
    </row>
    <row r="51" spans="1:27" x14ac:dyDescent="0.2">
      <c r="A51" s="18" t="s">
        <v>34</v>
      </c>
      <c r="B51" s="11">
        <v>41136</v>
      </c>
      <c r="C51">
        <v>36</v>
      </c>
      <c r="D51">
        <f t="shared" si="0"/>
        <v>136</v>
      </c>
      <c r="E51">
        <v>1000</v>
      </c>
      <c r="H51" t="s">
        <v>193</v>
      </c>
      <c r="I51" s="1">
        <v>36487</v>
      </c>
      <c r="J51">
        <f t="shared" si="1"/>
        <v>55.56</v>
      </c>
      <c r="K51">
        <v>2032</v>
      </c>
      <c r="L51">
        <v>-44.44</v>
      </c>
      <c r="M51">
        <v>18.39</v>
      </c>
      <c r="O51" t="s">
        <v>193</v>
      </c>
      <c r="P51" s="1">
        <v>36487</v>
      </c>
      <c r="Q51" s="36">
        <f t="shared" si="2"/>
        <v>55.56</v>
      </c>
      <c r="R51">
        <v>2032</v>
      </c>
      <c r="S51">
        <v>-44.44</v>
      </c>
      <c r="T51">
        <v>18.39</v>
      </c>
      <c r="V51" t="s">
        <v>71</v>
      </c>
      <c r="W51" s="1">
        <v>39732</v>
      </c>
      <c r="X51">
        <f t="shared" si="3"/>
        <v>103</v>
      </c>
      <c r="Y51">
        <v>1200</v>
      </c>
      <c r="Z51">
        <v>3</v>
      </c>
      <c r="AA51">
        <v>51.61</v>
      </c>
    </row>
    <row r="52" spans="1:27" x14ac:dyDescent="0.2">
      <c r="A52" t="s">
        <v>82</v>
      </c>
      <c r="B52" s="1">
        <v>40057</v>
      </c>
      <c r="C52">
        <v>-5</v>
      </c>
      <c r="D52">
        <f t="shared" si="0"/>
        <v>95</v>
      </c>
      <c r="E52">
        <v>1300</v>
      </c>
      <c r="H52" t="s">
        <v>71</v>
      </c>
      <c r="I52" s="1">
        <v>37408</v>
      </c>
      <c r="J52">
        <f t="shared" si="1"/>
        <v>112</v>
      </c>
      <c r="K52">
        <v>1200</v>
      </c>
      <c r="L52">
        <v>12</v>
      </c>
      <c r="M52">
        <v>56.67</v>
      </c>
      <c r="O52" t="s">
        <v>279</v>
      </c>
      <c r="P52" s="1">
        <v>39473</v>
      </c>
      <c r="Q52" s="36">
        <f t="shared" si="2"/>
        <v>111.98</v>
      </c>
      <c r="R52">
        <v>1465</v>
      </c>
      <c r="S52">
        <v>11.98</v>
      </c>
      <c r="T52">
        <v>59.39</v>
      </c>
      <c r="V52" t="s">
        <v>71</v>
      </c>
      <c r="W52" s="1">
        <v>40112</v>
      </c>
      <c r="X52">
        <f t="shared" si="3"/>
        <v>101</v>
      </c>
      <c r="Y52">
        <v>1200</v>
      </c>
      <c r="Z52">
        <v>1</v>
      </c>
      <c r="AA52">
        <v>50.56</v>
      </c>
    </row>
    <row r="53" spans="1:27" x14ac:dyDescent="0.2">
      <c r="A53" t="s">
        <v>82</v>
      </c>
      <c r="B53" s="1">
        <v>40101</v>
      </c>
      <c r="C53">
        <v>-10</v>
      </c>
      <c r="D53">
        <f t="shared" si="0"/>
        <v>90</v>
      </c>
      <c r="E53">
        <v>1300</v>
      </c>
      <c r="H53" t="s">
        <v>71</v>
      </c>
      <c r="I53" s="1">
        <v>37861</v>
      </c>
      <c r="J53">
        <f t="shared" si="1"/>
        <v>75</v>
      </c>
      <c r="K53">
        <v>1200</v>
      </c>
      <c r="L53">
        <v>-25</v>
      </c>
      <c r="M53">
        <v>36.840000000000003</v>
      </c>
      <c r="O53" t="s">
        <v>279</v>
      </c>
      <c r="P53" s="1">
        <v>40223</v>
      </c>
      <c r="Q53" s="36">
        <f t="shared" si="2"/>
        <v>99.26</v>
      </c>
      <c r="R53">
        <v>1465</v>
      </c>
      <c r="S53">
        <v>-0.74</v>
      </c>
      <c r="T53">
        <v>49.35</v>
      </c>
      <c r="V53" t="s">
        <v>71</v>
      </c>
      <c r="W53" s="1">
        <v>40457</v>
      </c>
      <c r="X53">
        <f t="shared" si="3"/>
        <v>103</v>
      </c>
      <c r="Y53">
        <v>1200</v>
      </c>
      <c r="Z53">
        <v>3</v>
      </c>
      <c r="AA53">
        <v>51.65</v>
      </c>
    </row>
    <row r="54" spans="1:27" x14ac:dyDescent="0.2">
      <c r="A54" t="s">
        <v>82</v>
      </c>
      <c r="B54" s="1">
        <v>40139</v>
      </c>
      <c r="C54">
        <v>-16</v>
      </c>
      <c r="D54">
        <f t="shared" si="0"/>
        <v>84</v>
      </c>
      <c r="E54">
        <v>1396</v>
      </c>
      <c r="H54" t="s">
        <v>71</v>
      </c>
      <c r="I54" s="1">
        <v>38167</v>
      </c>
      <c r="J54">
        <f t="shared" si="1"/>
        <v>99</v>
      </c>
      <c r="K54">
        <v>1200</v>
      </c>
      <c r="L54">
        <v>-1</v>
      </c>
      <c r="M54">
        <v>49.43</v>
      </c>
      <c r="O54" t="s">
        <v>279</v>
      </c>
      <c r="P54" s="1">
        <v>40997</v>
      </c>
      <c r="Q54" s="36">
        <f t="shared" si="2"/>
        <v>129.99</v>
      </c>
      <c r="R54">
        <v>1465</v>
      </c>
      <c r="S54">
        <v>29.99</v>
      </c>
      <c r="T54">
        <v>72.3</v>
      </c>
      <c r="V54" t="s">
        <v>71</v>
      </c>
      <c r="W54" s="1">
        <v>40771</v>
      </c>
      <c r="X54">
        <f t="shared" si="3"/>
        <v>110</v>
      </c>
      <c r="Y54">
        <v>1200</v>
      </c>
      <c r="Z54">
        <v>10</v>
      </c>
      <c r="AA54">
        <v>55.68</v>
      </c>
    </row>
    <row r="55" spans="1:27" x14ac:dyDescent="0.2">
      <c r="A55" t="s">
        <v>82</v>
      </c>
      <c r="B55" s="1">
        <v>40342</v>
      </c>
      <c r="C55">
        <v>-14</v>
      </c>
      <c r="D55">
        <f t="shared" si="0"/>
        <v>86</v>
      </c>
      <c r="E55">
        <v>1269</v>
      </c>
      <c r="H55" t="s">
        <v>71</v>
      </c>
      <c r="I55" s="1">
        <v>38604</v>
      </c>
      <c r="J55">
        <f t="shared" si="1"/>
        <v>138</v>
      </c>
      <c r="K55">
        <v>1200</v>
      </c>
      <c r="L55">
        <v>38</v>
      </c>
      <c r="M55">
        <v>70.650000000000006</v>
      </c>
      <c r="O55" t="s">
        <v>279</v>
      </c>
      <c r="P55" s="1">
        <v>41755</v>
      </c>
      <c r="Q55" s="36">
        <f t="shared" si="2"/>
        <v>65.210000000000008</v>
      </c>
      <c r="R55">
        <v>1465</v>
      </c>
      <c r="S55">
        <v>-34.79</v>
      </c>
      <c r="T55">
        <v>25.97</v>
      </c>
      <c r="V55" t="s">
        <v>71</v>
      </c>
      <c r="W55" s="1">
        <v>41455</v>
      </c>
      <c r="X55">
        <f t="shared" si="3"/>
        <v>101</v>
      </c>
      <c r="Y55">
        <v>1200</v>
      </c>
      <c r="Z55">
        <v>1</v>
      </c>
      <c r="AA55">
        <v>50.54</v>
      </c>
    </row>
    <row r="56" spans="1:27" x14ac:dyDescent="0.2">
      <c r="A56" t="s">
        <v>82</v>
      </c>
      <c r="B56" s="1">
        <v>40422</v>
      </c>
      <c r="C56">
        <v>-5</v>
      </c>
      <c r="D56">
        <f t="shared" si="0"/>
        <v>95</v>
      </c>
      <c r="E56">
        <v>1000</v>
      </c>
      <c r="H56" t="s">
        <v>71</v>
      </c>
      <c r="I56" s="1">
        <v>39036</v>
      </c>
      <c r="J56">
        <f t="shared" si="1"/>
        <v>140</v>
      </c>
      <c r="K56">
        <v>1200</v>
      </c>
      <c r="L56">
        <v>40</v>
      </c>
      <c r="M56">
        <v>72.22</v>
      </c>
      <c r="O56" t="s">
        <v>71</v>
      </c>
      <c r="P56" s="1">
        <v>37408</v>
      </c>
      <c r="Q56" s="36">
        <f t="shared" si="2"/>
        <v>112</v>
      </c>
      <c r="R56">
        <v>1200</v>
      </c>
      <c r="S56">
        <v>12</v>
      </c>
      <c r="T56">
        <v>56.67</v>
      </c>
      <c r="V56" t="s">
        <v>71</v>
      </c>
      <c r="W56" s="1">
        <v>42050</v>
      </c>
      <c r="X56">
        <f t="shared" si="3"/>
        <v>66</v>
      </c>
      <c r="Y56">
        <v>1200</v>
      </c>
      <c r="Z56">
        <v>-34</v>
      </c>
      <c r="AA56">
        <v>31.91</v>
      </c>
    </row>
    <row r="57" spans="1:27" x14ac:dyDescent="0.2">
      <c r="A57" t="s">
        <v>82</v>
      </c>
      <c r="B57" s="1">
        <v>39736</v>
      </c>
      <c r="C57">
        <v>30</v>
      </c>
      <c r="D57">
        <f t="shared" si="0"/>
        <v>130</v>
      </c>
      <c r="E57">
        <v>1000</v>
      </c>
      <c r="H57" t="s">
        <v>71</v>
      </c>
      <c r="I57" s="1">
        <v>39364</v>
      </c>
      <c r="J57">
        <f t="shared" si="1"/>
        <v>128</v>
      </c>
      <c r="K57">
        <v>1200</v>
      </c>
      <c r="L57">
        <v>28</v>
      </c>
      <c r="M57">
        <v>64.89</v>
      </c>
      <c r="O57" t="s">
        <v>71</v>
      </c>
      <c r="P57" s="1">
        <v>37861</v>
      </c>
      <c r="Q57" s="36">
        <f t="shared" si="2"/>
        <v>75</v>
      </c>
      <c r="R57">
        <v>1200</v>
      </c>
      <c r="S57">
        <v>-25</v>
      </c>
      <c r="T57">
        <v>36.840000000000003</v>
      </c>
      <c r="V57" t="s">
        <v>102</v>
      </c>
      <c r="W57" s="1">
        <v>38793</v>
      </c>
      <c r="X57">
        <f t="shared" si="3"/>
        <v>150.1</v>
      </c>
      <c r="Y57">
        <v>1200</v>
      </c>
      <c r="Z57">
        <v>50.1</v>
      </c>
      <c r="AA57">
        <v>85.63</v>
      </c>
    </row>
    <row r="58" spans="1:27" x14ac:dyDescent="0.2">
      <c r="A58" t="s">
        <v>82</v>
      </c>
      <c r="B58" s="1">
        <v>40313</v>
      </c>
      <c r="C58">
        <v>30</v>
      </c>
      <c r="D58">
        <f t="shared" si="0"/>
        <v>130</v>
      </c>
      <c r="E58">
        <v>1000</v>
      </c>
      <c r="H58" t="s">
        <v>71</v>
      </c>
      <c r="I58" s="1">
        <v>39732</v>
      </c>
      <c r="J58">
        <f t="shared" si="1"/>
        <v>103</v>
      </c>
      <c r="K58">
        <v>1200</v>
      </c>
      <c r="L58">
        <v>3</v>
      </c>
      <c r="M58">
        <v>51.61</v>
      </c>
      <c r="O58" t="s">
        <v>71</v>
      </c>
      <c r="P58" s="1">
        <v>38167</v>
      </c>
      <c r="Q58" s="36">
        <f t="shared" si="2"/>
        <v>99</v>
      </c>
      <c r="R58">
        <v>1200</v>
      </c>
      <c r="S58">
        <v>-1</v>
      </c>
      <c r="T58">
        <v>49.43</v>
      </c>
      <c r="V58" t="s">
        <v>102</v>
      </c>
      <c r="W58" s="1">
        <v>39399</v>
      </c>
      <c r="X58">
        <f t="shared" si="3"/>
        <v>129.1</v>
      </c>
      <c r="Y58">
        <v>600</v>
      </c>
      <c r="Z58">
        <v>29.1</v>
      </c>
      <c r="AA58">
        <v>75.13</v>
      </c>
    </row>
    <row r="59" spans="1:27" x14ac:dyDescent="0.2">
      <c r="A59" t="s">
        <v>120</v>
      </c>
      <c r="B59" s="1">
        <v>37909</v>
      </c>
      <c r="C59">
        <v>-7</v>
      </c>
      <c r="D59">
        <f t="shared" si="0"/>
        <v>93</v>
      </c>
      <c r="E59">
        <v>1000</v>
      </c>
      <c r="H59" t="s">
        <v>71</v>
      </c>
      <c r="I59" s="1">
        <v>40112</v>
      </c>
      <c r="J59">
        <f t="shared" si="1"/>
        <v>101</v>
      </c>
      <c r="K59">
        <v>1200</v>
      </c>
      <c r="L59">
        <v>1</v>
      </c>
      <c r="M59">
        <v>50.56</v>
      </c>
      <c r="O59" t="s">
        <v>71</v>
      </c>
      <c r="P59" s="1">
        <v>38604</v>
      </c>
      <c r="Q59" s="36">
        <f t="shared" si="2"/>
        <v>138</v>
      </c>
      <c r="R59">
        <v>1200</v>
      </c>
      <c r="S59">
        <v>38</v>
      </c>
      <c r="T59">
        <v>70.650000000000006</v>
      </c>
      <c r="V59" t="s">
        <v>102</v>
      </c>
      <c r="W59" s="1">
        <v>39540</v>
      </c>
      <c r="X59">
        <f t="shared" si="3"/>
        <v>123.9</v>
      </c>
      <c r="Y59">
        <v>1200</v>
      </c>
      <c r="Z59">
        <v>23.9</v>
      </c>
      <c r="AA59">
        <v>68.58</v>
      </c>
    </row>
    <row r="60" spans="1:27" x14ac:dyDescent="0.2">
      <c r="A60" t="s">
        <v>120</v>
      </c>
      <c r="B60" s="1">
        <v>38068</v>
      </c>
      <c r="C60">
        <v>-24</v>
      </c>
      <c r="D60">
        <f t="shared" si="0"/>
        <v>76</v>
      </c>
      <c r="E60">
        <v>1000</v>
      </c>
      <c r="H60" t="s">
        <v>71</v>
      </c>
      <c r="I60" s="1">
        <v>40457</v>
      </c>
      <c r="J60">
        <f t="shared" si="1"/>
        <v>103</v>
      </c>
      <c r="K60">
        <v>1200</v>
      </c>
      <c r="L60">
        <v>3</v>
      </c>
      <c r="M60">
        <v>51.65</v>
      </c>
      <c r="O60" t="s">
        <v>71</v>
      </c>
      <c r="P60" s="1">
        <v>39036</v>
      </c>
      <c r="Q60" s="36">
        <f t="shared" si="2"/>
        <v>140</v>
      </c>
      <c r="R60">
        <v>1200</v>
      </c>
      <c r="S60">
        <v>40</v>
      </c>
      <c r="T60">
        <v>72.22</v>
      </c>
      <c r="V60" t="s">
        <v>102</v>
      </c>
      <c r="W60" s="1">
        <v>40193</v>
      </c>
      <c r="X60">
        <f t="shared" si="3"/>
        <v>162.4</v>
      </c>
      <c r="Y60">
        <v>1200</v>
      </c>
      <c r="Z60">
        <v>62.4</v>
      </c>
      <c r="AA60">
        <v>60.91</v>
      </c>
    </row>
    <row r="61" spans="1:27" x14ac:dyDescent="0.2">
      <c r="A61" t="s">
        <v>115</v>
      </c>
      <c r="B61" s="1">
        <v>37892</v>
      </c>
      <c r="C61">
        <v>-20</v>
      </c>
      <c r="D61">
        <f t="shared" si="0"/>
        <v>80</v>
      </c>
      <c r="E61">
        <v>1010</v>
      </c>
      <c r="H61" t="s">
        <v>71</v>
      </c>
      <c r="I61" s="1">
        <v>40771</v>
      </c>
      <c r="J61">
        <f t="shared" si="1"/>
        <v>110</v>
      </c>
      <c r="K61">
        <v>1200</v>
      </c>
      <c r="L61">
        <v>10</v>
      </c>
      <c r="M61">
        <v>55.68</v>
      </c>
      <c r="O61" t="s">
        <v>71</v>
      </c>
      <c r="P61" s="1">
        <v>39364</v>
      </c>
      <c r="Q61" s="36">
        <f t="shared" si="2"/>
        <v>128</v>
      </c>
      <c r="R61">
        <v>1200</v>
      </c>
      <c r="S61">
        <v>28</v>
      </c>
      <c r="T61">
        <v>64.89</v>
      </c>
      <c r="V61" t="s">
        <v>102</v>
      </c>
      <c r="W61" s="1">
        <v>40875</v>
      </c>
      <c r="X61">
        <f t="shared" si="3"/>
        <v>146</v>
      </c>
      <c r="Y61">
        <v>1200</v>
      </c>
      <c r="Z61">
        <v>46</v>
      </c>
      <c r="AA61">
        <v>73.709999999999994</v>
      </c>
    </row>
    <row r="62" spans="1:27" x14ac:dyDescent="0.2">
      <c r="A62" s="10" t="s">
        <v>30</v>
      </c>
      <c r="B62" s="1">
        <v>39614</v>
      </c>
      <c r="C62">
        <v>35.9</v>
      </c>
      <c r="D62">
        <f t="shared" si="0"/>
        <v>135.9</v>
      </c>
      <c r="E62">
        <v>1000</v>
      </c>
      <c r="H62" t="s">
        <v>71</v>
      </c>
      <c r="I62" s="1">
        <v>41455</v>
      </c>
      <c r="J62">
        <f t="shared" si="1"/>
        <v>101</v>
      </c>
      <c r="K62">
        <v>1200</v>
      </c>
      <c r="L62">
        <v>1</v>
      </c>
      <c r="M62">
        <v>50.54</v>
      </c>
      <c r="O62" t="s">
        <v>71</v>
      </c>
      <c r="P62" s="1">
        <v>39732</v>
      </c>
      <c r="Q62" s="36">
        <f t="shared" si="2"/>
        <v>103</v>
      </c>
      <c r="R62">
        <v>1200</v>
      </c>
      <c r="S62">
        <v>3</v>
      </c>
      <c r="T62">
        <v>51.61</v>
      </c>
      <c r="V62" t="s">
        <v>243</v>
      </c>
      <c r="W62" s="1">
        <v>41336</v>
      </c>
      <c r="X62">
        <f t="shared" si="3"/>
        <v>122.3</v>
      </c>
      <c r="Y62">
        <v>1200</v>
      </c>
      <c r="Z62">
        <v>22.3</v>
      </c>
      <c r="AA62">
        <v>62.24</v>
      </c>
    </row>
    <row r="63" spans="1:27" x14ac:dyDescent="0.2">
      <c r="A63" s="10" t="s">
        <v>30</v>
      </c>
      <c r="B63" s="1">
        <v>39644</v>
      </c>
      <c r="C63">
        <v>34.4</v>
      </c>
      <c r="D63">
        <f t="shared" si="0"/>
        <v>134.4</v>
      </c>
      <c r="E63">
        <v>1000</v>
      </c>
      <c r="H63" t="s">
        <v>71</v>
      </c>
      <c r="I63" s="1">
        <v>42050</v>
      </c>
      <c r="J63">
        <f t="shared" si="1"/>
        <v>66</v>
      </c>
      <c r="K63">
        <v>1200</v>
      </c>
      <c r="L63">
        <v>-34</v>
      </c>
      <c r="M63">
        <v>31.91</v>
      </c>
      <c r="O63" t="s">
        <v>71</v>
      </c>
      <c r="P63" s="1">
        <v>40112</v>
      </c>
      <c r="Q63" s="36">
        <f t="shared" si="2"/>
        <v>101</v>
      </c>
      <c r="R63">
        <v>1200</v>
      </c>
      <c r="S63">
        <v>1</v>
      </c>
      <c r="T63">
        <v>50.56</v>
      </c>
      <c r="V63" t="s">
        <v>243</v>
      </c>
      <c r="W63" s="1">
        <v>41379</v>
      </c>
      <c r="X63">
        <f t="shared" si="3"/>
        <v>95.6</v>
      </c>
      <c r="Y63">
        <v>1200</v>
      </c>
      <c r="Z63">
        <v>-4.4000000000000004</v>
      </c>
      <c r="AA63">
        <v>47.77</v>
      </c>
    </row>
    <row r="64" spans="1:27" x14ac:dyDescent="0.2">
      <c r="A64" s="10" t="s">
        <v>30</v>
      </c>
      <c r="B64" s="1">
        <v>39701</v>
      </c>
      <c r="C64">
        <v>26.599999999999998</v>
      </c>
      <c r="D64">
        <f t="shared" si="0"/>
        <v>126.6</v>
      </c>
      <c r="E64">
        <v>1000</v>
      </c>
      <c r="H64" t="s">
        <v>102</v>
      </c>
      <c r="I64" s="1">
        <v>38793</v>
      </c>
      <c r="J64">
        <f t="shared" si="1"/>
        <v>150.1</v>
      </c>
      <c r="K64">
        <v>1044</v>
      </c>
      <c r="L64">
        <v>50.1</v>
      </c>
      <c r="M64">
        <v>85.63</v>
      </c>
      <c r="O64" t="s">
        <v>71</v>
      </c>
      <c r="P64" s="1">
        <v>40457</v>
      </c>
      <c r="Q64" s="36">
        <f t="shared" si="2"/>
        <v>103</v>
      </c>
      <c r="R64">
        <v>1200</v>
      </c>
      <c r="S64">
        <v>3</v>
      </c>
      <c r="T64">
        <v>51.65</v>
      </c>
      <c r="V64" t="s">
        <v>243</v>
      </c>
      <c r="W64" s="1">
        <v>41409</v>
      </c>
      <c r="X64">
        <f t="shared" si="3"/>
        <v>104.6</v>
      </c>
      <c r="Y64">
        <v>1200</v>
      </c>
      <c r="Z64">
        <v>4.5999999999999996</v>
      </c>
      <c r="AA64">
        <v>52.35</v>
      </c>
    </row>
    <row r="65" spans="1:27" x14ac:dyDescent="0.2">
      <c r="A65" s="10" t="s">
        <v>30</v>
      </c>
      <c r="B65" s="1">
        <v>39731</v>
      </c>
      <c r="C65">
        <v>33.1</v>
      </c>
      <c r="D65">
        <f t="shared" si="0"/>
        <v>133.1</v>
      </c>
      <c r="E65">
        <v>1000</v>
      </c>
      <c r="H65" t="s">
        <v>102</v>
      </c>
      <c r="I65" s="1">
        <v>39399</v>
      </c>
      <c r="J65">
        <f t="shared" si="1"/>
        <v>129.1</v>
      </c>
      <c r="K65">
        <v>1044</v>
      </c>
      <c r="L65">
        <v>29.1</v>
      </c>
      <c r="M65">
        <v>75.13</v>
      </c>
      <c r="O65" t="s">
        <v>71</v>
      </c>
      <c r="P65" s="1">
        <v>40771</v>
      </c>
      <c r="Q65" s="36">
        <f t="shared" si="2"/>
        <v>110</v>
      </c>
      <c r="R65">
        <v>1200</v>
      </c>
      <c r="S65">
        <v>10</v>
      </c>
      <c r="T65">
        <v>55.68</v>
      </c>
      <c r="V65" t="s">
        <v>243</v>
      </c>
      <c r="W65" s="1">
        <v>41440</v>
      </c>
      <c r="X65">
        <f t="shared" si="3"/>
        <v>111.2</v>
      </c>
      <c r="Y65">
        <v>1200</v>
      </c>
      <c r="Z65">
        <v>11.2</v>
      </c>
      <c r="AA65">
        <v>55.76</v>
      </c>
    </row>
    <row r="66" spans="1:27" x14ac:dyDescent="0.2">
      <c r="A66" s="10" t="s">
        <v>30</v>
      </c>
      <c r="B66" s="1">
        <v>39797</v>
      </c>
      <c r="C66">
        <v>33.800000000000004</v>
      </c>
      <c r="D66">
        <f t="shared" si="0"/>
        <v>133.80000000000001</v>
      </c>
      <c r="E66">
        <v>1000</v>
      </c>
      <c r="H66" t="s">
        <v>102</v>
      </c>
      <c r="I66" s="1">
        <v>39540</v>
      </c>
      <c r="J66">
        <f t="shared" si="1"/>
        <v>123.9</v>
      </c>
      <c r="K66">
        <v>1044</v>
      </c>
      <c r="L66">
        <v>23.9</v>
      </c>
      <c r="M66">
        <v>68.58</v>
      </c>
      <c r="O66" t="s">
        <v>71</v>
      </c>
      <c r="P66" s="1">
        <v>41455</v>
      </c>
      <c r="Q66" s="36">
        <f t="shared" si="2"/>
        <v>101</v>
      </c>
      <c r="R66">
        <v>1200</v>
      </c>
      <c r="S66">
        <v>1</v>
      </c>
      <c r="T66">
        <v>50.54</v>
      </c>
      <c r="V66" t="s">
        <v>243</v>
      </c>
      <c r="W66" s="1">
        <v>41481</v>
      </c>
      <c r="X66">
        <f t="shared" si="3"/>
        <v>96.1</v>
      </c>
      <c r="Y66">
        <v>1200</v>
      </c>
      <c r="Z66">
        <v>-3.9</v>
      </c>
      <c r="AA66">
        <v>47.99</v>
      </c>
    </row>
    <row r="67" spans="1:27" x14ac:dyDescent="0.2">
      <c r="A67" s="10" t="s">
        <v>30</v>
      </c>
      <c r="B67" s="1">
        <v>39828</v>
      </c>
      <c r="C67">
        <v>28.699999999999996</v>
      </c>
      <c r="D67">
        <f t="shared" ref="D67:D130" si="4">100+C67</f>
        <v>128.69999999999999</v>
      </c>
      <c r="E67">
        <v>1000</v>
      </c>
      <c r="H67" t="s">
        <v>102</v>
      </c>
      <c r="I67" s="1">
        <v>40193</v>
      </c>
      <c r="J67">
        <f t="shared" ref="J67:J130" si="5">L67+100</f>
        <v>162.4</v>
      </c>
      <c r="K67">
        <v>1044</v>
      </c>
      <c r="L67">
        <v>62.4</v>
      </c>
      <c r="M67">
        <v>60.91</v>
      </c>
      <c r="O67" t="s">
        <v>71</v>
      </c>
      <c r="P67" s="1">
        <v>42050</v>
      </c>
      <c r="Q67" s="36">
        <f t="shared" ref="Q67:Q130" si="6">S67+100</f>
        <v>66</v>
      </c>
      <c r="R67">
        <v>1200</v>
      </c>
      <c r="S67">
        <v>-34</v>
      </c>
      <c r="T67">
        <v>31.91</v>
      </c>
      <c r="V67" t="s">
        <v>243</v>
      </c>
      <c r="W67" s="1">
        <v>41514</v>
      </c>
      <c r="X67">
        <f t="shared" ref="X67:X130" si="7">100+Z67</f>
        <v>101.8</v>
      </c>
      <c r="Y67">
        <v>1200</v>
      </c>
      <c r="Z67">
        <v>1.8</v>
      </c>
      <c r="AA67">
        <v>50.94</v>
      </c>
    </row>
    <row r="68" spans="1:27" x14ac:dyDescent="0.2">
      <c r="A68" s="10" t="s">
        <v>30</v>
      </c>
      <c r="B68" s="1">
        <v>40071</v>
      </c>
      <c r="C68">
        <v>31.6</v>
      </c>
      <c r="D68">
        <f t="shared" si="4"/>
        <v>131.6</v>
      </c>
      <c r="E68">
        <v>1000</v>
      </c>
      <c r="H68" t="s">
        <v>102</v>
      </c>
      <c r="I68" s="1">
        <v>40875</v>
      </c>
      <c r="J68">
        <f t="shared" si="5"/>
        <v>146</v>
      </c>
      <c r="K68">
        <v>1044</v>
      </c>
      <c r="L68">
        <v>46</v>
      </c>
      <c r="M68">
        <v>73.709999999999994</v>
      </c>
      <c r="O68" t="s">
        <v>102</v>
      </c>
      <c r="P68" s="1">
        <v>38793</v>
      </c>
      <c r="Q68" s="36">
        <f t="shared" si="6"/>
        <v>150.1</v>
      </c>
      <c r="R68">
        <v>1044</v>
      </c>
      <c r="S68">
        <v>50.1</v>
      </c>
      <c r="T68">
        <v>85.63</v>
      </c>
      <c r="V68" t="s">
        <v>243</v>
      </c>
      <c r="W68" s="1">
        <v>41532</v>
      </c>
      <c r="X68">
        <f t="shared" si="7"/>
        <v>102.8</v>
      </c>
      <c r="Y68">
        <v>1200</v>
      </c>
      <c r="Z68">
        <v>2.8</v>
      </c>
      <c r="AA68">
        <v>51.44</v>
      </c>
    </row>
    <row r="69" spans="1:27" x14ac:dyDescent="0.2">
      <c r="A69" s="10" t="s">
        <v>30</v>
      </c>
      <c r="B69" s="1">
        <v>40132</v>
      </c>
      <c r="C69">
        <v>13.400000000000002</v>
      </c>
      <c r="D69">
        <f t="shared" si="4"/>
        <v>113.4</v>
      </c>
      <c r="E69">
        <v>1000</v>
      </c>
      <c r="H69" t="s">
        <v>243</v>
      </c>
      <c r="I69" s="1">
        <v>41336</v>
      </c>
      <c r="J69">
        <f t="shared" si="5"/>
        <v>122.3</v>
      </c>
      <c r="K69">
        <v>1044</v>
      </c>
      <c r="L69">
        <v>22.3</v>
      </c>
      <c r="M69">
        <v>62.24</v>
      </c>
      <c r="O69" t="s">
        <v>102</v>
      </c>
      <c r="P69" s="1">
        <v>39399</v>
      </c>
      <c r="Q69" s="36">
        <f t="shared" si="6"/>
        <v>129.1</v>
      </c>
      <c r="R69">
        <v>1044</v>
      </c>
      <c r="S69">
        <v>29.1</v>
      </c>
      <c r="T69">
        <v>75.13</v>
      </c>
      <c r="V69" t="s">
        <v>243</v>
      </c>
      <c r="W69" s="1">
        <v>41562</v>
      </c>
      <c r="X69">
        <f t="shared" si="7"/>
        <v>103.8</v>
      </c>
      <c r="Y69">
        <v>1200</v>
      </c>
      <c r="Z69">
        <v>3.8</v>
      </c>
      <c r="AA69">
        <v>51.98</v>
      </c>
    </row>
    <row r="70" spans="1:27" x14ac:dyDescent="0.2">
      <c r="A70" s="10" t="s">
        <v>30</v>
      </c>
      <c r="B70" s="1">
        <v>40162</v>
      </c>
      <c r="C70">
        <v>16.800000000000004</v>
      </c>
      <c r="D70">
        <f t="shared" si="4"/>
        <v>116.80000000000001</v>
      </c>
      <c r="E70">
        <v>1000</v>
      </c>
      <c r="H70" t="s">
        <v>243</v>
      </c>
      <c r="I70" s="1">
        <v>41379</v>
      </c>
      <c r="J70">
        <f t="shared" si="5"/>
        <v>95.6</v>
      </c>
      <c r="K70">
        <v>1044</v>
      </c>
      <c r="L70">
        <v>-4.4000000000000004</v>
      </c>
      <c r="M70">
        <v>47.77</v>
      </c>
      <c r="O70" t="s">
        <v>102</v>
      </c>
      <c r="P70" s="1">
        <v>39540</v>
      </c>
      <c r="Q70" s="36">
        <f t="shared" si="6"/>
        <v>123.9</v>
      </c>
      <c r="R70">
        <v>1044</v>
      </c>
      <c r="S70">
        <v>23.9</v>
      </c>
      <c r="T70">
        <v>68.58</v>
      </c>
      <c r="V70" t="s">
        <v>243</v>
      </c>
      <c r="W70" s="1">
        <v>41589</v>
      </c>
      <c r="X70">
        <f t="shared" si="7"/>
        <v>91.6</v>
      </c>
      <c r="Y70">
        <v>1200</v>
      </c>
      <c r="Z70">
        <v>-8.4</v>
      </c>
      <c r="AA70">
        <v>45.71</v>
      </c>
    </row>
    <row r="71" spans="1:27" x14ac:dyDescent="0.2">
      <c r="A71" s="10" t="s">
        <v>30</v>
      </c>
      <c r="B71" s="1">
        <v>40219</v>
      </c>
      <c r="C71">
        <v>-2</v>
      </c>
      <c r="D71">
        <f t="shared" si="4"/>
        <v>98</v>
      </c>
      <c r="E71">
        <v>1000</v>
      </c>
      <c r="H71" t="s">
        <v>243</v>
      </c>
      <c r="I71" s="1">
        <v>41409</v>
      </c>
      <c r="J71">
        <f t="shared" si="5"/>
        <v>104.6</v>
      </c>
      <c r="K71">
        <v>1044</v>
      </c>
      <c r="L71">
        <v>4.5999999999999996</v>
      </c>
      <c r="M71">
        <v>52.35</v>
      </c>
      <c r="O71" t="s">
        <v>102</v>
      </c>
      <c r="P71" s="1">
        <v>40193</v>
      </c>
      <c r="Q71" s="36">
        <f t="shared" si="6"/>
        <v>162.4</v>
      </c>
      <c r="R71">
        <v>1044</v>
      </c>
      <c r="S71">
        <v>62.4</v>
      </c>
      <c r="T71">
        <v>60.91</v>
      </c>
      <c r="V71" t="s">
        <v>243</v>
      </c>
      <c r="W71" s="1">
        <v>41623</v>
      </c>
      <c r="X71">
        <f t="shared" si="7"/>
        <v>101.1</v>
      </c>
      <c r="Y71">
        <v>1090</v>
      </c>
      <c r="Z71">
        <v>1.1000000000000001</v>
      </c>
      <c r="AA71">
        <v>50.56</v>
      </c>
    </row>
    <row r="72" spans="1:27" x14ac:dyDescent="0.2">
      <c r="A72" s="10" t="s">
        <v>30</v>
      </c>
      <c r="B72" s="1">
        <v>40252</v>
      </c>
      <c r="C72">
        <v>9.7999999999999972</v>
      </c>
      <c r="D72">
        <f t="shared" si="4"/>
        <v>109.8</v>
      </c>
      <c r="E72">
        <v>1000</v>
      </c>
      <c r="H72" t="s">
        <v>243</v>
      </c>
      <c r="I72" s="1">
        <v>41440</v>
      </c>
      <c r="J72">
        <f t="shared" si="5"/>
        <v>111.2</v>
      </c>
      <c r="K72">
        <v>1044</v>
      </c>
      <c r="L72">
        <v>11.2</v>
      </c>
      <c r="M72">
        <v>55.76</v>
      </c>
      <c r="O72" t="s">
        <v>102</v>
      </c>
      <c r="P72" s="1">
        <v>40875</v>
      </c>
      <c r="Q72" s="36">
        <f t="shared" si="6"/>
        <v>146</v>
      </c>
      <c r="R72">
        <v>1044</v>
      </c>
      <c r="S72">
        <v>46</v>
      </c>
      <c r="T72">
        <v>73.709999999999994</v>
      </c>
      <c r="V72" t="s">
        <v>243</v>
      </c>
      <c r="W72" s="1">
        <v>41713</v>
      </c>
      <c r="X72">
        <f t="shared" si="7"/>
        <v>89.1</v>
      </c>
      <c r="Y72">
        <v>800</v>
      </c>
      <c r="Z72">
        <v>-10.9</v>
      </c>
      <c r="AA72">
        <v>44.52</v>
      </c>
    </row>
    <row r="73" spans="1:27" x14ac:dyDescent="0.2">
      <c r="A73" s="10" t="s">
        <v>30</v>
      </c>
      <c r="B73" s="11">
        <v>40313</v>
      </c>
      <c r="C73">
        <v>10.599999999999998</v>
      </c>
      <c r="D73">
        <f t="shared" si="4"/>
        <v>110.6</v>
      </c>
      <c r="E73">
        <v>2500</v>
      </c>
      <c r="H73" t="s">
        <v>243</v>
      </c>
      <c r="I73" s="1">
        <v>41481</v>
      </c>
      <c r="J73">
        <f t="shared" si="5"/>
        <v>96.1</v>
      </c>
      <c r="K73">
        <v>1044</v>
      </c>
      <c r="L73">
        <v>-3.9</v>
      </c>
      <c r="M73">
        <v>47.99</v>
      </c>
      <c r="O73" t="s">
        <v>243</v>
      </c>
      <c r="P73" s="1">
        <v>41336</v>
      </c>
      <c r="Q73" s="36">
        <f t="shared" si="6"/>
        <v>122.3</v>
      </c>
      <c r="R73">
        <v>1044</v>
      </c>
      <c r="S73">
        <v>22.3</v>
      </c>
      <c r="T73">
        <v>62.24</v>
      </c>
      <c r="V73" t="s">
        <v>243</v>
      </c>
      <c r="W73" s="1">
        <v>41723</v>
      </c>
      <c r="X73">
        <f t="shared" si="7"/>
        <v>84.9</v>
      </c>
      <c r="Y73">
        <v>800</v>
      </c>
      <c r="Z73">
        <v>-15.1</v>
      </c>
      <c r="AA73">
        <v>42.44</v>
      </c>
    </row>
    <row r="74" spans="1:27" x14ac:dyDescent="0.2">
      <c r="A74" s="10" t="s">
        <v>30</v>
      </c>
      <c r="B74" s="1">
        <v>40347</v>
      </c>
      <c r="C74">
        <v>20.099999999999998</v>
      </c>
      <c r="D74">
        <f t="shared" si="4"/>
        <v>120.1</v>
      </c>
      <c r="E74">
        <v>2499</v>
      </c>
      <c r="H74" t="s">
        <v>243</v>
      </c>
      <c r="I74" s="1">
        <v>41514</v>
      </c>
      <c r="J74">
        <f t="shared" si="5"/>
        <v>101.8</v>
      </c>
      <c r="K74">
        <v>1044</v>
      </c>
      <c r="L74">
        <v>1.8</v>
      </c>
      <c r="M74">
        <v>50.94</v>
      </c>
      <c r="O74" t="s">
        <v>243</v>
      </c>
      <c r="P74" s="1">
        <v>41379</v>
      </c>
      <c r="Q74" s="36">
        <f t="shared" si="6"/>
        <v>95.6</v>
      </c>
      <c r="R74">
        <v>1044</v>
      </c>
      <c r="S74">
        <v>-4.4000000000000004</v>
      </c>
      <c r="T74">
        <v>47.77</v>
      </c>
      <c r="V74" t="s">
        <v>243</v>
      </c>
      <c r="W74" s="1">
        <v>41728</v>
      </c>
      <c r="X74">
        <f t="shared" si="7"/>
        <v>84.9</v>
      </c>
      <c r="Y74">
        <v>1200</v>
      </c>
      <c r="Z74">
        <v>-15.1</v>
      </c>
      <c r="AA74">
        <v>42.4</v>
      </c>
    </row>
    <row r="75" spans="1:27" x14ac:dyDescent="0.2">
      <c r="A75" s="10" t="s">
        <v>30</v>
      </c>
      <c r="B75" s="1">
        <v>40386</v>
      </c>
      <c r="C75">
        <v>15.8</v>
      </c>
      <c r="D75">
        <f t="shared" si="4"/>
        <v>115.8</v>
      </c>
      <c r="E75">
        <v>2501</v>
      </c>
      <c r="H75" t="s">
        <v>243</v>
      </c>
      <c r="I75" s="1">
        <v>41532</v>
      </c>
      <c r="J75">
        <f t="shared" si="5"/>
        <v>102.8</v>
      </c>
      <c r="K75">
        <v>1044</v>
      </c>
      <c r="L75">
        <v>2.8</v>
      </c>
      <c r="M75">
        <v>51.44</v>
      </c>
      <c r="O75" t="s">
        <v>243</v>
      </c>
      <c r="P75" s="1">
        <v>41409</v>
      </c>
      <c r="Q75" s="36">
        <f t="shared" si="6"/>
        <v>104.6</v>
      </c>
      <c r="R75">
        <v>1044</v>
      </c>
      <c r="S75">
        <v>4.5999999999999996</v>
      </c>
      <c r="T75">
        <v>52.35</v>
      </c>
      <c r="V75" t="s">
        <v>243</v>
      </c>
      <c r="W75" s="1">
        <v>41911</v>
      </c>
      <c r="X75">
        <f t="shared" si="7"/>
        <v>69.599999999999994</v>
      </c>
      <c r="Y75">
        <v>1200</v>
      </c>
      <c r="Z75">
        <v>-30.4</v>
      </c>
      <c r="AA75">
        <v>34.74</v>
      </c>
    </row>
    <row r="76" spans="1:27" x14ac:dyDescent="0.2">
      <c r="A76" s="10" t="s">
        <v>30</v>
      </c>
      <c r="B76" s="1">
        <v>40425</v>
      </c>
      <c r="C76">
        <v>23.400000000000002</v>
      </c>
      <c r="D76">
        <f t="shared" si="4"/>
        <v>123.4</v>
      </c>
      <c r="E76">
        <v>2500</v>
      </c>
      <c r="H76" t="s">
        <v>243</v>
      </c>
      <c r="I76" s="1">
        <v>41562</v>
      </c>
      <c r="J76">
        <f t="shared" si="5"/>
        <v>103.8</v>
      </c>
      <c r="K76">
        <v>1044</v>
      </c>
      <c r="L76">
        <v>3.8</v>
      </c>
      <c r="M76">
        <v>51.98</v>
      </c>
      <c r="O76" t="s">
        <v>243</v>
      </c>
      <c r="P76" s="1">
        <v>41440</v>
      </c>
      <c r="Q76" s="36">
        <f t="shared" si="6"/>
        <v>111.2</v>
      </c>
      <c r="R76">
        <v>1044</v>
      </c>
      <c r="S76">
        <v>11.2</v>
      </c>
      <c r="T76">
        <v>55.76</v>
      </c>
      <c r="V76" t="s">
        <v>243</v>
      </c>
      <c r="W76" s="1">
        <v>41929</v>
      </c>
      <c r="X76">
        <f t="shared" si="7"/>
        <v>74.5</v>
      </c>
      <c r="Y76">
        <v>1200</v>
      </c>
      <c r="Z76">
        <v>-25.5</v>
      </c>
      <c r="AA76">
        <v>37.11</v>
      </c>
    </row>
    <row r="77" spans="1:27" x14ac:dyDescent="0.2">
      <c r="A77" s="10" t="s">
        <v>30</v>
      </c>
      <c r="B77" s="1">
        <v>40441</v>
      </c>
      <c r="C77">
        <v>21.300000000000004</v>
      </c>
      <c r="D77">
        <f t="shared" si="4"/>
        <v>121.30000000000001</v>
      </c>
      <c r="E77">
        <v>1000</v>
      </c>
      <c r="H77" t="s">
        <v>243</v>
      </c>
      <c r="I77" s="1">
        <v>41589</v>
      </c>
      <c r="J77">
        <f t="shared" si="5"/>
        <v>91.6</v>
      </c>
      <c r="K77">
        <v>1044</v>
      </c>
      <c r="L77">
        <v>-8.4</v>
      </c>
      <c r="M77">
        <v>45.71</v>
      </c>
      <c r="O77" t="s">
        <v>243</v>
      </c>
      <c r="P77" s="1">
        <v>41481</v>
      </c>
      <c r="Q77" s="36">
        <f t="shared" si="6"/>
        <v>96.1</v>
      </c>
      <c r="R77">
        <v>1044</v>
      </c>
      <c r="S77">
        <v>-3.9</v>
      </c>
      <c r="T77">
        <v>47.99</v>
      </c>
      <c r="V77" t="s">
        <v>243</v>
      </c>
      <c r="W77" s="1">
        <v>42436</v>
      </c>
      <c r="X77">
        <f t="shared" si="7"/>
        <v>58.1</v>
      </c>
      <c r="Y77">
        <v>1200</v>
      </c>
      <c r="Z77">
        <v>-41.9</v>
      </c>
      <c r="AA77">
        <v>28.56</v>
      </c>
    </row>
    <row r="78" spans="1:27" x14ac:dyDescent="0.2">
      <c r="A78" s="10" t="s">
        <v>30</v>
      </c>
      <c r="B78" s="1">
        <v>40471</v>
      </c>
      <c r="C78">
        <v>29.6</v>
      </c>
      <c r="D78">
        <f t="shared" si="4"/>
        <v>129.6</v>
      </c>
      <c r="E78">
        <v>2500</v>
      </c>
      <c r="H78" t="s">
        <v>243</v>
      </c>
      <c r="I78" s="1">
        <v>41623</v>
      </c>
      <c r="J78">
        <f t="shared" si="5"/>
        <v>101.1</v>
      </c>
      <c r="K78">
        <v>1044</v>
      </c>
      <c r="L78">
        <v>1.1000000000000001</v>
      </c>
      <c r="M78">
        <v>50.56</v>
      </c>
      <c r="O78" t="s">
        <v>243</v>
      </c>
      <c r="P78" s="1">
        <v>41514</v>
      </c>
      <c r="Q78" s="36">
        <f t="shared" si="6"/>
        <v>101.8</v>
      </c>
      <c r="R78">
        <v>1044</v>
      </c>
      <c r="S78">
        <v>1.8</v>
      </c>
      <c r="T78">
        <v>50.94</v>
      </c>
      <c r="V78" t="s">
        <v>72</v>
      </c>
      <c r="W78" s="1">
        <v>36206</v>
      </c>
      <c r="X78">
        <f t="shared" si="7"/>
        <v>186.7</v>
      </c>
      <c r="Y78">
        <v>1000</v>
      </c>
      <c r="Z78">
        <v>86.7</v>
      </c>
      <c r="AA78">
        <v>94.64</v>
      </c>
    </row>
    <row r="79" spans="1:27" x14ac:dyDescent="0.2">
      <c r="A79" s="10" t="s">
        <v>30</v>
      </c>
      <c r="B79" s="1">
        <v>40558</v>
      </c>
      <c r="C79">
        <v>28.200000000000003</v>
      </c>
      <c r="D79">
        <f t="shared" si="4"/>
        <v>128.19999999999999</v>
      </c>
      <c r="E79">
        <v>1000</v>
      </c>
      <c r="H79" t="s">
        <v>243</v>
      </c>
      <c r="I79" s="1">
        <v>41713</v>
      </c>
      <c r="J79">
        <f t="shared" si="5"/>
        <v>89.1</v>
      </c>
      <c r="K79">
        <v>1044</v>
      </c>
      <c r="L79">
        <v>-10.9</v>
      </c>
      <c r="M79">
        <v>44.52</v>
      </c>
      <c r="O79" t="s">
        <v>243</v>
      </c>
      <c r="P79" s="1">
        <v>41532</v>
      </c>
      <c r="Q79" s="36">
        <f t="shared" si="6"/>
        <v>102.8</v>
      </c>
      <c r="R79">
        <v>1044</v>
      </c>
      <c r="S79">
        <v>2.8</v>
      </c>
      <c r="T79">
        <v>51.44</v>
      </c>
      <c r="V79" t="s">
        <v>72</v>
      </c>
      <c r="W79" s="1">
        <v>36571</v>
      </c>
      <c r="X79">
        <f t="shared" si="7"/>
        <v>155</v>
      </c>
      <c r="Y79">
        <v>1000</v>
      </c>
      <c r="Z79">
        <v>55</v>
      </c>
      <c r="AA79">
        <v>77.89</v>
      </c>
    </row>
    <row r="80" spans="1:27" x14ac:dyDescent="0.2">
      <c r="A80" s="10" t="s">
        <v>31</v>
      </c>
      <c r="B80" s="1">
        <v>40597</v>
      </c>
      <c r="C80">
        <v>37</v>
      </c>
      <c r="D80">
        <f t="shared" si="4"/>
        <v>137</v>
      </c>
      <c r="E80">
        <v>1000</v>
      </c>
      <c r="H80" t="s">
        <v>243</v>
      </c>
      <c r="I80" s="1">
        <v>41723</v>
      </c>
      <c r="J80">
        <f t="shared" si="5"/>
        <v>84.9</v>
      </c>
      <c r="K80">
        <v>1044</v>
      </c>
      <c r="L80">
        <v>-15.1</v>
      </c>
      <c r="M80">
        <v>42.44</v>
      </c>
      <c r="O80" t="s">
        <v>243</v>
      </c>
      <c r="P80" s="1">
        <v>41562</v>
      </c>
      <c r="Q80" s="36">
        <f t="shared" si="6"/>
        <v>103.8</v>
      </c>
      <c r="R80">
        <v>1044</v>
      </c>
      <c r="S80">
        <v>3.8</v>
      </c>
      <c r="T80">
        <v>51.98</v>
      </c>
      <c r="V80" t="s">
        <v>72</v>
      </c>
      <c r="W80" s="1">
        <v>36631</v>
      </c>
      <c r="X80">
        <f t="shared" si="7"/>
        <v>122.8</v>
      </c>
      <c r="Y80">
        <v>1000</v>
      </c>
      <c r="Z80">
        <v>22.8</v>
      </c>
      <c r="AA80">
        <v>61.49</v>
      </c>
    </row>
    <row r="81" spans="1:27" x14ac:dyDescent="0.2">
      <c r="A81" s="10" t="s">
        <v>31</v>
      </c>
      <c r="B81" s="1">
        <v>40619</v>
      </c>
      <c r="C81">
        <v>25</v>
      </c>
      <c r="D81">
        <f t="shared" si="4"/>
        <v>125</v>
      </c>
      <c r="E81">
        <v>2500</v>
      </c>
      <c r="H81" t="s">
        <v>243</v>
      </c>
      <c r="I81" s="1">
        <v>41728</v>
      </c>
      <c r="J81">
        <f t="shared" si="5"/>
        <v>84.9</v>
      </c>
      <c r="K81">
        <v>1044</v>
      </c>
      <c r="L81">
        <v>-15.1</v>
      </c>
      <c r="M81">
        <v>42.4</v>
      </c>
      <c r="O81" t="s">
        <v>243</v>
      </c>
      <c r="P81" s="1">
        <v>41589</v>
      </c>
      <c r="Q81" s="36">
        <f t="shared" si="6"/>
        <v>91.6</v>
      </c>
      <c r="R81">
        <v>1044</v>
      </c>
      <c r="S81">
        <v>-8.4</v>
      </c>
      <c r="T81">
        <v>45.71</v>
      </c>
      <c r="V81" t="s">
        <v>72</v>
      </c>
      <c r="W81" s="1">
        <v>36661</v>
      </c>
      <c r="X81">
        <f t="shared" si="7"/>
        <v>112.4</v>
      </c>
      <c r="Y81">
        <v>1000</v>
      </c>
      <c r="Z81">
        <v>12.4</v>
      </c>
      <c r="AA81">
        <v>56.24</v>
      </c>
    </row>
    <row r="82" spans="1:27" x14ac:dyDescent="0.2">
      <c r="A82" s="10" t="s">
        <v>31</v>
      </c>
      <c r="B82" s="1">
        <v>40667</v>
      </c>
      <c r="C82">
        <v>26</v>
      </c>
      <c r="D82">
        <f t="shared" si="4"/>
        <v>126</v>
      </c>
      <c r="E82">
        <v>2500</v>
      </c>
      <c r="H82" t="s">
        <v>243</v>
      </c>
      <c r="I82" s="1">
        <v>41911</v>
      </c>
      <c r="J82">
        <f t="shared" si="5"/>
        <v>69.599999999999994</v>
      </c>
      <c r="K82">
        <v>1044</v>
      </c>
      <c r="L82">
        <v>-30.4</v>
      </c>
      <c r="M82">
        <v>34.74</v>
      </c>
      <c r="O82" t="s">
        <v>243</v>
      </c>
      <c r="P82" s="1">
        <v>41623</v>
      </c>
      <c r="Q82" s="36">
        <f t="shared" si="6"/>
        <v>101.1</v>
      </c>
      <c r="R82">
        <v>1044</v>
      </c>
      <c r="S82">
        <v>1.1000000000000001</v>
      </c>
      <c r="T82">
        <v>50.56</v>
      </c>
      <c r="V82" t="s">
        <v>72</v>
      </c>
      <c r="W82" s="1">
        <v>36692</v>
      </c>
      <c r="X82">
        <f t="shared" si="7"/>
        <v>122.5</v>
      </c>
      <c r="Y82">
        <v>1000</v>
      </c>
      <c r="Z82">
        <v>22.5</v>
      </c>
      <c r="AA82">
        <v>61.4</v>
      </c>
    </row>
    <row r="83" spans="1:27" x14ac:dyDescent="0.2">
      <c r="A83" s="10" t="s">
        <v>31</v>
      </c>
      <c r="B83" s="1">
        <v>40687</v>
      </c>
      <c r="C83">
        <v>31.799999999999997</v>
      </c>
      <c r="D83">
        <f t="shared" si="4"/>
        <v>131.80000000000001</v>
      </c>
      <c r="E83">
        <v>1500</v>
      </c>
      <c r="H83" t="s">
        <v>243</v>
      </c>
      <c r="I83" s="1">
        <v>41929</v>
      </c>
      <c r="J83">
        <f t="shared" si="5"/>
        <v>74.5</v>
      </c>
      <c r="K83">
        <v>1044</v>
      </c>
      <c r="L83">
        <v>-25.5</v>
      </c>
      <c r="M83">
        <v>37.11</v>
      </c>
      <c r="O83" t="s">
        <v>243</v>
      </c>
      <c r="P83" s="1">
        <v>41713</v>
      </c>
      <c r="Q83" s="36">
        <f t="shared" si="6"/>
        <v>89.1</v>
      </c>
      <c r="R83">
        <v>1044</v>
      </c>
      <c r="S83">
        <v>-10.9</v>
      </c>
      <c r="T83">
        <v>44.52</v>
      </c>
      <c r="V83" t="s">
        <v>72</v>
      </c>
      <c r="W83" s="1">
        <v>36937</v>
      </c>
      <c r="X83">
        <f t="shared" si="7"/>
        <v>126.6</v>
      </c>
      <c r="Y83">
        <v>1000</v>
      </c>
      <c r="Z83">
        <v>26.6</v>
      </c>
      <c r="AA83">
        <v>63.46</v>
      </c>
    </row>
    <row r="84" spans="1:27" x14ac:dyDescent="0.2">
      <c r="A84" s="10" t="s">
        <v>31</v>
      </c>
      <c r="B84" s="1">
        <v>40727</v>
      </c>
      <c r="C84">
        <v>32</v>
      </c>
      <c r="D84">
        <f t="shared" si="4"/>
        <v>132</v>
      </c>
      <c r="E84">
        <v>2500</v>
      </c>
      <c r="H84" t="s">
        <v>243</v>
      </c>
      <c r="I84" s="1">
        <v>42436</v>
      </c>
      <c r="J84">
        <f t="shared" si="5"/>
        <v>58.1</v>
      </c>
      <c r="K84">
        <v>1044</v>
      </c>
      <c r="L84">
        <v>-41.9</v>
      </c>
      <c r="M84">
        <v>28.56</v>
      </c>
      <c r="O84" t="s">
        <v>243</v>
      </c>
      <c r="P84" s="1">
        <v>41723</v>
      </c>
      <c r="Q84" s="36">
        <f t="shared" si="6"/>
        <v>84.9</v>
      </c>
      <c r="R84">
        <v>1044</v>
      </c>
      <c r="S84">
        <v>-15.1</v>
      </c>
      <c r="T84">
        <v>42.44</v>
      </c>
      <c r="V84" t="s">
        <v>72</v>
      </c>
      <c r="W84" s="1">
        <v>37087</v>
      </c>
      <c r="X84">
        <f t="shared" si="7"/>
        <v>113</v>
      </c>
      <c r="Y84">
        <v>1000</v>
      </c>
      <c r="Z84">
        <v>13</v>
      </c>
      <c r="AA84">
        <v>56.59</v>
      </c>
    </row>
    <row r="85" spans="1:27" x14ac:dyDescent="0.2">
      <c r="A85" s="10" t="s">
        <v>31</v>
      </c>
      <c r="B85" s="1">
        <v>40784</v>
      </c>
      <c r="C85">
        <v>41</v>
      </c>
      <c r="D85">
        <f t="shared" si="4"/>
        <v>141</v>
      </c>
      <c r="E85">
        <v>2500</v>
      </c>
      <c r="H85" t="s">
        <v>72</v>
      </c>
      <c r="I85" s="1">
        <v>36206</v>
      </c>
      <c r="J85">
        <f t="shared" si="5"/>
        <v>186.7</v>
      </c>
      <c r="K85">
        <v>1220</v>
      </c>
      <c r="L85">
        <v>86.7</v>
      </c>
      <c r="M85">
        <v>94.64</v>
      </c>
      <c r="O85" t="s">
        <v>243</v>
      </c>
      <c r="P85" s="1">
        <v>41728</v>
      </c>
      <c r="Q85" s="36">
        <f t="shared" si="6"/>
        <v>84.9</v>
      </c>
      <c r="R85">
        <v>1044</v>
      </c>
      <c r="S85">
        <v>-15.1</v>
      </c>
      <c r="T85">
        <v>42.4</v>
      </c>
      <c r="V85" t="s">
        <v>72</v>
      </c>
      <c r="W85" s="1">
        <v>37240</v>
      </c>
      <c r="X85">
        <f t="shared" si="7"/>
        <v>77.099999999999994</v>
      </c>
      <c r="Y85">
        <v>1000</v>
      </c>
      <c r="Z85">
        <v>-22.9</v>
      </c>
      <c r="AA85">
        <v>37.81</v>
      </c>
    </row>
    <row r="86" spans="1:27" x14ac:dyDescent="0.2">
      <c r="A86" s="10" t="s">
        <v>31</v>
      </c>
      <c r="B86" s="1">
        <v>40813</v>
      </c>
      <c r="C86">
        <v>42</v>
      </c>
      <c r="D86">
        <f t="shared" si="4"/>
        <v>142</v>
      </c>
      <c r="E86">
        <v>2500</v>
      </c>
      <c r="H86" t="s">
        <v>72</v>
      </c>
      <c r="I86" s="1">
        <v>36571</v>
      </c>
      <c r="J86">
        <f t="shared" si="5"/>
        <v>155</v>
      </c>
      <c r="K86">
        <v>1220</v>
      </c>
      <c r="L86">
        <v>55</v>
      </c>
      <c r="M86">
        <v>77.89</v>
      </c>
      <c r="O86" t="s">
        <v>243</v>
      </c>
      <c r="P86" s="1">
        <v>41911</v>
      </c>
      <c r="Q86" s="36">
        <f t="shared" si="6"/>
        <v>69.599999999999994</v>
      </c>
      <c r="R86">
        <v>1044</v>
      </c>
      <c r="S86">
        <v>-30.4</v>
      </c>
      <c r="T86">
        <v>34.74</v>
      </c>
      <c r="V86" t="s">
        <v>72</v>
      </c>
      <c r="W86" s="1">
        <v>37302</v>
      </c>
      <c r="X86">
        <f t="shared" si="7"/>
        <v>71.2</v>
      </c>
      <c r="Y86">
        <v>1000</v>
      </c>
      <c r="Z86">
        <v>-28.8</v>
      </c>
      <c r="AA86">
        <v>35.25</v>
      </c>
    </row>
    <row r="87" spans="1:27" x14ac:dyDescent="0.2">
      <c r="A87" s="10" t="s">
        <v>31</v>
      </c>
      <c r="B87" s="1">
        <v>40852</v>
      </c>
      <c r="C87">
        <v>43</v>
      </c>
      <c r="D87">
        <f t="shared" si="4"/>
        <v>143</v>
      </c>
      <c r="E87">
        <v>2500</v>
      </c>
      <c r="H87" t="s">
        <v>72</v>
      </c>
      <c r="I87" s="1">
        <v>36631</v>
      </c>
      <c r="J87">
        <f t="shared" si="5"/>
        <v>122.8</v>
      </c>
      <c r="K87">
        <v>1220</v>
      </c>
      <c r="L87">
        <v>22.8</v>
      </c>
      <c r="M87">
        <v>61.49</v>
      </c>
      <c r="O87" t="s">
        <v>243</v>
      </c>
      <c r="P87" s="1">
        <v>41929</v>
      </c>
      <c r="Q87" s="36">
        <f t="shared" si="6"/>
        <v>74.5</v>
      </c>
      <c r="R87">
        <v>1044</v>
      </c>
      <c r="S87">
        <v>-25.5</v>
      </c>
      <c r="T87">
        <v>37.11</v>
      </c>
      <c r="V87" t="s">
        <v>72</v>
      </c>
      <c r="W87" s="1">
        <v>37361</v>
      </c>
      <c r="X87">
        <f t="shared" si="7"/>
        <v>90.2</v>
      </c>
      <c r="Y87">
        <v>1000</v>
      </c>
      <c r="Z87">
        <v>-9.8000000000000007</v>
      </c>
      <c r="AA87">
        <v>45.06</v>
      </c>
    </row>
    <row r="88" spans="1:27" x14ac:dyDescent="0.2">
      <c r="A88" s="10" t="s">
        <v>31</v>
      </c>
      <c r="B88" s="1">
        <v>40887</v>
      </c>
      <c r="C88">
        <v>40</v>
      </c>
      <c r="D88">
        <f t="shared" si="4"/>
        <v>140</v>
      </c>
      <c r="E88">
        <v>2500</v>
      </c>
      <c r="H88" t="s">
        <v>72</v>
      </c>
      <c r="I88" s="1">
        <v>36661</v>
      </c>
      <c r="J88">
        <f t="shared" si="5"/>
        <v>112.4</v>
      </c>
      <c r="K88">
        <v>1220</v>
      </c>
      <c r="L88">
        <v>12.4</v>
      </c>
      <c r="M88">
        <v>56.24</v>
      </c>
      <c r="O88" t="s">
        <v>243</v>
      </c>
      <c r="P88" s="1">
        <v>42436</v>
      </c>
      <c r="Q88" s="36">
        <f t="shared" si="6"/>
        <v>58.1</v>
      </c>
      <c r="R88">
        <v>1044</v>
      </c>
      <c r="S88">
        <v>-41.9</v>
      </c>
      <c r="T88">
        <v>28.56</v>
      </c>
      <c r="V88" t="s">
        <v>72</v>
      </c>
      <c r="W88" s="1">
        <v>37422</v>
      </c>
      <c r="X88">
        <f t="shared" si="7"/>
        <v>65.2</v>
      </c>
      <c r="Y88">
        <v>1000</v>
      </c>
      <c r="Z88">
        <v>-34.799999999999997</v>
      </c>
      <c r="AA88">
        <v>32.49</v>
      </c>
    </row>
    <row r="89" spans="1:27" x14ac:dyDescent="0.2">
      <c r="A89" s="10" t="s">
        <v>31</v>
      </c>
      <c r="B89" s="1">
        <v>40929</v>
      </c>
      <c r="C89">
        <v>42</v>
      </c>
      <c r="D89">
        <f t="shared" si="4"/>
        <v>142</v>
      </c>
      <c r="E89">
        <v>1500</v>
      </c>
      <c r="H89" t="s">
        <v>72</v>
      </c>
      <c r="I89" s="1">
        <v>36692</v>
      </c>
      <c r="J89">
        <f t="shared" si="5"/>
        <v>122.5</v>
      </c>
      <c r="K89">
        <v>1220</v>
      </c>
      <c r="L89">
        <v>22.5</v>
      </c>
      <c r="M89">
        <v>61.4</v>
      </c>
      <c r="O89" t="s">
        <v>72</v>
      </c>
      <c r="P89" s="1">
        <v>36206</v>
      </c>
      <c r="Q89" s="36">
        <f t="shared" si="6"/>
        <v>186.7</v>
      </c>
      <c r="R89">
        <v>1220</v>
      </c>
      <c r="S89">
        <v>86.7</v>
      </c>
      <c r="T89">
        <v>94.64</v>
      </c>
      <c r="V89" t="s">
        <v>72</v>
      </c>
      <c r="W89" s="1">
        <v>37575</v>
      </c>
      <c r="X89">
        <f t="shared" si="7"/>
        <v>66.5</v>
      </c>
      <c r="Y89">
        <v>1000</v>
      </c>
      <c r="Z89">
        <v>-33.5</v>
      </c>
      <c r="AA89">
        <v>33.03</v>
      </c>
    </row>
    <row r="90" spans="1:27" x14ac:dyDescent="0.2">
      <c r="A90" s="10" t="s">
        <v>31</v>
      </c>
      <c r="B90" s="1">
        <v>40973</v>
      </c>
      <c r="C90">
        <v>46</v>
      </c>
      <c r="D90">
        <f t="shared" si="4"/>
        <v>146</v>
      </c>
      <c r="E90">
        <v>2500</v>
      </c>
      <c r="H90" t="s">
        <v>72</v>
      </c>
      <c r="I90" s="1">
        <v>36937</v>
      </c>
      <c r="J90">
        <f t="shared" si="5"/>
        <v>126.6</v>
      </c>
      <c r="K90">
        <v>1220</v>
      </c>
      <c r="L90">
        <v>26.6</v>
      </c>
      <c r="M90">
        <v>63.46</v>
      </c>
      <c r="O90" t="s">
        <v>72</v>
      </c>
      <c r="P90" s="1">
        <v>36571</v>
      </c>
      <c r="Q90" s="36">
        <f t="shared" si="6"/>
        <v>155</v>
      </c>
      <c r="R90">
        <v>1220</v>
      </c>
      <c r="S90">
        <v>55</v>
      </c>
      <c r="T90">
        <v>77.89</v>
      </c>
      <c r="V90" t="s">
        <v>72</v>
      </c>
      <c r="W90" s="1">
        <v>37667</v>
      </c>
      <c r="X90">
        <f t="shared" si="7"/>
        <v>71.3</v>
      </c>
      <c r="Y90">
        <v>1000</v>
      </c>
      <c r="Z90">
        <v>-28.7</v>
      </c>
      <c r="AA90">
        <v>35.49</v>
      </c>
    </row>
    <row r="91" spans="1:27" x14ac:dyDescent="0.2">
      <c r="A91" s="10" t="s">
        <v>31</v>
      </c>
      <c r="B91" s="1">
        <v>41034</v>
      </c>
      <c r="C91">
        <v>51</v>
      </c>
      <c r="D91">
        <f t="shared" si="4"/>
        <v>151</v>
      </c>
      <c r="E91">
        <v>9300</v>
      </c>
      <c r="H91" t="s">
        <v>72</v>
      </c>
      <c r="I91" s="1">
        <v>37087</v>
      </c>
      <c r="J91">
        <f t="shared" si="5"/>
        <v>113</v>
      </c>
      <c r="K91">
        <v>1220</v>
      </c>
      <c r="L91">
        <v>13</v>
      </c>
      <c r="M91">
        <v>56.59</v>
      </c>
      <c r="O91" t="s">
        <v>72</v>
      </c>
      <c r="P91" s="1">
        <v>36631</v>
      </c>
      <c r="Q91" s="36">
        <f t="shared" si="6"/>
        <v>122.8</v>
      </c>
      <c r="R91">
        <v>1220</v>
      </c>
      <c r="S91">
        <v>22.8</v>
      </c>
      <c r="T91">
        <v>61.49</v>
      </c>
      <c r="V91" t="s">
        <v>72</v>
      </c>
      <c r="W91" s="1">
        <v>37756</v>
      </c>
      <c r="X91">
        <f t="shared" si="7"/>
        <v>74</v>
      </c>
      <c r="Y91">
        <v>1000</v>
      </c>
      <c r="Z91">
        <v>-26</v>
      </c>
      <c r="AA91">
        <v>36.950000000000003</v>
      </c>
    </row>
    <row r="92" spans="1:27" x14ac:dyDescent="0.2">
      <c r="A92" s="10" t="s">
        <v>31</v>
      </c>
      <c r="B92" s="1">
        <v>41065</v>
      </c>
      <c r="C92">
        <v>44</v>
      </c>
      <c r="D92">
        <f t="shared" si="4"/>
        <v>144</v>
      </c>
      <c r="E92">
        <v>2500</v>
      </c>
      <c r="H92" t="s">
        <v>72</v>
      </c>
      <c r="I92" s="1">
        <v>37240</v>
      </c>
      <c r="J92">
        <f t="shared" si="5"/>
        <v>77.099999999999994</v>
      </c>
      <c r="K92">
        <v>1220</v>
      </c>
      <c r="L92">
        <v>-22.9</v>
      </c>
      <c r="M92">
        <v>37.81</v>
      </c>
      <c r="O92" t="s">
        <v>72</v>
      </c>
      <c r="P92" s="1">
        <v>36661</v>
      </c>
      <c r="Q92" s="36">
        <f t="shared" si="6"/>
        <v>112.4</v>
      </c>
      <c r="R92">
        <v>1220</v>
      </c>
      <c r="S92">
        <v>12.4</v>
      </c>
      <c r="T92">
        <v>56.24</v>
      </c>
      <c r="V92" t="s">
        <v>72</v>
      </c>
      <c r="W92" s="1">
        <v>37817</v>
      </c>
      <c r="X92">
        <f t="shared" si="7"/>
        <v>63.3</v>
      </c>
      <c r="Y92">
        <v>1000</v>
      </c>
      <c r="Z92">
        <v>-36.700000000000003</v>
      </c>
      <c r="AA92">
        <v>31.33</v>
      </c>
    </row>
    <row r="93" spans="1:27" x14ac:dyDescent="0.2">
      <c r="A93" s="10" t="s">
        <v>31</v>
      </c>
      <c r="B93" s="1">
        <v>41123</v>
      </c>
      <c r="C93">
        <v>44</v>
      </c>
      <c r="D93">
        <f t="shared" si="4"/>
        <v>144</v>
      </c>
      <c r="E93">
        <v>2500</v>
      </c>
      <c r="H93" t="s">
        <v>72</v>
      </c>
      <c r="I93" s="1">
        <v>37302</v>
      </c>
      <c r="J93">
        <f t="shared" si="5"/>
        <v>71.2</v>
      </c>
      <c r="K93">
        <v>1220</v>
      </c>
      <c r="L93">
        <v>-28.8</v>
      </c>
      <c r="M93">
        <v>35.25</v>
      </c>
      <c r="O93" t="s">
        <v>72</v>
      </c>
      <c r="P93" s="1">
        <v>36692</v>
      </c>
      <c r="Q93" s="36">
        <f t="shared" si="6"/>
        <v>122.5</v>
      </c>
      <c r="R93">
        <v>1220</v>
      </c>
      <c r="S93">
        <v>22.5</v>
      </c>
      <c r="T93">
        <v>61.4</v>
      </c>
      <c r="V93" t="s">
        <v>72</v>
      </c>
      <c r="W93" s="1">
        <v>37880</v>
      </c>
      <c r="X93">
        <f t="shared" si="7"/>
        <v>73.3</v>
      </c>
      <c r="Y93">
        <v>1300</v>
      </c>
      <c r="Z93">
        <v>-26.7</v>
      </c>
      <c r="AA93">
        <v>36.5</v>
      </c>
    </row>
    <row r="94" spans="1:27" x14ac:dyDescent="0.2">
      <c r="A94" s="10" t="s">
        <v>31</v>
      </c>
      <c r="B94" s="1">
        <v>41218</v>
      </c>
      <c r="C94">
        <v>41</v>
      </c>
      <c r="D94">
        <f t="shared" si="4"/>
        <v>141</v>
      </c>
      <c r="E94">
        <v>2500</v>
      </c>
      <c r="H94" t="s">
        <v>72</v>
      </c>
      <c r="I94" s="1">
        <v>37361</v>
      </c>
      <c r="J94">
        <f t="shared" si="5"/>
        <v>90.2</v>
      </c>
      <c r="K94">
        <v>1220</v>
      </c>
      <c r="L94">
        <v>-9.8000000000000007</v>
      </c>
      <c r="M94">
        <v>45.06</v>
      </c>
      <c r="O94" t="s">
        <v>72</v>
      </c>
      <c r="P94" s="1">
        <v>36937</v>
      </c>
      <c r="Q94" s="36">
        <f t="shared" si="6"/>
        <v>126.6</v>
      </c>
      <c r="R94">
        <v>1220</v>
      </c>
      <c r="S94">
        <v>26.6</v>
      </c>
      <c r="T94">
        <v>63.46</v>
      </c>
      <c r="V94" t="s">
        <v>72</v>
      </c>
      <c r="W94" s="1">
        <v>37940</v>
      </c>
      <c r="X94">
        <f t="shared" si="7"/>
        <v>84.3</v>
      </c>
      <c r="Y94">
        <v>1300</v>
      </c>
      <c r="Z94">
        <v>-15.7</v>
      </c>
      <c r="AA94">
        <v>42.05</v>
      </c>
    </row>
    <row r="95" spans="1:27" x14ac:dyDescent="0.2">
      <c r="A95" s="10" t="s">
        <v>31</v>
      </c>
      <c r="B95" s="1">
        <v>41250</v>
      </c>
      <c r="C95">
        <v>42</v>
      </c>
      <c r="D95">
        <f t="shared" si="4"/>
        <v>142</v>
      </c>
      <c r="E95">
        <v>1500</v>
      </c>
      <c r="H95" t="s">
        <v>72</v>
      </c>
      <c r="I95" s="1">
        <v>37422</v>
      </c>
      <c r="J95">
        <f t="shared" si="5"/>
        <v>65.2</v>
      </c>
      <c r="K95">
        <v>1220</v>
      </c>
      <c r="L95">
        <v>-34.799999999999997</v>
      </c>
      <c r="M95">
        <v>32.49</v>
      </c>
      <c r="O95" t="s">
        <v>72</v>
      </c>
      <c r="P95" s="1">
        <v>37087</v>
      </c>
      <c r="Q95" s="36">
        <f t="shared" si="6"/>
        <v>113</v>
      </c>
      <c r="R95">
        <v>1220</v>
      </c>
      <c r="S95">
        <v>13</v>
      </c>
      <c r="T95">
        <v>56.59</v>
      </c>
      <c r="V95" t="s">
        <v>72</v>
      </c>
      <c r="W95" s="1">
        <v>37970</v>
      </c>
      <c r="X95">
        <f t="shared" si="7"/>
        <v>85.5</v>
      </c>
      <c r="Y95">
        <v>1300</v>
      </c>
      <c r="Z95">
        <v>-14.5</v>
      </c>
      <c r="AA95">
        <v>42.59</v>
      </c>
    </row>
    <row r="96" spans="1:27" x14ac:dyDescent="0.2">
      <c r="A96" s="10" t="s">
        <v>31</v>
      </c>
      <c r="B96" s="1">
        <v>41297</v>
      </c>
      <c r="C96">
        <v>56</v>
      </c>
      <c r="D96">
        <f t="shared" si="4"/>
        <v>156</v>
      </c>
      <c r="E96">
        <v>2500</v>
      </c>
      <c r="H96" t="s">
        <v>72</v>
      </c>
      <c r="I96" s="1">
        <v>37575</v>
      </c>
      <c r="J96">
        <f t="shared" si="5"/>
        <v>66.5</v>
      </c>
      <c r="K96">
        <v>1220</v>
      </c>
      <c r="L96">
        <v>-33.5</v>
      </c>
      <c r="M96">
        <v>33.03</v>
      </c>
      <c r="O96" t="s">
        <v>72</v>
      </c>
      <c r="P96" s="1">
        <v>37240</v>
      </c>
      <c r="Q96" s="36">
        <f t="shared" si="6"/>
        <v>77.099999999999994</v>
      </c>
      <c r="R96">
        <v>1220</v>
      </c>
      <c r="S96">
        <v>-22.9</v>
      </c>
      <c r="T96">
        <v>37.81</v>
      </c>
      <c r="V96" t="s">
        <v>72</v>
      </c>
      <c r="W96" s="1">
        <v>38032</v>
      </c>
      <c r="X96">
        <f t="shared" si="7"/>
        <v>86.8</v>
      </c>
      <c r="Y96">
        <v>1300</v>
      </c>
      <c r="Z96">
        <v>-13.2</v>
      </c>
      <c r="AA96">
        <v>43.13</v>
      </c>
    </row>
    <row r="97" spans="1:27" x14ac:dyDescent="0.2">
      <c r="A97" s="10" t="s">
        <v>7</v>
      </c>
      <c r="B97" s="1">
        <v>40235</v>
      </c>
      <c r="C97">
        <v>-4</v>
      </c>
      <c r="D97">
        <f t="shared" si="4"/>
        <v>96</v>
      </c>
      <c r="E97">
        <v>1300</v>
      </c>
      <c r="H97" t="s">
        <v>72</v>
      </c>
      <c r="I97" s="1">
        <v>37667</v>
      </c>
      <c r="J97">
        <f t="shared" si="5"/>
        <v>71.3</v>
      </c>
      <c r="K97">
        <v>1220</v>
      </c>
      <c r="L97">
        <v>-28.7</v>
      </c>
      <c r="M97">
        <v>35.49</v>
      </c>
      <c r="O97" t="s">
        <v>72</v>
      </c>
      <c r="P97" s="1">
        <v>37302</v>
      </c>
      <c r="Q97" s="36">
        <f t="shared" si="6"/>
        <v>71.2</v>
      </c>
      <c r="R97">
        <v>1220</v>
      </c>
      <c r="S97">
        <v>-28.8</v>
      </c>
      <c r="T97">
        <v>35.25</v>
      </c>
      <c r="V97" t="s">
        <v>72</v>
      </c>
      <c r="W97" s="1">
        <v>38122</v>
      </c>
      <c r="X97">
        <f t="shared" si="7"/>
        <v>88.1</v>
      </c>
      <c r="Y97">
        <v>1300</v>
      </c>
      <c r="Z97">
        <v>-11.9</v>
      </c>
      <c r="AA97">
        <v>43.96</v>
      </c>
    </row>
    <row r="98" spans="1:27" x14ac:dyDescent="0.2">
      <c r="A98" s="10" t="s">
        <v>7</v>
      </c>
      <c r="B98" s="1">
        <v>40326</v>
      </c>
      <c r="C98">
        <v>-1</v>
      </c>
      <c r="D98">
        <f t="shared" si="4"/>
        <v>99</v>
      </c>
      <c r="E98">
        <v>1300</v>
      </c>
      <c r="H98" t="s">
        <v>72</v>
      </c>
      <c r="I98" s="1">
        <v>37756</v>
      </c>
      <c r="J98">
        <f t="shared" si="5"/>
        <v>74</v>
      </c>
      <c r="K98">
        <v>1220</v>
      </c>
      <c r="L98">
        <v>-26</v>
      </c>
      <c r="M98">
        <v>36.950000000000003</v>
      </c>
      <c r="O98" t="s">
        <v>72</v>
      </c>
      <c r="P98" s="1">
        <v>37361</v>
      </c>
      <c r="Q98" s="36">
        <f t="shared" si="6"/>
        <v>90.2</v>
      </c>
      <c r="R98">
        <v>1220</v>
      </c>
      <c r="S98">
        <v>-9.8000000000000007</v>
      </c>
      <c r="T98">
        <v>45.06</v>
      </c>
      <c r="V98" t="s">
        <v>72</v>
      </c>
      <c r="W98" s="1">
        <v>38183</v>
      </c>
      <c r="X98">
        <f t="shared" si="7"/>
        <v>102</v>
      </c>
      <c r="Y98">
        <v>1300</v>
      </c>
      <c r="Z98">
        <v>2</v>
      </c>
      <c r="AA98">
        <v>51</v>
      </c>
    </row>
    <row r="99" spans="1:27" x14ac:dyDescent="0.2">
      <c r="A99" s="10" t="s">
        <v>7</v>
      </c>
      <c r="B99" s="1">
        <v>40595</v>
      </c>
      <c r="C99">
        <v>-7</v>
      </c>
      <c r="D99">
        <f t="shared" si="4"/>
        <v>93</v>
      </c>
      <c r="E99">
        <v>1000</v>
      </c>
      <c r="H99" t="s">
        <v>72</v>
      </c>
      <c r="I99" s="1">
        <v>37817</v>
      </c>
      <c r="J99">
        <f t="shared" si="5"/>
        <v>63.3</v>
      </c>
      <c r="K99">
        <v>1220</v>
      </c>
      <c r="L99">
        <v>-36.700000000000003</v>
      </c>
      <c r="M99">
        <v>31.33</v>
      </c>
      <c r="O99" t="s">
        <v>72</v>
      </c>
      <c r="P99" s="1">
        <v>37422</v>
      </c>
      <c r="Q99" s="36">
        <f t="shared" si="6"/>
        <v>65.2</v>
      </c>
      <c r="R99">
        <v>1220</v>
      </c>
      <c r="S99">
        <v>-34.799999999999997</v>
      </c>
      <c r="T99">
        <v>32.49</v>
      </c>
      <c r="V99" t="s">
        <v>72</v>
      </c>
      <c r="W99" s="1">
        <v>38571</v>
      </c>
      <c r="X99">
        <f t="shared" si="7"/>
        <v>103.2</v>
      </c>
      <c r="Y99">
        <v>1300</v>
      </c>
      <c r="Z99">
        <v>3.2</v>
      </c>
      <c r="AA99">
        <v>51.72</v>
      </c>
    </row>
    <row r="100" spans="1:27" x14ac:dyDescent="0.2">
      <c r="A100" s="10" t="s">
        <v>7</v>
      </c>
      <c r="B100" s="1">
        <v>41348</v>
      </c>
      <c r="C100">
        <v>9</v>
      </c>
      <c r="D100">
        <f t="shared" si="4"/>
        <v>109</v>
      </c>
      <c r="E100">
        <v>1000</v>
      </c>
      <c r="H100" t="s">
        <v>72</v>
      </c>
      <c r="I100" s="1">
        <v>37880</v>
      </c>
      <c r="J100">
        <f t="shared" si="5"/>
        <v>73.3</v>
      </c>
      <c r="K100">
        <v>1220</v>
      </c>
      <c r="L100">
        <v>-26.7</v>
      </c>
      <c r="M100">
        <v>36.5</v>
      </c>
      <c r="O100" t="s">
        <v>72</v>
      </c>
      <c r="P100" s="1">
        <v>37575</v>
      </c>
      <c r="Q100" s="36">
        <f t="shared" si="6"/>
        <v>66.5</v>
      </c>
      <c r="R100">
        <v>1220</v>
      </c>
      <c r="S100">
        <v>-33.5</v>
      </c>
      <c r="T100">
        <v>33.03</v>
      </c>
      <c r="V100" t="s">
        <v>72</v>
      </c>
      <c r="W100" s="1">
        <v>38585</v>
      </c>
      <c r="X100">
        <f t="shared" si="7"/>
        <v>122</v>
      </c>
      <c r="Y100">
        <v>1300</v>
      </c>
      <c r="Z100">
        <v>22</v>
      </c>
      <c r="AA100">
        <v>61.41</v>
      </c>
    </row>
    <row r="101" spans="1:27" x14ac:dyDescent="0.2">
      <c r="A101" s="10" t="s">
        <v>7</v>
      </c>
      <c r="B101" s="1">
        <v>41410</v>
      </c>
      <c r="C101">
        <v>-2.2999999999999972</v>
      </c>
      <c r="D101">
        <f t="shared" si="4"/>
        <v>97.7</v>
      </c>
      <c r="E101">
        <v>2000</v>
      </c>
      <c r="H101" t="s">
        <v>72</v>
      </c>
      <c r="I101" s="1">
        <v>37940</v>
      </c>
      <c r="J101">
        <f t="shared" si="5"/>
        <v>84.3</v>
      </c>
      <c r="K101">
        <v>1220</v>
      </c>
      <c r="L101">
        <v>-15.7</v>
      </c>
      <c r="M101">
        <v>42.05</v>
      </c>
      <c r="O101" t="s">
        <v>72</v>
      </c>
      <c r="P101" s="1">
        <v>37667</v>
      </c>
      <c r="Q101" s="36">
        <f t="shared" si="6"/>
        <v>71.3</v>
      </c>
      <c r="R101">
        <v>1220</v>
      </c>
      <c r="S101">
        <v>-28.7</v>
      </c>
      <c r="T101">
        <v>35.49</v>
      </c>
      <c r="V101" t="s">
        <v>72</v>
      </c>
      <c r="W101" s="1">
        <v>38275</v>
      </c>
      <c r="X101">
        <f t="shared" si="7"/>
        <v>112.1</v>
      </c>
      <c r="Y101">
        <v>1300</v>
      </c>
      <c r="Z101">
        <v>12.1</v>
      </c>
      <c r="AA101">
        <v>56.35</v>
      </c>
    </row>
    <row r="102" spans="1:27" x14ac:dyDescent="0.2">
      <c r="A102" s="10" t="s">
        <v>4</v>
      </c>
      <c r="B102" s="1">
        <v>40235</v>
      </c>
      <c r="C102">
        <v>-6</v>
      </c>
      <c r="D102">
        <f t="shared" si="4"/>
        <v>94</v>
      </c>
      <c r="E102">
        <v>1000</v>
      </c>
      <c r="H102" t="s">
        <v>72</v>
      </c>
      <c r="I102" s="1">
        <v>37970</v>
      </c>
      <c r="J102">
        <f t="shared" si="5"/>
        <v>85.5</v>
      </c>
      <c r="K102">
        <v>1220</v>
      </c>
      <c r="L102">
        <v>-14.5</v>
      </c>
      <c r="M102">
        <v>42.59</v>
      </c>
      <c r="O102" t="s">
        <v>72</v>
      </c>
      <c r="P102" s="1">
        <v>37756</v>
      </c>
      <c r="Q102" s="36">
        <f t="shared" si="6"/>
        <v>74</v>
      </c>
      <c r="R102">
        <v>1220</v>
      </c>
      <c r="S102">
        <v>-26</v>
      </c>
      <c r="T102">
        <v>36.950000000000003</v>
      </c>
      <c r="V102" t="s">
        <v>72</v>
      </c>
      <c r="W102" s="1">
        <v>38306</v>
      </c>
      <c r="X102">
        <f t="shared" si="7"/>
        <v>133.19999999999999</v>
      </c>
      <c r="Y102">
        <v>1300</v>
      </c>
      <c r="Z102">
        <v>33.200000000000003</v>
      </c>
      <c r="AA102">
        <v>67.33</v>
      </c>
    </row>
    <row r="103" spans="1:27" x14ac:dyDescent="0.2">
      <c r="A103" s="10" t="s">
        <v>4</v>
      </c>
      <c r="B103" s="1">
        <v>40326</v>
      </c>
      <c r="C103">
        <v>-6</v>
      </c>
      <c r="D103">
        <f t="shared" si="4"/>
        <v>94</v>
      </c>
      <c r="E103">
        <v>1300</v>
      </c>
      <c r="H103" t="s">
        <v>72</v>
      </c>
      <c r="I103" s="1">
        <v>38032</v>
      </c>
      <c r="J103">
        <f t="shared" si="5"/>
        <v>86.8</v>
      </c>
      <c r="K103">
        <v>1220</v>
      </c>
      <c r="L103">
        <v>-13.2</v>
      </c>
      <c r="M103">
        <v>43.13</v>
      </c>
      <c r="O103" t="s">
        <v>72</v>
      </c>
      <c r="P103" s="1">
        <v>37817</v>
      </c>
      <c r="Q103" s="36">
        <f t="shared" si="6"/>
        <v>63.3</v>
      </c>
      <c r="R103">
        <v>1220</v>
      </c>
      <c r="S103">
        <v>-36.700000000000003</v>
      </c>
      <c r="T103">
        <v>31.33</v>
      </c>
      <c r="V103" t="s">
        <v>72</v>
      </c>
      <c r="W103" s="1">
        <v>38367</v>
      </c>
      <c r="X103">
        <f t="shared" si="7"/>
        <v>132.19999999999999</v>
      </c>
      <c r="Y103">
        <v>1300</v>
      </c>
      <c r="Z103">
        <v>32.200000000000003</v>
      </c>
      <c r="AA103">
        <v>66.739999999999995</v>
      </c>
    </row>
    <row r="104" spans="1:27" x14ac:dyDescent="0.2">
      <c r="A104" s="10" t="s">
        <v>4</v>
      </c>
      <c r="B104" s="1">
        <v>40594</v>
      </c>
      <c r="C104">
        <v>-6</v>
      </c>
      <c r="D104">
        <f t="shared" si="4"/>
        <v>94</v>
      </c>
      <c r="E104">
        <v>1000</v>
      </c>
      <c r="H104" t="s">
        <v>72</v>
      </c>
      <c r="I104" s="1">
        <v>38122</v>
      </c>
      <c r="J104">
        <f t="shared" si="5"/>
        <v>88.1</v>
      </c>
      <c r="K104">
        <v>1220</v>
      </c>
      <c r="L104">
        <v>-11.9</v>
      </c>
      <c r="M104">
        <v>43.96</v>
      </c>
      <c r="O104" t="s">
        <v>72</v>
      </c>
      <c r="P104" s="1">
        <v>37880</v>
      </c>
      <c r="Q104" s="36">
        <f t="shared" si="6"/>
        <v>73.3</v>
      </c>
      <c r="R104">
        <v>1220</v>
      </c>
      <c r="S104">
        <v>-26.7</v>
      </c>
      <c r="T104">
        <v>36.5</v>
      </c>
      <c r="V104" t="s">
        <v>72</v>
      </c>
      <c r="W104" s="1">
        <v>38426</v>
      </c>
      <c r="X104">
        <f t="shared" si="7"/>
        <v>143.5</v>
      </c>
      <c r="Y104">
        <v>1300</v>
      </c>
      <c r="Z104">
        <v>43.5</v>
      </c>
      <c r="AA104">
        <v>72.31</v>
      </c>
    </row>
    <row r="105" spans="1:27" x14ac:dyDescent="0.2">
      <c r="A105" s="10" t="s">
        <v>4</v>
      </c>
      <c r="B105" s="1">
        <v>41002</v>
      </c>
      <c r="C105">
        <v>1.5</v>
      </c>
      <c r="D105">
        <f t="shared" si="4"/>
        <v>101.5</v>
      </c>
      <c r="E105">
        <v>1900</v>
      </c>
      <c r="H105" t="s">
        <v>72</v>
      </c>
      <c r="I105" s="1">
        <v>38183</v>
      </c>
      <c r="J105">
        <f t="shared" si="5"/>
        <v>102</v>
      </c>
      <c r="K105">
        <v>1220</v>
      </c>
      <c r="L105">
        <v>2</v>
      </c>
      <c r="M105">
        <v>51</v>
      </c>
      <c r="O105" t="s">
        <v>72</v>
      </c>
      <c r="P105" s="1">
        <v>37940</v>
      </c>
      <c r="Q105" s="36">
        <f t="shared" si="6"/>
        <v>84.3</v>
      </c>
      <c r="R105">
        <v>1220</v>
      </c>
      <c r="S105">
        <v>-15.7</v>
      </c>
      <c r="T105">
        <v>42.05</v>
      </c>
      <c r="V105" t="s">
        <v>72</v>
      </c>
      <c r="W105" s="1">
        <v>38457</v>
      </c>
      <c r="X105">
        <f t="shared" si="7"/>
        <v>137.4</v>
      </c>
      <c r="Y105">
        <v>1300</v>
      </c>
      <c r="Z105">
        <v>37.4</v>
      </c>
      <c r="AA105">
        <v>69.28</v>
      </c>
    </row>
    <row r="106" spans="1:27" x14ac:dyDescent="0.2">
      <c r="A106" s="10" t="s">
        <v>8</v>
      </c>
      <c r="B106" s="1">
        <v>39706</v>
      </c>
      <c r="C106">
        <v>0</v>
      </c>
      <c r="D106">
        <f t="shared" si="4"/>
        <v>100</v>
      </c>
      <c r="E106">
        <v>1000</v>
      </c>
      <c r="H106" t="s">
        <v>72</v>
      </c>
      <c r="I106" s="1">
        <v>38571</v>
      </c>
      <c r="J106">
        <f t="shared" si="5"/>
        <v>103.2</v>
      </c>
      <c r="K106">
        <v>1220</v>
      </c>
      <c r="L106">
        <v>3.2</v>
      </c>
      <c r="M106">
        <v>51.72</v>
      </c>
      <c r="O106" t="s">
        <v>72</v>
      </c>
      <c r="P106" s="1">
        <v>37970</v>
      </c>
      <c r="Q106" s="36">
        <f t="shared" si="6"/>
        <v>85.5</v>
      </c>
      <c r="R106">
        <v>1220</v>
      </c>
      <c r="S106">
        <v>-14.5</v>
      </c>
      <c r="T106">
        <v>42.59</v>
      </c>
      <c r="V106" t="s">
        <v>72</v>
      </c>
      <c r="W106" s="1">
        <v>38487</v>
      </c>
      <c r="X106">
        <f t="shared" si="7"/>
        <v>148.30000000000001</v>
      </c>
      <c r="Y106">
        <v>1300</v>
      </c>
      <c r="Z106">
        <v>48.3</v>
      </c>
      <c r="AA106">
        <v>75.66</v>
      </c>
    </row>
    <row r="107" spans="1:27" x14ac:dyDescent="0.2">
      <c r="A107" s="10" t="s">
        <v>8</v>
      </c>
      <c r="B107" s="1">
        <v>39850</v>
      </c>
      <c r="C107">
        <v>-16</v>
      </c>
      <c r="D107">
        <f t="shared" si="4"/>
        <v>84</v>
      </c>
      <c r="E107">
        <v>1197</v>
      </c>
      <c r="H107" t="s">
        <v>72</v>
      </c>
      <c r="I107" s="1">
        <v>38585</v>
      </c>
      <c r="J107">
        <f t="shared" si="5"/>
        <v>122</v>
      </c>
      <c r="K107">
        <v>1220</v>
      </c>
      <c r="L107">
        <v>22</v>
      </c>
      <c r="M107">
        <v>61.41</v>
      </c>
      <c r="O107" t="s">
        <v>72</v>
      </c>
      <c r="P107" s="1">
        <v>38032</v>
      </c>
      <c r="Q107" s="36">
        <f t="shared" si="6"/>
        <v>86.8</v>
      </c>
      <c r="R107">
        <v>1220</v>
      </c>
      <c r="S107">
        <v>-13.2</v>
      </c>
      <c r="T107">
        <v>43.13</v>
      </c>
      <c r="V107" t="s">
        <v>72</v>
      </c>
      <c r="W107" s="1">
        <v>38518</v>
      </c>
      <c r="X107">
        <f t="shared" si="7"/>
        <v>147</v>
      </c>
      <c r="Y107">
        <v>1300</v>
      </c>
      <c r="Z107">
        <v>47</v>
      </c>
      <c r="AA107">
        <v>74.33</v>
      </c>
    </row>
    <row r="108" spans="1:27" x14ac:dyDescent="0.2">
      <c r="A108" t="s">
        <v>72</v>
      </c>
      <c r="B108" s="1">
        <v>36206</v>
      </c>
      <c r="C108">
        <v>86</v>
      </c>
      <c r="D108">
        <f t="shared" si="4"/>
        <v>186</v>
      </c>
      <c r="E108">
        <v>1000</v>
      </c>
      <c r="H108" t="s">
        <v>72</v>
      </c>
      <c r="I108" s="1">
        <v>38275</v>
      </c>
      <c r="J108">
        <f t="shared" si="5"/>
        <v>112.1</v>
      </c>
      <c r="K108">
        <v>1220</v>
      </c>
      <c r="L108">
        <v>12.1</v>
      </c>
      <c r="M108">
        <v>56.35</v>
      </c>
      <c r="O108" t="s">
        <v>72</v>
      </c>
      <c r="P108" s="1">
        <v>38122</v>
      </c>
      <c r="Q108" s="36">
        <f t="shared" si="6"/>
        <v>88.1</v>
      </c>
      <c r="R108">
        <v>1220</v>
      </c>
      <c r="S108">
        <v>-11.9</v>
      </c>
      <c r="T108">
        <v>43.96</v>
      </c>
      <c r="V108" t="s">
        <v>72</v>
      </c>
      <c r="W108" s="1">
        <v>38640</v>
      </c>
      <c r="X108">
        <f t="shared" si="7"/>
        <v>141.30000000000001</v>
      </c>
      <c r="Y108">
        <v>1300</v>
      </c>
      <c r="Z108">
        <v>41.3</v>
      </c>
      <c r="AA108">
        <v>71.989999999999995</v>
      </c>
    </row>
    <row r="109" spans="1:27" x14ac:dyDescent="0.2">
      <c r="A109" t="s">
        <v>72</v>
      </c>
      <c r="B109" s="1">
        <v>36571</v>
      </c>
      <c r="C109">
        <v>55</v>
      </c>
      <c r="D109">
        <f t="shared" si="4"/>
        <v>155</v>
      </c>
      <c r="E109">
        <v>1000</v>
      </c>
      <c r="H109" t="s">
        <v>72</v>
      </c>
      <c r="I109" s="1">
        <v>38306</v>
      </c>
      <c r="J109">
        <f t="shared" si="5"/>
        <v>133.19999999999999</v>
      </c>
      <c r="K109">
        <v>1220</v>
      </c>
      <c r="L109">
        <v>33.200000000000003</v>
      </c>
      <c r="M109">
        <v>67.33</v>
      </c>
      <c r="O109" t="s">
        <v>72</v>
      </c>
      <c r="P109" s="1">
        <v>38183</v>
      </c>
      <c r="Q109" s="36">
        <f t="shared" si="6"/>
        <v>102</v>
      </c>
      <c r="R109">
        <v>1220</v>
      </c>
      <c r="S109">
        <v>2</v>
      </c>
      <c r="T109">
        <v>51</v>
      </c>
      <c r="V109" t="s">
        <v>72</v>
      </c>
      <c r="W109" s="1">
        <v>38701</v>
      </c>
      <c r="X109">
        <f t="shared" si="7"/>
        <v>132.5</v>
      </c>
      <c r="Y109">
        <v>1300</v>
      </c>
      <c r="Z109">
        <v>32.5</v>
      </c>
      <c r="AA109">
        <v>67.569999999999993</v>
      </c>
    </row>
    <row r="110" spans="1:27" x14ac:dyDescent="0.2">
      <c r="A110" t="s">
        <v>72</v>
      </c>
      <c r="B110" s="1">
        <v>36661</v>
      </c>
      <c r="C110">
        <v>12.4</v>
      </c>
      <c r="D110">
        <f t="shared" si="4"/>
        <v>112.4</v>
      </c>
      <c r="E110">
        <v>1000</v>
      </c>
      <c r="H110" t="s">
        <v>72</v>
      </c>
      <c r="I110" s="1">
        <v>38367</v>
      </c>
      <c r="J110">
        <f t="shared" si="5"/>
        <v>132.19999999999999</v>
      </c>
      <c r="K110">
        <v>1220</v>
      </c>
      <c r="L110">
        <v>32.200000000000003</v>
      </c>
      <c r="M110">
        <v>66.739999999999995</v>
      </c>
      <c r="O110" t="s">
        <v>72</v>
      </c>
      <c r="P110" s="1">
        <v>38571</v>
      </c>
      <c r="Q110" s="36">
        <f t="shared" si="6"/>
        <v>103.2</v>
      </c>
      <c r="R110">
        <v>1220</v>
      </c>
      <c r="S110">
        <v>3.2</v>
      </c>
      <c r="T110">
        <v>51.72</v>
      </c>
      <c r="V110" t="s">
        <v>72</v>
      </c>
      <c r="W110" s="1">
        <v>38763</v>
      </c>
      <c r="X110">
        <f t="shared" si="7"/>
        <v>151.69999999999999</v>
      </c>
      <c r="Y110">
        <v>1300</v>
      </c>
      <c r="Z110">
        <v>51.7</v>
      </c>
      <c r="AA110">
        <v>77.069999999999993</v>
      </c>
    </row>
    <row r="111" spans="1:27" x14ac:dyDescent="0.2">
      <c r="A111" t="s">
        <v>72</v>
      </c>
      <c r="B111" s="1">
        <v>36692</v>
      </c>
      <c r="C111">
        <v>22.5</v>
      </c>
      <c r="D111">
        <f t="shared" si="4"/>
        <v>122.5</v>
      </c>
      <c r="E111">
        <v>1000</v>
      </c>
      <c r="H111" t="s">
        <v>72</v>
      </c>
      <c r="I111" s="1">
        <v>38426</v>
      </c>
      <c r="J111">
        <f t="shared" si="5"/>
        <v>143.5</v>
      </c>
      <c r="K111">
        <v>1220</v>
      </c>
      <c r="L111">
        <v>43.5</v>
      </c>
      <c r="M111">
        <v>72.31</v>
      </c>
      <c r="O111" t="s">
        <v>72</v>
      </c>
      <c r="P111" s="1">
        <v>38585</v>
      </c>
      <c r="Q111" s="36">
        <f t="shared" si="6"/>
        <v>122</v>
      </c>
      <c r="R111">
        <v>1220</v>
      </c>
      <c r="S111">
        <v>22</v>
      </c>
      <c r="T111">
        <v>61.41</v>
      </c>
      <c r="V111" t="s">
        <v>72</v>
      </c>
      <c r="W111" s="1">
        <v>38791</v>
      </c>
      <c r="X111">
        <f t="shared" si="7"/>
        <v>149.69999999999999</v>
      </c>
      <c r="Y111">
        <v>1300</v>
      </c>
      <c r="Z111">
        <v>49.7</v>
      </c>
      <c r="AA111">
        <v>75.75</v>
      </c>
    </row>
    <row r="112" spans="1:27" x14ac:dyDescent="0.2">
      <c r="A112" t="s">
        <v>72</v>
      </c>
      <c r="B112" s="1">
        <v>36937</v>
      </c>
      <c r="C112">
        <v>26.6</v>
      </c>
      <c r="D112">
        <f t="shared" si="4"/>
        <v>126.6</v>
      </c>
      <c r="E112">
        <v>1000</v>
      </c>
      <c r="H112" t="s">
        <v>72</v>
      </c>
      <c r="I112" s="1">
        <v>38457</v>
      </c>
      <c r="J112">
        <f t="shared" si="5"/>
        <v>137.4</v>
      </c>
      <c r="K112">
        <v>1220</v>
      </c>
      <c r="L112">
        <v>37.4</v>
      </c>
      <c r="M112">
        <v>69.28</v>
      </c>
      <c r="O112" t="s">
        <v>72</v>
      </c>
      <c r="P112" s="1">
        <v>38275</v>
      </c>
      <c r="Q112" s="36">
        <f t="shared" si="6"/>
        <v>112.1</v>
      </c>
      <c r="R112">
        <v>1220</v>
      </c>
      <c r="S112">
        <v>12.1</v>
      </c>
      <c r="T112">
        <v>56.35</v>
      </c>
      <c r="V112" t="s">
        <v>72</v>
      </c>
      <c r="W112" s="1">
        <v>38822</v>
      </c>
      <c r="X112">
        <f t="shared" si="7"/>
        <v>153.1</v>
      </c>
      <c r="Y112">
        <v>1300</v>
      </c>
      <c r="Z112">
        <v>53.1</v>
      </c>
      <c r="AA112">
        <v>77.86</v>
      </c>
    </row>
    <row r="113" spans="1:27" x14ac:dyDescent="0.2">
      <c r="A113" t="s">
        <v>72</v>
      </c>
      <c r="B113" s="1">
        <v>37087</v>
      </c>
      <c r="C113">
        <v>13</v>
      </c>
      <c r="D113">
        <f t="shared" si="4"/>
        <v>113</v>
      </c>
      <c r="E113">
        <v>1000</v>
      </c>
      <c r="H113" t="s">
        <v>72</v>
      </c>
      <c r="I113" s="1">
        <v>38487</v>
      </c>
      <c r="J113">
        <f t="shared" si="5"/>
        <v>148.30000000000001</v>
      </c>
      <c r="K113">
        <v>1220</v>
      </c>
      <c r="L113">
        <v>48.3</v>
      </c>
      <c r="M113">
        <v>75.66</v>
      </c>
      <c r="O113" t="s">
        <v>72</v>
      </c>
      <c r="P113" s="1">
        <v>38306</v>
      </c>
      <c r="Q113" s="36">
        <f t="shared" si="6"/>
        <v>133.19999999999999</v>
      </c>
      <c r="R113">
        <v>1220</v>
      </c>
      <c r="S113">
        <v>33.200000000000003</v>
      </c>
      <c r="T113">
        <v>67.33</v>
      </c>
      <c r="V113" t="s">
        <v>72</v>
      </c>
      <c r="W113" s="1">
        <v>38852</v>
      </c>
      <c r="X113">
        <f t="shared" si="7"/>
        <v>155.4</v>
      </c>
      <c r="Y113">
        <v>1300</v>
      </c>
      <c r="Z113">
        <v>55.4</v>
      </c>
      <c r="AA113">
        <v>79.040000000000006</v>
      </c>
    </row>
    <row r="114" spans="1:27" x14ac:dyDescent="0.2">
      <c r="A114" t="s">
        <v>72</v>
      </c>
      <c r="B114" s="1">
        <v>37240</v>
      </c>
      <c r="C114">
        <v>-22.9</v>
      </c>
      <c r="D114">
        <f t="shared" si="4"/>
        <v>77.099999999999994</v>
      </c>
      <c r="E114">
        <v>1000</v>
      </c>
      <c r="H114" t="s">
        <v>72</v>
      </c>
      <c r="I114" s="1">
        <v>38518</v>
      </c>
      <c r="J114">
        <f t="shared" si="5"/>
        <v>147</v>
      </c>
      <c r="K114">
        <v>1220</v>
      </c>
      <c r="L114">
        <v>47</v>
      </c>
      <c r="M114">
        <v>74.33</v>
      </c>
      <c r="O114" t="s">
        <v>72</v>
      </c>
      <c r="P114" s="1">
        <v>38367</v>
      </c>
      <c r="Q114" s="36">
        <f t="shared" si="6"/>
        <v>132.19999999999999</v>
      </c>
      <c r="R114">
        <v>1220</v>
      </c>
      <c r="S114">
        <v>32.200000000000003</v>
      </c>
      <c r="T114">
        <v>66.739999999999995</v>
      </c>
      <c r="V114" t="s">
        <v>72</v>
      </c>
      <c r="W114" s="1">
        <v>38883</v>
      </c>
      <c r="X114">
        <f t="shared" si="7"/>
        <v>144.9</v>
      </c>
      <c r="Y114">
        <v>1300</v>
      </c>
      <c r="Z114">
        <v>44.9</v>
      </c>
      <c r="AA114">
        <v>73.56</v>
      </c>
    </row>
    <row r="115" spans="1:27" x14ac:dyDescent="0.2">
      <c r="A115" t="s">
        <v>72</v>
      </c>
      <c r="B115" s="1">
        <v>37302</v>
      </c>
      <c r="C115">
        <v>-28.8</v>
      </c>
      <c r="D115">
        <f t="shared" si="4"/>
        <v>71.2</v>
      </c>
      <c r="E115">
        <v>1000</v>
      </c>
      <c r="H115" t="s">
        <v>72</v>
      </c>
      <c r="I115" s="1">
        <v>38640</v>
      </c>
      <c r="J115">
        <f t="shared" si="5"/>
        <v>141.30000000000001</v>
      </c>
      <c r="K115">
        <v>1220</v>
      </c>
      <c r="L115">
        <v>41.3</v>
      </c>
      <c r="M115">
        <v>71.989999999999995</v>
      </c>
      <c r="O115" t="s">
        <v>72</v>
      </c>
      <c r="P115" s="1">
        <v>38426</v>
      </c>
      <c r="Q115" s="36">
        <f t="shared" si="6"/>
        <v>143.5</v>
      </c>
      <c r="R115">
        <v>1220</v>
      </c>
      <c r="S115">
        <v>43.5</v>
      </c>
      <c r="T115">
        <v>72.31</v>
      </c>
      <c r="V115" t="s">
        <v>72</v>
      </c>
      <c r="W115" s="1">
        <v>38913</v>
      </c>
      <c r="X115">
        <f t="shared" si="7"/>
        <v>145.9</v>
      </c>
      <c r="Y115">
        <v>1300</v>
      </c>
      <c r="Z115">
        <v>45.9</v>
      </c>
      <c r="AA115">
        <v>74.13</v>
      </c>
    </row>
    <row r="116" spans="1:27" x14ac:dyDescent="0.2">
      <c r="A116" t="s">
        <v>72</v>
      </c>
      <c r="B116" s="1">
        <v>37361</v>
      </c>
      <c r="C116">
        <v>-9.8000000000000007</v>
      </c>
      <c r="D116">
        <f t="shared" si="4"/>
        <v>90.2</v>
      </c>
      <c r="E116">
        <v>1000</v>
      </c>
      <c r="H116" t="s">
        <v>72</v>
      </c>
      <c r="I116" s="1">
        <v>38701</v>
      </c>
      <c r="J116">
        <f t="shared" si="5"/>
        <v>132.5</v>
      </c>
      <c r="K116">
        <v>1220</v>
      </c>
      <c r="L116">
        <v>32.5</v>
      </c>
      <c r="M116">
        <v>67.569999999999993</v>
      </c>
      <c r="O116" t="s">
        <v>72</v>
      </c>
      <c r="P116" s="1">
        <v>38457</v>
      </c>
      <c r="Q116" s="36">
        <f t="shared" si="6"/>
        <v>137.4</v>
      </c>
      <c r="R116">
        <v>1220</v>
      </c>
      <c r="S116">
        <v>37.4</v>
      </c>
      <c r="T116">
        <v>69.28</v>
      </c>
      <c r="V116" t="s">
        <v>72</v>
      </c>
      <c r="W116" s="1">
        <v>38944</v>
      </c>
      <c r="X116">
        <f t="shared" si="7"/>
        <v>149</v>
      </c>
      <c r="Y116">
        <v>1300</v>
      </c>
      <c r="Z116">
        <v>49</v>
      </c>
      <c r="AA116">
        <v>75.36</v>
      </c>
    </row>
    <row r="117" spans="1:27" x14ac:dyDescent="0.2">
      <c r="A117" t="s">
        <v>72</v>
      </c>
      <c r="B117" s="1">
        <v>37422</v>
      </c>
      <c r="C117">
        <v>-34.799999999999997</v>
      </c>
      <c r="D117">
        <f t="shared" si="4"/>
        <v>65.2</v>
      </c>
      <c r="E117">
        <v>1000</v>
      </c>
      <c r="H117" t="s">
        <v>72</v>
      </c>
      <c r="I117" s="1">
        <v>38763</v>
      </c>
      <c r="J117">
        <f t="shared" si="5"/>
        <v>151.69999999999999</v>
      </c>
      <c r="K117">
        <v>1220</v>
      </c>
      <c r="L117">
        <v>51.7</v>
      </c>
      <c r="M117">
        <v>77.069999999999993</v>
      </c>
      <c r="O117" t="s">
        <v>72</v>
      </c>
      <c r="P117" s="1">
        <v>38487</v>
      </c>
      <c r="Q117" s="36">
        <f t="shared" si="6"/>
        <v>148.30000000000001</v>
      </c>
      <c r="R117">
        <v>1220</v>
      </c>
      <c r="S117">
        <v>48.3</v>
      </c>
      <c r="T117">
        <v>75.66</v>
      </c>
      <c r="V117" t="s">
        <v>72</v>
      </c>
      <c r="W117" s="1">
        <v>38975</v>
      </c>
      <c r="X117">
        <f t="shared" si="7"/>
        <v>146</v>
      </c>
      <c r="Y117">
        <v>1300</v>
      </c>
      <c r="Z117">
        <v>46</v>
      </c>
      <c r="AA117">
        <v>74.06</v>
      </c>
    </row>
    <row r="118" spans="1:27" x14ac:dyDescent="0.2">
      <c r="A118" t="s">
        <v>72</v>
      </c>
      <c r="B118" s="1">
        <v>37575</v>
      </c>
      <c r="C118">
        <v>-33.5</v>
      </c>
      <c r="D118">
        <f t="shared" si="4"/>
        <v>66.5</v>
      </c>
      <c r="E118">
        <v>1000</v>
      </c>
      <c r="H118" t="s">
        <v>72</v>
      </c>
      <c r="I118" s="1">
        <v>38791</v>
      </c>
      <c r="J118">
        <f t="shared" si="5"/>
        <v>149.69999999999999</v>
      </c>
      <c r="K118">
        <v>1220</v>
      </c>
      <c r="L118">
        <v>49.7</v>
      </c>
      <c r="M118">
        <v>75.75</v>
      </c>
      <c r="O118" t="s">
        <v>72</v>
      </c>
      <c r="P118" s="1">
        <v>38518</v>
      </c>
      <c r="Q118" s="36">
        <f t="shared" si="6"/>
        <v>147</v>
      </c>
      <c r="R118">
        <v>1220</v>
      </c>
      <c r="S118">
        <v>47</v>
      </c>
      <c r="T118">
        <v>74.33</v>
      </c>
      <c r="V118" t="s">
        <v>72</v>
      </c>
      <c r="W118" s="1">
        <v>39036</v>
      </c>
      <c r="X118">
        <f t="shared" si="7"/>
        <v>139</v>
      </c>
      <c r="Y118">
        <v>1600</v>
      </c>
      <c r="Z118">
        <v>39</v>
      </c>
      <c r="AA118">
        <v>70.83</v>
      </c>
    </row>
    <row r="119" spans="1:27" x14ac:dyDescent="0.2">
      <c r="A119" t="s">
        <v>72</v>
      </c>
      <c r="B119" s="1">
        <v>37667</v>
      </c>
      <c r="C119">
        <v>-28.7</v>
      </c>
      <c r="D119">
        <f t="shared" si="4"/>
        <v>71.3</v>
      </c>
      <c r="E119">
        <v>1000</v>
      </c>
      <c r="H119" t="s">
        <v>72</v>
      </c>
      <c r="I119" s="1">
        <v>38822</v>
      </c>
      <c r="J119">
        <f t="shared" si="5"/>
        <v>153.1</v>
      </c>
      <c r="K119">
        <v>1220</v>
      </c>
      <c r="L119">
        <v>53.1</v>
      </c>
      <c r="M119">
        <v>77.86</v>
      </c>
      <c r="O119" t="s">
        <v>72</v>
      </c>
      <c r="P119" s="1">
        <v>38640</v>
      </c>
      <c r="Q119" s="36">
        <f t="shared" si="6"/>
        <v>141.30000000000001</v>
      </c>
      <c r="R119">
        <v>1220</v>
      </c>
      <c r="S119">
        <v>41.3</v>
      </c>
      <c r="T119">
        <v>71.989999999999995</v>
      </c>
      <c r="V119" t="s">
        <v>72</v>
      </c>
      <c r="W119" s="1">
        <v>39128</v>
      </c>
      <c r="X119">
        <f t="shared" si="7"/>
        <v>140.5</v>
      </c>
      <c r="Y119">
        <v>1300</v>
      </c>
      <c r="Z119">
        <v>40.5</v>
      </c>
      <c r="AA119">
        <v>71.47</v>
      </c>
    </row>
    <row r="120" spans="1:27" x14ac:dyDescent="0.2">
      <c r="A120" t="s">
        <v>72</v>
      </c>
      <c r="B120" s="1">
        <v>37756</v>
      </c>
      <c r="C120">
        <v>-26</v>
      </c>
      <c r="D120">
        <f t="shared" si="4"/>
        <v>74</v>
      </c>
      <c r="E120">
        <v>1000</v>
      </c>
      <c r="H120" t="s">
        <v>72</v>
      </c>
      <c r="I120" s="1">
        <v>38852</v>
      </c>
      <c r="J120">
        <f t="shared" si="5"/>
        <v>155.4</v>
      </c>
      <c r="K120">
        <v>1220</v>
      </c>
      <c r="L120">
        <v>55.4</v>
      </c>
      <c r="M120">
        <v>79.040000000000006</v>
      </c>
      <c r="O120" t="s">
        <v>72</v>
      </c>
      <c r="P120" s="1">
        <v>38701</v>
      </c>
      <c r="Q120" s="36">
        <f t="shared" si="6"/>
        <v>132.5</v>
      </c>
      <c r="R120">
        <v>1220</v>
      </c>
      <c r="S120">
        <v>32.5</v>
      </c>
      <c r="T120">
        <v>67.569999999999993</v>
      </c>
      <c r="V120" t="s">
        <v>72</v>
      </c>
      <c r="W120" s="1">
        <v>39156</v>
      </c>
      <c r="X120">
        <f t="shared" si="7"/>
        <v>135.1</v>
      </c>
      <c r="Y120">
        <v>1300</v>
      </c>
      <c r="Z120">
        <v>35.1</v>
      </c>
      <c r="AA120">
        <v>68.61</v>
      </c>
    </row>
    <row r="121" spans="1:27" x14ac:dyDescent="0.2">
      <c r="A121" t="s">
        <v>72</v>
      </c>
      <c r="B121" s="1">
        <v>37817</v>
      </c>
      <c r="C121">
        <v>-36.700000000000003</v>
      </c>
      <c r="D121">
        <f t="shared" si="4"/>
        <v>63.3</v>
      </c>
      <c r="E121">
        <v>1000</v>
      </c>
      <c r="H121" t="s">
        <v>72</v>
      </c>
      <c r="I121" s="1">
        <v>38883</v>
      </c>
      <c r="J121">
        <f t="shared" si="5"/>
        <v>144.9</v>
      </c>
      <c r="K121">
        <v>1220</v>
      </c>
      <c r="L121">
        <v>44.9</v>
      </c>
      <c r="M121">
        <v>73.56</v>
      </c>
      <c r="O121" t="s">
        <v>72</v>
      </c>
      <c r="P121" s="1">
        <v>38763</v>
      </c>
      <c r="Q121" s="36">
        <f t="shared" si="6"/>
        <v>151.69999999999999</v>
      </c>
      <c r="R121">
        <v>1220</v>
      </c>
      <c r="S121">
        <v>51.7</v>
      </c>
      <c r="T121">
        <v>77.069999999999993</v>
      </c>
      <c r="V121" t="s">
        <v>72</v>
      </c>
      <c r="W121" s="1">
        <v>39209</v>
      </c>
      <c r="X121">
        <f t="shared" si="7"/>
        <v>134</v>
      </c>
      <c r="Y121">
        <v>1300</v>
      </c>
      <c r="Z121">
        <v>34</v>
      </c>
      <c r="AA121">
        <v>68.44</v>
      </c>
    </row>
    <row r="122" spans="1:27" x14ac:dyDescent="0.2">
      <c r="A122" t="s">
        <v>72</v>
      </c>
      <c r="B122" s="1">
        <v>37880</v>
      </c>
      <c r="C122">
        <v>-26.7</v>
      </c>
      <c r="D122">
        <f t="shared" si="4"/>
        <v>73.3</v>
      </c>
      <c r="E122">
        <v>1300</v>
      </c>
      <c r="H122" t="s">
        <v>72</v>
      </c>
      <c r="I122" s="1">
        <v>38913</v>
      </c>
      <c r="J122">
        <f t="shared" si="5"/>
        <v>145.9</v>
      </c>
      <c r="K122">
        <v>1220</v>
      </c>
      <c r="L122">
        <v>45.9</v>
      </c>
      <c r="M122">
        <v>74.13</v>
      </c>
      <c r="O122" t="s">
        <v>72</v>
      </c>
      <c r="P122" s="1">
        <v>38791</v>
      </c>
      <c r="Q122" s="36">
        <f t="shared" si="6"/>
        <v>149.69999999999999</v>
      </c>
      <c r="R122">
        <v>1220</v>
      </c>
      <c r="S122">
        <v>49.7</v>
      </c>
      <c r="T122">
        <v>75.75</v>
      </c>
      <c r="V122" t="s">
        <v>72</v>
      </c>
      <c r="W122" s="1">
        <v>39223</v>
      </c>
      <c r="X122">
        <f t="shared" si="7"/>
        <v>119.5</v>
      </c>
      <c r="Y122">
        <v>1300</v>
      </c>
      <c r="Z122">
        <v>19.5</v>
      </c>
      <c r="AA122">
        <v>60.59</v>
      </c>
    </row>
    <row r="123" spans="1:27" x14ac:dyDescent="0.2">
      <c r="A123" t="s">
        <v>72</v>
      </c>
      <c r="B123" s="1">
        <v>37940</v>
      </c>
      <c r="C123">
        <v>-15.7</v>
      </c>
      <c r="D123">
        <f t="shared" si="4"/>
        <v>84.3</v>
      </c>
      <c r="E123">
        <v>1300</v>
      </c>
      <c r="H123" t="s">
        <v>72</v>
      </c>
      <c r="I123" s="1">
        <v>38944</v>
      </c>
      <c r="J123">
        <f t="shared" si="5"/>
        <v>149</v>
      </c>
      <c r="K123">
        <v>1220</v>
      </c>
      <c r="L123">
        <v>49</v>
      </c>
      <c r="M123">
        <v>75.36</v>
      </c>
      <c r="O123" t="s">
        <v>72</v>
      </c>
      <c r="P123" s="1">
        <v>38822</v>
      </c>
      <c r="Q123" s="36">
        <f t="shared" si="6"/>
        <v>153.1</v>
      </c>
      <c r="R123">
        <v>1220</v>
      </c>
      <c r="S123">
        <v>53.1</v>
      </c>
      <c r="T123">
        <v>77.86</v>
      </c>
      <c r="V123" t="s">
        <v>72</v>
      </c>
      <c r="W123" s="1">
        <v>39248</v>
      </c>
      <c r="X123">
        <f t="shared" si="7"/>
        <v>136.80000000000001</v>
      </c>
      <c r="Y123">
        <v>1300</v>
      </c>
      <c r="Z123">
        <v>36.799999999999997</v>
      </c>
      <c r="AA123">
        <v>69.739999999999995</v>
      </c>
    </row>
    <row r="124" spans="1:27" x14ac:dyDescent="0.2">
      <c r="A124" t="s">
        <v>72</v>
      </c>
      <c r="B124" s="1">
        <v>37970</v>
      </c>
      <c r="C124">
        <v>-14.5</v>
      </c>
      <c r="D124">
        <f t="shared" si="4"/>
        <v>85.5</v>
      </c>
      <c r="E124">
        <v>1300</v>
      </c>
      <c r="H124" t="s">
        <v>72</v>
      </c>
      <c r="I124" s="1">
        <v>38975</v>
      </c>
      <c r="J124">
        <f t="shared" si="5"/>
        <v>146</v>
      </c>
      <c r="K124">
        <v>1220</v>
      </c>
      <c r="L124">
        <v>46</v>
      </c>
      <c r="M124">
        <v>74.06</v>
      </c>
      <c r="O124" t="s">
        <v>72</v>
      </c>
      <c r="P124" s="1">
        <v>38852</v>
      </c>
      <c r="Q124" s="36">
        <f t="shared" si="6"/>
        <v>155.4</v>
      </c>
      <c r="R124">
        <v>1220</v>
      </c>
      <c r="S124">
        <v>55.4</v>
      </c>
      <c r="T124">
        <v>79.040000000000006</v>
      </c>
      <c r="V124" t="s">
        <v>72</v>
      </c>
      <c r="W124" s="1">
        <v>39278</v>
      </c>
      <c r="X124">
        <f t="shared" si="7"/>
        <v>126.4</v>
      </c>
      <c r="Y124">
        <v>1300</v>
      </c>
      <c r="Z124">
        <v>26.4</v>
      </c>
      <c r="AA124">
        <v>64.099999999999994</v>
      </c>
    </row>
    <row r="125" spans="1:27" x14ac:dyDescent="0.2">
      <c r="A125" t="s">
        <v>72</v>
      </c>
      <c r="B125" s="1">
        <v>38032</v>
      </c>
      <c r="C125">
        <v>-13.2</v>
      </c>
      <c r="D125">
        <f t="shared" si="4"/>
        <v>86.8</v>
      </c>
      <c r="E125">
        <v>1300</v>
      </c>
      <c r="H125" t="s">
        <v>72</v>
      </c>
      <c r="I125" s="1">
        <v>39036</v>
      </c>
      <c r="J125">
        <f t="shared" si="5"/>
        <v>139</v>
      </c>
      <c r="K125">
        <v>1220</v>
      </c>
      <c r="L125">
        <v>39</v>
      </c>
      <c r="M125">
        <v>70.83</v>
      </c>
      <c r="O125" t="s">
        <v>72</v>
      </c>
      <c r="P125" s="1">
        <v>38883</v>
      </c>
      <c r="Q125" s="36">
        <f t="shared" si="6"/>
        <v>144.9</v>
      </c>
      <c r="R125">
        <v>1220</v>
      </c>
      <c r="S125">
        <v>44.9</v>
      </c>
      <c r="T125">
        <v>73.56</v>
      </c>
      <c r="V125" t="s">
        <v>72</v>
      </c>
      <c r="W125" s="1">
        <v>39340</v>
      </c>
      <c r="X125">
        <f t="shared" si="7"/>
        <v>133.19999999999999</v>
      </c>
      <c r="Y125">
        <v>1300</v>
      </c>
      <c r="Z125">
        <v>33.200000000000003</v>
      </c>
      <c r="AA125">
        <v>67.739999999999995</v>
      </c>
    </row>
    <row r="126" spans="1:27" x14ac:dyDescent="0.2">
      <c r="A126" t="s">
        <v>72</v>
      </c>
      <c r="B126" s="1">
        <v>38122</v>
      </c>
      <c r="C126">
        <v>-11.9</v>
      </c>
      <c r="D126">
        <f t="shared" si="4"/>
        <v>88.1</v>
      </c>
      <c r="E126">
        <v>1300</v>
      </c>
      <c r="H126" t="s">
        <v>72</v>
      </c>
      <c r="I126" s="1">
        <v>39128</v>
      </c>
      <c r="J126">
        <f t="shared" si="5"/>
        <v>140.5</v>
      </c>
      <c r="K126">
        <v>1220</v>
      </c>
      <c r="L126">
        <v>40.5</v>
      </c>
      <c r="M126">
        <v>71.47</v>
      </c>
      <c r="O126" t="s">
        <v>72</v>
      </c>
      <c r="P126" s="1">
        <v>38913</v>
      </c>
      <c r="Q126" s="36">
        <f t="shared" si="6"/>
        <v>145.9</v>
      </c>
      <c r="R126">
        <v>1220</v>
      </c>
      <c r="S126">
        <v>45.9</v>
      </c>
      <c r="T126">
        <v>74.13</v>
      </c>
      <c r="V126" t="s">
        <v>72</v>
      </c>
      <c r="W126" s="1">
        <v>39370</v>
      </c>
      <c r="X126">
        <f t="shared" si="7"/>
        <v>129</v>
      </c>
      <c r="Y126">
        <v>1300</v>
      </c>
      <c r="Z126">
        <v>29</v>
      </c>
      <c r="AA126">
        <v>65.2</v>
      </c>
    </row>
    <row r="127" spans="1:27" x14ac:dyDescent="0.2">
      <c r="A127" t="s">
        <v>72</v>
      </c>
      <c r="B127" s="1">
        <v>38183</v>
      </c>
      <c r="C127">
        <v>2</v>
      </c>
      <c r="D127">
        <f t="shared" si="4"/>
        <v>102</v>
      </c>
      <c r="E127">
        <v>1300</v>
      </c>
      <c r="H127" t="s">
        <v>72</v>
      </c>
      <c r="I127" s="1">
        <v>39156</v>
      </c>
      <c r="J127">
        <f t="shared" si="5"/>
        <v>135.1</v>
      </c>
      <c r="K127">
        <v>1220</v>
      </c>
      <c r="L127">
        <v>35.1</v>
      </c>
      <c r="M127">
        <v>68.61</v>
      </c>
      <c r="O127" t="s">
        <v>72</v>
      </c>
      <c r="P127" s="1">
        <v>38944</v>
      </c>
      <c r="Q127" s="36">
        <f t="shared" si="6"/>
        <v>149</v>
      </c>
      <c r="R127">
        <v>1220</v>
      </c>
      <c r="S127">
        <v>49</v>
      </c>
      <c r="T127">
        <v>75.36</v>
      </c>
      <c r="V127" t="s">
        <v>72</v>
      </c>
      <c r="W127" s="1">
        <v>39401</v>
      </c>
      <c r="X127">
        <f t="shared" si="7"/>
        <v>109.1</v>
      </c>
      <c r="Y127">
        <v>1300</v>
      </c>
      <c r="Z127">
        <v>9.1</v>
      </c>
      <c r="AA127">
        <v>54.79</v>
      </c>
    </row>
    <row r="128" spans="1:27" x14ac:dyDescent="0.2">
      <c r="A128" t="s">
        <v>72</v>
      </c>
      <c r="B128" s="1">
        <v>38571</v>
      </c>
      <c r="C128">
        <v>3.2</v>
      </c>
      <c r="D128">
        <f t="shared" si="4"/>
        <v>103.2</v>
      </c>
      <c r="E128">
        <v>1300</v>
      </c>
      <c r="H128" t="s">
        <v>72</v>
      </c>
      <c r="I128" s="1">
        <v>39209</v>
      </c>
      <c r="J128">
        <f t="shared" si="5"/>
        <v>134</v>
      </c>
      <c r="K128">
        <v>1220</v>
      </c>
      <c r="L128">
        <v>34</v>
      </c>
      <c r="M128">
        <v>68.44</v>
      </c>
      <c r="O128" t="s">
        <v>72</v>
      </c>
      <c r="P128" s="1">
        <v>38975</v>
      </c>
      <c r="Q128" s="36">
        <f t="shared" si="6"/>
        <v>146</v>
      </c>
      <c r="R128">
        <v>1220</v>
      </c>
      <c r="S128">
        <v>46</v>
      </c>
      <c r="T128">
        <v>74.06</v>
      </c>
      <c r="V128" t="s">
        <v>72</v>
      </c>
      <c r="W128" s="1">
        <v>39493</v>
      </c>
      <c r="X128">
        <f t="shared" si="7"/>
        <v>111.5</v>
      </c>
      <c r="Y128">
        <v>1300</v>
      </c>
      <c r="Z128">
        <v>11.5</v>
      </c>
      <c r="AA128">
        <v>56.24</v>
      </c>
    </row>
    <row r="129" spans="1:27" x14ac:dyDescent="0.2">
      <c r="A129" t="s">
        <v>72</v>
      </c>
      <c r="B129" s="1">
        <v>38585</v>
      </c>
      <c r="C129">
        <v>21.8</v>
      </c>
      <c r="D129">
        <f t="shared" si="4"/>
        <v>121.8</v>
      </c>
      <c r="E129">
        <v>1300</v>
      </c>
      <c r="H129" t="s">
        <v>72</v>
      </c>
      <c r="I129" s="1">
        <v>39223</v>
      </c>
      <c r="J129">
        <f t="shared" si="5"/>
        <v>119.5</v>
      </c>
      <c r="K129">
        <v>1220</v>
      </c>
      <c r="L129">
        <v>19.5</v>
      </c>
      <c r="M129">
        <v>60.59</v>
      </c>
      <c r="O129" t="s">
        <v>72</v>
      </c>
      <c r="P129" s="1">
        <v>39036</v>
      </c>
      <c r="Q129" s="36">
        <f t="shared" si="6"/>
        <v>139</v>
      </c>
      <c r="R129">
        <v>1220</v>
      </c>
      <c r="S129">
        <v>39</v>
      </c>
      <c r="T129">
        <v>70.83</v>
      </c>
      <c r="V129" t="s">
        <v>72</v>
      </c>
      <c r="W129" s="1">
        <v>39553</v>
      </c>
      <c r="X129">
        <f t="shared" si="7"/>
        <v>116.8</v>
      </c>
      <c r="Y129">
        <v>1300</v>
      </c>
      <c r="Z129">
        <v>16.8</v>
      </c>
      <c r="AA129">
        <v>58.86</v>
      </c>
    </row>
    <row r="130" spans="1:27" x14ac:dyDescent="0.2">
      <c r="A130" t="s">
        <v>72</v>
      </c>
      <c r="B130" s="1">
        <v>38275</v>
      </c>
      <c r="C130">
        <v>12.1</v>
      </c>
      <c r="D130">
        <f t="shared" si="4"/>
        <v>112.1</v>
      </c>
      <c r="E130">
        <v>1300</v>
      </c>
      <c r="H130" t="s">
        <v>72</v>
      </c>
      <c r="I130" s="1">
        <v>39248</v>
      </c>
      <c r="J130">
        <f t="shared" si="5"/>
        <v>136.80000000000001</v>
      </c>
      <c r="K130">
        <v>1220</v>
      </c>
      <c r="L130">
        <v>36.799999999999997</v>
      </c>
      <c r="M130">
        <v>69.739999999999995</v>
      </c>
      <c r="O130" t="s">
        <v>72</v>
      </c>
      <c r="P130" s="1">
        <v>39128</v>
      </c>
      <c r="Q130" s="36">
        <f t="shared" si="6"/>
        <v>140.5</v>
      </c>
      <c r="R130">
        <v>1220</v>
      </c>
      <c r="S130">
        <v>40.5</v>
      </c>
      <c r="T130">
        <v>71.47</v>
      </c>
      <c r="V130" t="s">
        <v>72</v>
      </c>
      <c r="W130" s="1">
        <v>39583</v>
      </c>
      <c r="X130">
        <f t="shared" si="7"/>
        <v>119.6</v>
      </c>
      <c r="Y130">
        <v>1300</v>
      </c>
      <c r="Z130">
        <v>19.600000000000001</v>
      </c>
      <c r="AA130">
        <v>60.72</v>
      </c>
    </row>
    <row r="131" spans="1:27" x14ac:dyDescent="0.2">
      <c r="A131" t="s">
        <v>72</v>
      </c>
      <c r="B131" s="1">
        <v>38306</v>
      </c>
      <c r="C131">
        <v>33.200000000000003</v>
      </c>
      <c r="D131">
        <f t="shared" ref="D131:D194" si="8">100+C131</f>
        <v>133.19999999999999</v>
      </c>
      <c r="E131">
        <v>1300</v>
      </c>
      <c r="H131" t="s">
        <v>72</v>
      </c>
      <c r="I131" s="1">
        <v>39278</v>
      </c>
      <c r="J131">
        <f t="shared" ref="J131:J194" si="9">L131+100</f>
        <v>126.4</v>
      </c>
      <c r="K131">
        <v>1220</v>
      </c>
      <c r="L131">
        <v>26.4</v>
      </c>
      <c r="M131">
        <v>64.099999999999994</v>
      </c>
      <c r="O131" t="s">
        <v>72</v>
      </c>
      <c r="P131" s="1">
        <v>39156</v>
      </c>
      <c r="Q131" s="36">
        <f t="shared" ref="Q131:Q194" si="10">S131+100</f>
        <v>135.1</v>
      </c>
      <c r="R131">
        <v>1220</v>
      </c>
      <c r="S131">
        <v>35.1</v>
      </c>
      <c r="T131">
        <v>68.61</v>
      </c>
      <c r="V131" t="s">
        <v>72</v>
      </c>
      <c r="W131" s="1">
        <v>39614</v>
      </c>
      <c r="X131">
        <f t="shared" ref="X131:X194" si="11">100+Z131</f>
        <v>122.6</v>
      </c>
      <c r="Y131">
        <v>1300</v>
      </c>
      <c r="Z131">
        <v>22.6</v>
      </c>
      <c r="AA131">
        <v>62.18</v>
      </c>
    </row>
    <row r="132" spans="1:27" x14ac:dyDescent="0.2">
      <c r="A132" t="s">
        <v>72</v>
      </c>
      <c r="B132" s="1">
        <v>38367</v>
      </c>
      <c r="C132">
        <v>32.200000000000003</v>
      </c>
      <c r="D132">
        <f t="shared" si="8"/>
        <v>132.19999999999999</v>
      </c>
      <c r="E132">
        <v>1300</v>
      </c>
      <c r="H132" t="s">
        <v>72</v>
      </c>
      <c r="I132" s="1">
        <v>39340</v>
      </c>
      <c r="J132">
        <f t="shared" si="9"/>
        <v>133.19999999999999</v>
      </c>
      <c r="K132">
        <v>1220</v>
      </c>
      <c r="L132">
        <v>33.200000000000003</v>
      </c>
      <c r="M132">
        <v>67.739999999999995</v>
      </c>
      <c r="O132" t="s">
        <v>72</v>
      </c>
      <c r="P132" s="1">
        <v>39209</v>
      </c>
      <c r="Q132" s="36">
        <f t="shared" si="10"/>
        <v>134</v>
      </c>
      <c r="R132">
        <v>1220</v>
      </c>
      <c r="S132">
        <v>34</v>
      </c>
      <c r="T132">
        <v>68.44</v>
      </c>
      <c r="V132" t="s">
        <v>72</v>
      </c>
      <c r="W132" s="1">
        <v>39644</v>
      </c>
      <c r="X132">
        <f t="shared" si="11"/>
        <v>125.2</v>
      </c>
      <c r="Y132">
        <v>1300</v>
      </c>
      <c r="Z132">
        <v>25.2</v>
      </c>
      <c r="AA132">
        <v>63.76</v>
      </c>
    </row>
    <row r="133" spans="1:27" x14ac:dyDescent="0.2">
      <c r="A133" t="s">
        <v>72</v>
      </c>
      <c r="B133" s="1">
        <v>38426</v>
      </c>
      <c r="C133">
        <v>43.5</v>
      </c>
      <c r="D133">
        <f t="shared" si="8"/>
        <v>143.5</v>
      </c>
      <c r="E133">
        <v>1300</v>
      </c>
      <c r="H133" t="s">
        <v>72</v>
      </c>
      <c r="I133" s="1">
        <v>39370</v>
      </c>
      <c r="J133">
        <f t="shared" si="9"/>
        <v>129</v>
      </c>
      <c r="K133">
        <v>1220</v>
      </c>
      <c r="L133">
        <v>29</v>
      </c>
      <c r="M133">
        <v>65.2</v>
      </c>
      <c r="O133" t="s">
        <v>72</v>
      </c>
      <c r="P133" s="1">
        <v>39223</v>
      </c>
      <c r="Q133" s="36">
        <f t="shared" si="10"/>
        <v>119.5</v>
      </c>
      <c r="R133">
        <v>1220</v>
      </c>
      <c r="S133">
        <v>19.5</v>
      </c>
      <c r="T133">
        <v>60.59</v>
      </c>
      <c r="V133" t="s">
        <v>72</v>
      </c>
      <c r="W133" s="1">
        <v>39675</v>
      </c>
      <c r="X133">
        <f t="shared" si="11"/>
        <v>120.2</v>
      </c>
      <c r="Y133">
        <v>1300</v>
      </c>
      <c r="Z133">
        <v>20.2</v>
      </c>
      <c r="AA133">
        <v>60.54</v>
      </c>
    </row>
    <row r="134" spans="1:27" x14ac:dyDescent="0.2">
      <c r="A134" t="s">
        <v>72</v>
      </c>
      <c r="B134" s="1">
        <v>38457</v>
      </c>
      <c r="C134">
        <v>37.4</v>
      </c>
      <c r="D134">
        <f t="shared" si="8"/>
        <v>137.4</v>
      </c>
      <c r="E134">
        <v>1300</v>
      </c>
      <c r="H134" t="s">
        <v>72</v>
      </c>
      <c r="I134" s="1">
        <v>39401</v>
      </c>
      <c r="J134">
        <f t="shared" si="9"/>
        <v>109.1</v>
      </c>
      <c r="K134">
        <v>1220</v>
      </c>
      <c r="L134">
        <v>9.1</v>
      </c>
      <c r="M134">
        <v>54.79</v>
      </c>
      <c r="O134" t="s">
        <v>72</v>
      </c>
      <c r="P134" s="1">
        <v>39248</v>
      </c>
      <c r="Q134" s="36">
        <f t="shared" si="10"/>
        <v>136.80000000000001</v>
      </c>
      <c r="R134">
        <v>1220</v>
      </c>
      <c r="S134">
        <v>36.799999999999997</v>
      </c>
      <c r="T134">
        <v>69.739999999999995</v>
      </c>
      <c r="V134" t="s">
        <v>72</v>
      </c>
      <c r="W134" s="1">
        <v>39706</v>
      </c>
      <c r="X134">
        <f t="shared" si="11"/>
        <v>120.4</v>
      </c>
      <c r="Y134">
        <v>1300</v>
      </c>
      <c r="Z134">
        <v>20.399999999999999</v>
      </c>
      <c r="AA134">
        <v>60.92</v>
      </c>
    </row>
    <row r="135" spans="1:27" x14ac:dyDescent="0.2">
      <c r="A135" t="s">
        <v>72</v>
      </c>
      <c r="B135" s="1">
        <v>38487</v>
      </c>
      <c r="C135">
        <v>48.3</v>
      </c>
      <c r="D135">
        <f t="shared" si="8"/>
        <v>148.30000000000001</v>
      </c>
      <c r="E135">
        <v>1300</v>
      </c>
      <c r="H135" t="s">
        <v>72</v>
      </c>
      <c r="I135" s="1">
        <v>39493</v>
      </c>
      <c r="J135">
        <f t="shared" si="9"/>
        <v>111.5</v>
      </c>
      <c r="K135">
        <v>1220</v>
      </c>
      <c r="L135">
        <v>11.5</v>
      </c>
      <c r="M135">
        <v>56.24</v>
      </c>
      <c r="O135" t="s">
        <v>72</v>
      </c>
      <c r="P135" s="1">
        <v>39278</v>
      </c>
      <c r="Q135" s="36">
        <f t="shared" si="10"/>
        <v>126.4</v>
      </c>
      <c r="R135">
        <v>1220</v>
      </c>
      <c r="S135">
        <v>26.4</v>
      </c>
      <c r="T135">
        <v>64.099999999999994</v>
      </c>
      <c r="V135" t="s">
        <v>72</v>
      </c>
      <c r="W135" s="1">
        <v>39767</v>
      </c>
      <c r="X135">
        <f t="shared" si="11"/>
        <v>121.9</v>
      </c>
      <c r="Y135">
        <v>1300</v>
      </c>
      <c r="Z135">
        <v>21.9</v>
      </c>
      <c r="AA135">
        <v>61.81</v>
      </c>
    </row>
    <row r="136" spans="1:27" x14ac:dyDescent="0.2">
      <c r="A136" t="s">
        <v>72</v>
      </c>
      <c r="B136" s="1">
        <v>38518</v>
      </c>
      <c r="C136">
        <v>47</v>
      </c>
      <c r="D136">
        <f t="shared" si="8"/>
        <v>147</v>
      </c>
      <c r="E136">
        <v>1300</v>
      </c>
      <c r="H136" t="s">
        <v>72</v>
      </c>
      <c r="I136" s="1">
        <v>39553</v>
      </c>
      <c r="J136">
        <f t="shared" si="9"/>
        <v>116.8</v>
      </c>
      <c r="K136">
        <v>1220</v>
      </c>
      <c r="L136">
        <v>16.8</v>
      </c>
      <c r="M136">
        <v>58.86</v>
      </c>
      <c r="O136" t="s">
        <v>72</v>
      </c>
      <c r="P136" s="1">
        <v>39340</v>
      </c>
      <c r="Q136" s="36">
        <f t="shared" si="10"/>
        <v>133.19999999999999</v>
      </c>
      <c r="R136">
        <v>1220</v>
      </c>
      <c r="S136">
        <v>33.200000000000003</v>
      </c>
      <c r="T136">
        <v>67.739999999999995</v>
      </c>
      <c r="V136" t="s">
        <v>72</v>
      </c>
      <c r="W136" s="1">
        <v>39797</v>
      </c>
      <c r="X136">
        <f t="shared" si="11"/>
        <v>122.6</v>
      </c>
      <c r="Y136">
        <v>1300</v>
      </c>
      <c r="Z136">
        <v>22.6</v>
      </c>
      <c r="AA136">
        <v>62.12</v>
      </c>
    </row>
    <row r="137" spans="1:27" x14ac:dyDescent="0.2">
      <c r="A137" t="s">
        <v>72</v>
      </c>
      <c r="B137" s="1">
        <v>38640</v>
      </c>
      <c r="C137">
        <v>41.3</v>
      </c>
      <c r="D137">
        <f t="shared" si="8"/>
        <v>141.30000000000001</v>
      </c>
      <c r="E137">
        <v>1300</v>
      </c>
      <c r="H137" t="s">
        <v>72</v>
      </c>
      <c r="I137" s="1">
        <v>39583</v>
      </c>
      <c r="J137">
        <f t="shared" si="9"/>
        <v>119.6</v>
      </c>
      <c r="K137">
        <v>1220</v>
      </c>
      <c r="L137">
        <v>19.600000000000001</v>
      </c>
      <c r="M137">
        <v>60.72</v>
      </c>
      <c r="O137" t="s">
        <v>72</v>
      </c>
      <c r="P137" s="1">
        <v>39370</v>
      </c>
      <c r="Q137" s="36">
        <f t="shared" si="10"/>
        <v>129</v>
      </c>
      <c r="R137">
        <v>1220</v>
      </c>
      <c r="S137">
        <v>29</v>
      </c>
      <c r="T137">
        <v>65.2</v>
      </c>
      <c r="V137" t="s">
        <v>72</v>
      </c>
      <c r="W137" s="1">
        <v>39828</v>
      </c>
      <c r="X137">
        <f t="shared" si="11"/>
        <v>103.9</v>
      </c>
      <c r="Y137">
        <v>1300</v>
      </c>
      <c r="Z137">
        <v>3.9</v>
      </c>
      <c r="AA137">
        <v>51.99</v>
      </c>
    </row>
    <row r="138" spans="1:27" x14ac:dyDescent="0.2">
      <c r="A138" t="s">
        <v>72</v>
      </c>
      <c r="B138" s="1">
        <v>38701</v>
      </c>
      <c r="C138">
        <v>32.5</v>
      </c>
      <c r="D138">
        <f t="shared" si="8"/>
        <v>132.5</v>
      </c>
      <c r="E138">
        <v>1300</v>
      </c>
      <c r="H138" t="s">
        <v>72</v>
      </c>
      <c r="I138" s="1">
        <v>39614</v>
      </c>
      <c r="J138">
        <f t="shared" si="9"/>
        <v>122.6</v>
      </c>
      <c r="K138">
        <v>1220</v>
      </c>
      <c r="L138">
        <v>22.6</v>
      </c>
      <c r="M138">
        <v>62.18</v>
      </c>
      <c r="O138" t="s">
        <v>72</v>
      </c>
      <c r="P138" s="1">
        <v>39401</v>
      </c>
      <c r="Q138" s="36">
        <f t="shared" si="10"/>
        <v>109.1</v>
      </c>
      <c r="R138">
        <v>1220</v>
      </c>
      <c r="S138">
        <v>9.1</v>
      </c>
      <c r="T138">
        <v>54.79</v>
      </c>
      <c r="V138" t="s">
        <v>72</v>
      </c>
      <c r="W138" s="1">
        <v>39859</v>
      </c>
      <c r="X138">
        <f t="shared" si="11"/>
        <v>112.7</v>
      </c>
      <c r="Y138">
        <v>1300</v>
      </c>
      <c r="Z138">
        <v>12.7</v>
      </c>
      <c r="AA138">
        <v>56.69</v>
      </c>
    </row>
    <row r="139" spans="1:27" x14ac:dyDescent="0.2">
      <c r="A139" t="s">
        <v>72</v>
      </c>
      <c r="B139" s="1">
        <v>38763</v>
      </c>
      <c r="C139">
        <v>51.7</v>
      </c>
      <c r="D139">
        <f t="shared" si="8"/>
        <v>151.69999999999999</v>
      </c>
      <c r="E139">
        <v>1300</v>
      </c>
      <c r="H139" t="s">
        <v>72</v>
      </c>
      <c r="I139" s="1">
        <v>39644</v>
      </c>
      <c r="J139">
        <f t="shared" si="9"/>
        <v>125.2</v>
      </c>
      <c r="K139">
        <v>1220</v>
      </c>
      <c r="L139">
        <v>25.2</v>
      </c>
      <c r="M139">
        <v>63.76</v>
      </c>
      <c r="O139" t="s">
        <v>72</v>
      </c>
      <c r="P139" s="1">
        <v>39493</v>
      </c>
      <c r="Q139" s="36">
        <f t="shared" si="10"/>
        <v>111.5</v>
      </c>
      <c r="R139">
        <v>1220</v>
      </c>
      <c r="S139">
        <v>11.5</v>
      </c>
      <c r="T139">
        <v>56.24</v>
      </c>
      <c r="V139" t="s">
        <v>72</v>
      </c>
      <c r="W139" s="1">
        <v>39872</v>
      </c>
      <c r="X139">
        <f t="shared" si="11"/>
        <v>126.8</v>
      </c>
      <c r="Y139">
        <v>1300</v>
      </c>
      <c r="Z139">
        <v>26.8</v>
      </c>
      <c r="AA139">
        <v>64.08</v>
      </c>
    </row>
    <row r="140" spans="1:27" x14ac:dyDescent="0.2">
      <c r="A140" t="s">
        <v>72</v>
      </c>
      <c r="B140" s="1">
        <v>38791</v>
      </c>
      <c r="C140">
        <v>49.7</v>
      </c>
      <c r="D140">
        <f t="shared" si="8"/>
        <v>149.69999999999999</v>
      </c>
      <c r="E140">
        <v>1300</v>
      </c>
      <c r="H140" t="s">
        <v>72</v>
      </c>
      <c r="I140" s="1">
        <v>39675</v>
      </c>
      <c r="J140">
        <f t="shared" si="9"/>
        <v>120.2</v>
      </c>
      <c r="K140">
        <v>1220</v>
      </c>
      <c r="L140">
        <v>20.2</v>
      </c>
      <c r="M140">
        <v>60.54</v>
      </c>
      <c r="O140" t="s">
        <v>72</v>
      </c>
      <c r="P140" s="1">
        <v>39553</v>
      </c>
      <c r="Q140" s="36">
        <f t="shared" si="10"/>
        <v>116.8</v>
      </c>
      <c r="R140">
        <v>1220</v>
      </c>
      <c r="S140">
        <v>16.8</v>
      </c>
      <c r="T140">
        <v>58.86</v>
      </c>
      <c r="V140" t="s">
        <v>72</v>
      </c>
      <c r="W140" s="1">
        <v>39887</v>
      </c>
      <c r="X140">
        <f t="shared" si="11"/>
        <v>128.69999999999999</v>
      </c>
      <c r="Y140">
        <v>1300</v>
      </c>
      <c r="Z140">
        <v>28.7</v>
      </c>
      <c r="AA140">
        <v>65.959999999999994</v>
      </c>
    </row>
    <row r="141" spans="1:27" x14ac:dyDescent="0.2">
      <c r="A141" t="s">
        <v>72</v>
      </c>
      <c r="B141" s="1">
        <v>38822</v>
      </c>
      <c r="C141">
        <v>53.1</v>
      </c>
      <c r="D141">
        <f t="shared" si="8"/>
        <v>153.1</v>
      </c>
      <c r="E141">
        <v>1300</v>
      </c>
      <c r="H141" t="s">
        <v>72</v>
      </c>
      <c r="I141" s="1">
        <v>39706</v>
      </c>
      <c r="J141">
        <f t="shared" si="9"/>
        <v>120.4</v>
      </c>
      <c r="K141">
        <v>1220</v>
      </c>
      <c r="L141">
        <v>20.399999999999999</v>
      </c>
      <c r="M141">
        <v>60.92</v>
      </c>
      <c r="O141" t="s">
        <v>72</v>
      </c>
      <c r="P141" s="1">
        <v>39583</v>
      </c>
      <c r="Q141" s="36">
        <f t="shared" si="10"/>
        <v>119.6</v>
      </c>
      <c r="R141">
        <v>1220</v>
      </c>
      <c r="S141">
        <v>19.600000000000001</v>
      </c>
      <c r="T141">
        <v>60.72</v>
      </c>
      <c r="V141" t="s">
        <v>72</v>
      </c>
      <c r="W141" s="1">
        <v>39918</v>
      </c>
      <c r="X141">
        <f t="shared" si="11"/>
        <v>115.9</v>
      </c>
      <c r="Y141">
        <v>1300</v>
      </c>
      <c r="Z141">
        <v>15.9</v>
      </c>
      <c r="AA141">
        <v>58.38</v>
      </c>
    </row>
    <row r="142" spans="1:27" x14ac:dyDescent="0.2">
      <c r="A142" t="s">
        <v>72</v>
      </c>
      <c r="B142" s="1">
        <v>38852</v>
      </c>
      <c r="C142">
        <v>55.4</v>
      </c>
      <c r="D142">
        <f t="shared" si="8"/>
        <v>155.4</v>
      </c>
      <c r="E142">
        <v>1300</v>
      </c>
      <c r="H142" t="s">
        <v>72</v>
      </c>
      <c r="I142" s="1">
        <v>39767</v>
      </c>
      <c r="J142">
        <f t="shared" si="9"/>
        <v>121.9</v>
      </c>
      <c r="K142">
        <v>1220</v>
      </c>
      <c r="L142">
        <v>21.9</v>
      </c>
      <c r="M142">
        <v>61.81</v>
      </c>
      <c r="O142" t="s">
        <v>72</v>
      </c>
      <c r="P142" s="1">
        <v>39614</v>
      </c>
      <c r="Q142" s="36">
        <f t="shared" si="10"/>
        <v>122.6</v>
      </c>
      <c r="R142">
        <v>1220</v>
      </c>
      <c r="S142">
        <v>22.6</v>
      </c>
      <c r="T142">
        <v>62.18</v>
      </c>
      <c r="V142" t="s">
        <v>72</v>
      </c>
      <c r="W142" s="1">
        <v>39948</v>
      </c>
      <c r="X142">
        <f t="shared" si="11"/>
        <v>111.8</v>
      </c>
      <c r="Y142">
        <v>1300</v>
      </c>
      <c r="Z142">
        <v>11.8</v>
      </c>
      <c r="AA142">
        <v>56.24</v>
      </c>
    </row>
    <row r="143" spans="1:27" x14ac:dyDescent="0.2">
      <c r="A143" t="s">
        <v>72</v>
      </c>
      <c r="B143" s="1">
        <v>38883</v>
      </c>
      <c r="C143">
        <v>44.9</v>
      </c>
      <c r="D143">
        <f t="shared" si="8"/>
        <v>144.9</v>
      </c>
      <c r="E143">
        <v>1300</v>
      </c>
      <c r="H143" t="s">
        <v>72</v>
      </c>
      <c r="I143" s="1">
        <v>39797</v>
      </c>
      <c r="J143">
        <f t="shared" si="9"/>
        <v>122.6</v>
      </c>
      <c r="K143">
        <v>1220</v>
      </c>
      <c r="L143">
        <v>22.6</v>
      </c>
      <c r="M143">
        <v>62.12</v>
      </c>
      <c r="O143" t="s">
        <v>72</v>
      </c>
      <c r="P143" s="1">
        <v>39644</v>
      </c>
      <c r="Q143" s="36">
        <f t="shared" si="10"/>
        <v>125.2</v>
      </c>
      <c r="R143">
        <v>1220</v>
      </c>
      <c r="S143">
        <v>25.2</v>
      </c>
      <c r="T143">
        <v>63.76</v>
      </c>
      <c r="V143" t="s">
        <v>72</v>
      </c>
      <c r="W143" s="1">
        <v>39979</v>
      </c>
      <c r="X143">
        <f t="shared" si="11"/>
        <v>110.3</v>
      </c>
      <c r="Y143">
        <v>1300</v>
      </c>
      <c r="Z143">
        <v>10.3</v>
      </c>
      <c r="AA143">
        <v>55.46</v>
      </c>
    </row>
    <row r="144" spans="1:27" x14ac:dyDescent="0.2">
      <c r="A144" t="s">
        <v>72</v>
      </c>
      <c r="B144" s="1">
        <v>38913</v>
      </c>
      <c r="C144">
        <v>45.9</v>
      </c>
      <c r="D144">
        <f t="shared" si="8"/>
        <v>145.9</v>
      </c>
      <c r="E144">
        <v>1300</v>
      </c>
      <c r="H144" t="s">
        <v>72</v>
      </c>
      <c r="I144" s="1">
        <v>39828</v>
      </c>
      <c r="J144">
        <f t="shared" si="9"/>
        <v>103.9</v>
      </c>
      <c r="K144">
        <v>1220</v>
      </c>
      <c r="L144">
        <v>3.9</v>
      </c>
      <c r="M144">
        <v>51.99</v>
      </c>
      <c r="O144" t="s">
        <v>72</v>
      </c>
      <c r="P144" s="1">
        <v>39675</v>
      </c>
      <c r="Q144" s="36">
        <f t="shared" si="10"/>
        <v>120.2</v>
      </c>
      <c r="R144">
        <v>1220</v>
      </c>
      <c r="S144">
        <v>20.2</v>
      </c>
      <c r="T144">
        <v>60.54</v>
      </c>
      <c r="V144" t="s">
        <v>72</v>
      </c>
      <c r="W144" s="1">
        <v>40009</v>
      </c>
      <c r="X144">
        <f t="shared" si="11"/>
        <v>118.5</v>
      </c>
      <c r="Y144">
        <v>1300</v>
      </c>
      <c r="Z144">
        <v>18.5</v>
      </c>
      <c r="AA144">
        <v>59.63</v>
      </c>
    </row>
    <row r="145" spans="1:27" x14ac:dyDescent="0.2">
      <c r="A145" t="s">
        <v>72</v>
      </c>
      <c r="B145" s="1">
        <v>38944</v>
      </c>
      <c r="C145">
        <v>49</v>
      </c>
      <c r="D145">
        <f t="shared" si="8"/>
        <v>149</v>
      </c>
      <c r="E145">
        <v>1300</v>
      </c>
      <c r="H145" t="s">
        <v>72</v>
      </c>
      <c r="I145" s="1">
        <v>39859</v>
      </c>
      <c r="J145">
        <f t="shared" si="9"/>
        <v>112.7</v>
      </c>
      <c r="K145">
        <v>1220</v>
      </c>
      <c r="L145">
        <v>12.7</v>
      </c>
      <c r="M145">
        <v>56.69</v>
      </c>
      <c r="O145" t="s">
        <v>72</v>
      </c>
      <c r="P145" s="1">
        <v>39706</v>
      </c>
      <c r="Q145" s="36">
        <f t="shared" si="10"/>
        <v>120.4</v>
      </c>
      <c r="R145">
        <v>1220</v>
      </c>
      <c r="S145">
        <v>20.399999999999999</v>
      </c>
      <c r="T145">
        <v>60.92</v>
      </c>
      <c r="V145" t="s">
        <v>72</v>
      </c>
      <c r="W145" s="1">
        <v>40071</v>
      </c>
      <c r="X145">
        <f t="shared" si="11"/>
        <v>110.1</v>
      </c>
      <c r="Y145">
        <v>1300</v>
      </c>
      <c r="Z145">
        <v>10.1</v>
      </c>
      <c r="AA145">
        <v>55.29</v>
      </c>
    </row>
    <row r="146" spans="1:27" x14ac:dyDescent="0.2">
      <c r="A146" t="s">
        <v>72</v>
      </c>
      <c r="B146" s="1">
        <v>38975</v>
      </c>
      <c r="C146">
        <v>46</v>
      </c>
      <c r="D146">
        <f t="shared" si="8"/>
        <v>146</v>
      </c>
      <c r="E146">
        <v>1300</v>
      </c>
      <c r="H146" t="s">
        <v>72</v>
      </c>
      <c r="I146" s="1">
        <v>39872</v>
      </c>
      <c r="J146">
        <f t="shared" si="9"/>
        <v>126.8</v>
      </c>
      <c r="K146">
        <v>1220</v>
      </c>
      <c r="L146">
        <v>26.8</v>
      </c>
      <c r="M146">
        <v>64.08</v>
      </c>
      <c r="O146" t="s">
        <v>72</v>
      </c>
      <c r="P146" s="1">
        <v>39767</v>
      </c>
      <c r="Q146" s="36">
        <f t="shared" si="10"/>
        <v>121.9</v>
      </c>
      <c r="R146">
        <v>1220</v>
      </c>
      <c r="S146">
        <v>21.9</v>
      </c>
      <c r="T146">
        <v>61.81</v>
      </c>
      <c r="V146" t="s">
        <v>72</v>
      </c>
      <c r="W146" s="1">
        <v>40094</v>
      </c>
      <c r="X146">
        <f t="shared" si="11"/>
        <v>100</v>
      </c>
      <c r="Y146">
        <v>1300</v>
      </c>
      <c r="Z146">
        <v>0</v>
      </c>
      <c r="AA146">
        <v>50</v>
      </c>
    </row>
    <row r="147" spans="1:27" x14ac:dyDescent="0.2">
      <c r="A147" t="s">
        <v>72</v>
      </c>
      <c r="B147" s="1">
        <v>39036</v>
      </c>
      <c r="C147">
        <v>39</v>
      </c>
      <c r="D147">
        <f t="shared" si="8"/>
        <v>139</v>
      </c>
      <c r="E147">
        <v>1600</v>
      </c>
      <c r="H147" t="s">
        <v>72</v>
      </c>
      <c r="I147" s="1">
        <v>39887</v>
      </c>
      <c r="J147">
        <f t="shared" si="9"/>
        <v>128.69999999999999</v>
      </c>
      <c r="K147">
        <v>1220</v>
      </c>
      <c r="L147">
        <v>28.7</v>
      </c>
      <c r="M147">
        <v>65.959999999999994</v>
      </c>
      <c r="O147" t="s">
        <v>72</v>
      </c>
      <c r="P147" s="1">
        <v>39797</v>
      </c>
      <c r="Q147" s="36">
        <f t="shared" si="10"/>
        <v>122.6</v>
      </c>
      <c r="R147">
        <v>1220</v>
      </c>
      <c r="S147">
        <v>22.6</v>
      </c>
      <c r="T147">
        <v>62.12</v>
      </c>
      <c r="V147" t="s">
        <v>72</v>
      </c>
      <c r="W147" s="1">
        <v>40132</v>
      </c>
      <c r="X147">
        <f t="shared" si="11"/>
        <v>106.5</v>
      </c>
      <c r="Y147">
        <v>1300</v>
      </c>
      <c r="Z147">
        <v>6.5</v>
      </c>
      <c r="AA147">
        <v>53.42</v>
      </c>
    </row>
    <row r="148" spans="1:27" x14ac:dyDescent="0.2">
      <c r="A148" t="s">
        <v>72</v>
      </c>
      <c r="B148" s="1">
        <v>39128</v>
      </c>
      <c r="C148">
        <v>40.5</v>
      </c>
      <c r="D148">
        <f t="shared" si="8"/>
        <v>140.5</v>
      </c>
      <c r="E148">
        <v>1300</v>
      </c>
      <c r="H148" t="s">
        <v>72</v>
      </c>
      <c r="I148" s="1">
        <v>39918</v>
      </c>
      <c r="J148">
        <f t="shared" si="9"/>
        <v>115.9</v>
      </c>
      <c r="K148">
        <v>1220</v>
      </c>
      <c r="L148">
        <v>15.9</v>
      </c>
      <c r="M148">
        <v>58.38</v>
      </c>
      <c r="O148" t="s">
        <v>72</v>
      </c>
      <c r="P148" s="1">
        <v>39828</v>
      </c>
      <c r="Q148" s="36">
        <f t="shared" si="10"/>
        <v>103.9</v>
      </c>
      <c r="R148">
        <v>1220</v>
      </c>
      <c r="S148">
        <v>3.9</v>
      </c>
      <c r="T148">
        <v>51.99</v>
      </c>
      <c r="V148" t="s">
        <v>72</v>
      </c>
      <c r="W148" s="1">
        <v>40162</v>
      </c>
      <c r="X148">
        <f t="shared" si="11"/>
        <v>101.9</v>
      </c>
      <c r="Y148">
        <v>1300</v>
      </c>
      <c r="Z148">
        <v>1.9</v>
      </c>
      <c r="AA148">
        <v>51.04</v>
      </c>
    </row>
    <row r="149" spans="1:27" x14ac:dyDescent="0.2">
      <c r="A149" t="s">
        <v>72</v>
      </c>
      <c r="B149" s="1">
        <v>39156</v>
      </c>
      <c r="C149">
        <v>35.1</v>
      </c>
      <c r="D149">
        <f t="shared" si="8"/>
        <v>135.1</v>
      </c>
      <c r="E149">
        <v>1300</v>
      </c>
      <c r="H149" t="s">
        <v>72</v>
      </c>
      <c r="I149" s="1">
        <v>39948</v>
      </c>
      <c r="J149">
        <f t="shared" si="9"/>
        <v>111.8</v>
      </c>
      <c r="K149">
        <v>1220</v>
      </c>
      <c r="L149">
        <v>11.8</v>
      </c>
      <c r="M149">
        <v>56.24</v>
      </c>
      <c r="O149" t="s">
        <v>72</v>
      </c>
      <c r="P149" s="1">
        <v>39859</v>
      </c>
      <c r="Q149" s="36">
        <f t="shared" si="10"/>
        <v>112.7</v>
      </c>
      <c r="R149">
        <v>1220</v>
      </c>
      <c r="S149">
        <v>12.7</v>
      </c>
      <c r="T149">
        <v>56.69</v>
      </c>
      <c r="V149" t="s">
        <v>72</v>
      </c>
      <c r="W149" s="1">
        <v>40224</v>
      </c>
      <c r="X149">
        <f t="shared" si="11"/>
        <v>89.6</v>
      </c>
      <c r="Y149">
        <v>1300</v>
      </c>
      <c r="Z149">
        <v>-10.4</v>
      </c>
      <c r="AA149">
        <v>44.56</v>
      </c>
    </row>
    <row r="150" spans="1:27" x14ac:dyDescent="0.2">
      <c r="A150" t="s">
        <v>72</v>
      </c>
      <c r="B150" s="1">
        <v>39209</v>
      </c>
      <c r="C150">
        <v>34</v>
      </c>
      <c r="D150">
        <f t="shared" si="8"/>
        <v>134</v>
      </c>
      <c r="E150">
        <v>1300</v>
      </c>
      <c r="H150" t="s">
        <v>72</v>
      </c>
      <c r="I150" s="1">
        <v>39979</v>
      </c>
      <c r="J150">
        <f t="shared" si="9"/>
        <v>110.3</v>
      </c>
      <c r="K150">
        <v>1220</v>
      </c>
      <c r="L150">
        <v>10.3</v>
      </c>
      <c r="M150">
        <v>55.46</v>
      </c>
      <c r="O150" t="s">
        <v>72</v>
      </c>
      <c r="P150" s="1">
        <v>39872</v>
      </c>
      <c r="Q150" s="36">
        <f t="shared" si="10"/>
        <v>126.8</v>
      </c>
      <c r="R150">
        <v>1220</v>
      </c>
      <c r="S150">
        <v>26.8</v>
      </c>
      <c r="T150">
        <v>64.08</v>
      </c>
      <c r="V150" t="s">
        <v>72</v>
      </c>
      <c r="W150" s="1">
        <v>40283</v>
      </c>
      <c r="X150">
        <f t="shared" si="11"/>
        <v>93.4</v>
      </c>
      <c r="Y150">
        <v>1300</v>
      </c>
      <c r="Z150">
        <v>-6.6</v>
      </c>
      <c r="AA150">
        <v>46.54</v>
      </c>
    </row>
    <row r="151" spans="1:27" x14ac:dyDescent="0.2">
      <c r="A151" t="s">
        <v>72</v>
      </c>
      <c r="B151" s="1">
        <v>39223</v>
      </c>
      <c r="C151">
        <v>19.5</v>
      </c>
      <c r="D151">
        <f t="shared" si="8"/>
        <v>119.5</v>
      </c>
      <c r="E151">
        <v>1300</v>
      </c>
      <c r="H151" t="s">
        <v>72</v>
      </c>
      <c r="I151" s="1">
        <v>40009</v>
      </c>
      <c r="J151">
        <f t="shared" si="9"/>
        <v>118.5</v>
      </c>
      <c r="K151">
        <v>1220</v>
      </c>
      <c r="L151">
        <v>18.5</v>
      </c>
      <c r="M151">
        <v>59.63</v>
      </c>
      <c r="O151" t="s">
        <v>72</v>
      </c>
      <c r="P151" s="1">
        <v>39887</v>
      </c>
      <c r="Q151" s="36">
        <f t="shared" si="10"/>
        <v>128.69999999999999</v>
      </c>
      <c r="R151">
        <v>1220</v>
      </c>
      <c r="S151">
        <v>28.7</v>
      </c>
      <c r="T151">
        <v>65.959999999999994</v>
      </c>
      <c r="V151" t="s">
        <v>72</v>
      </c>
      <c r="W151" s="1">
        <v>40313</v>
      </c>
      <c r="X151">
        <f t="shared" si="11"/>
        <v>100</v>
      </c>
      <c r="Y151">
        <v>1300</v>
      </c>
      <c r="Z151">
        <v>0</v>
      </c>
      <c r="AA151">
        <v>50</v>
      </c>
    </row>
    <row r="152" spans="1:27" x14ac:dyDescent="0.2">
      <c r="A152" t="s">
        <v>72</v>
      </c>
      <c r="B152" s="1">
        <v>39248</v>
      </c>
      <c r="C152">
        <v>36.799999999999997</v>
      </c>
      <c r="D152">
        <f t="shared" si="8"/>
        <v>136.80000000000001</v>
      </c>
      <c r="E152">
        <v>1300</v>
      </c>
      <c r="H152" t="s">
        <v>72</v>
      </c>
      <c r="I152" s="1">
        <v>40071</v>
      </c>
      <c r="J152">
        <f t="shared" si="9"/>
        <v>110.1</v>
      </c>
      <c r="K152">
        <v>1220</v>
      </c>
      <c r="L152">
        <v>10.1</v>
      </c>
      <c r="M152">
        <v>55.29</v>
      </c>
      <c r="O152" t="s">
        <v>72</v>
      </c>
      <c r="P152" s="1">
        <v>39918</v>
      </c>
      <c r="Q152" s="36">
        <f t="shared" si="10"/>
        <v>115.9</v>
      </c>
      <c r="R152">
        <v>1220</v>
      </c>
      <c r="S152">
        <v>15.9</v>
      </c>
      <c r="T152">
        <v>58.38</v>
      </c>
      <c r="V152" t="s">
        <v>72</v>
      </c>
      <c r="W152" s="1">
        <v>40344</v>
      </c>
      <c r="X152">
        <f t="shared" si="11"/>
        <v>97</v>
      </c>
      <c r="Y152">
        <v>1300</v>
      </c>
      <c r="Z152">
        <v>-3</v>
      </c>
      <c r="AA152">
        <v>48.45</v>
      </c>
    </row>
    <row r="153" spans="1:27" x14ac:dyDescent="0.2">
      <c r="A153" t="s">
        <v>72</v>
      </c>
      <c r="B153" s="1">
        <v>39278</v>
      </c>
      <c r="C153">
        <v>26.4</v>
      </c>
      <c r="D153">
        <f t="shared" si="8"/>
        <v>126.4</v>
      </c>
      <c r="E153">
        <v>1300</v>
      </c>
      <c r="H153" t="s">
        <v>72</v>
      </c>
      <c r="I153" s="1">
        <v>40094</v>
      </c>
      <c r="J153">
        <f t="shared" si="9"/>
        <v>100</v>
      </c>
      <c r="K153">
        <v>1220</v>
      </c>
      <c r="L153">
        <v>0</v>
      </c>
      <c r="M153">
        <v>50</v>
      </c>
      <c r="O153" t="s">
        <v>72</v>
      </c>
      <c r="P153" s="1">
        <v>39948</v>
      </c>
      <c r="Q153" s="36">
        <f t="shared" si="10"/>
        <v>111.8</v>
      </c>
      <c r="R153">
        <v>1220</v>
      </c>
      <c r="S153">
        <v>11.8</v>
      </c>
      <c r="T153">
        <v>56.24</v>
      </c>
      <c r="V153" t="s">
        <v>72</v>
      </c>
      <c r="W153" s="1">
        <v>40405</v>
      </c>
      <c r="X153">
        <f t="shared" si="11"/>
        <v>92.7</v>
      </c>
      <c r="Y153">
        <v>1300</v>
      </c>
      <c r="Z153">
        <v>-7.3</v>
      </c>
      <c r="AA153">
        <v>46.23</v>
      </c>
    </row>
    <row r="154" spans="1:27" x14ac:dyDescent="0.2">
      <c r="A154" t="s">
        <v>72</v>
      </c>
      <c r="B154" s="1">
        <v>39340</v>
      </c>
      <c r="C154">
        <v>33.200000000000003</v>
      </c>
      <c r="D154">
        <f t="shared" si="8"/>
        <v>133.19999999999999</v>
      </c>
      <c r="E154">
        <v>1300</v>
      </c>
      <c r="H154" t="s">
        <v>72</v>
      </c>
      <c r="I154" s="1">
        <v>40132</v>
      </c>
      <c r="J154">
        <f t="shared" si="9"/>
        <v>106.5</v>
      </c>
      <c r="K154">
        <v>1220</v>
      </c>
      <c r="L154">
        <v>6.5</v>
      </c>
      <c r="M154">
        <v>53.42</v>
      </c>
      <c r="O154" t="s">
        <v>72</v>
      </c>
      <c r="P154" s="1">
        <v>39979</v>
      </c>
      <c r="Q154" s="36">
        <f t="shared" si="10"/>
        <v>110.3</v>
      </c>
      <c r="R154">
        <v>1220</v>
      </c>
      <c r="S154">
        <v>10.3</v>
      </c>
      <c r="T154">
        <v>55.46</v>
      </c>
      <c r="V154" t="s">
        <v>72</v>
      </c>
      <c r="W154" s="1">
        <v>40436</v>
      </c>
      <c r="X154">
        <f t="shared" si="11"/>
        <v>95</v>
      </c>
      <c r="Y154">
        <v>1300</v>
      </c>
      <c r="Z154">
        <v>-5</v>
      </c>
      <c r="AA154">
        <v>47.38</v>
      </c>
    </row>
    <row r="155" spans="1:27" x14ac:dyDescent="0.2">
      <c r="A155" t="s">
        <v>72</v>
      </c>
      <c r="B155" s="1">
        <v>39370</v>
      </c>
      <c r="C155">
        <v>29</v>
      </c>
      <c r="D155">
        <f t="shared" si="8"/>
        <v>129</v>
      </c>
      <c r="E155">
        <v>1300</v>
      </c>
      <c r="H155" t="s">
        <v>72</v>
      </c>
      <c r="I155" s="1">
        <v>40162</v>
      </c>
      <c r="J155">
        <f t="shared" si="9"/>
        <v>101.9</v>
      </c>
      <c r="K155">
        <v>1220</v>
      </c>
      <c r="L155">
        <v>1.9</v>
      </c>
      <c r="M155">
        <v>51.04</v>
      </c>
      <c r="O155" t="s">
        <v>72</v>
      </c>
      <c r="P155" s="1">
        <v>40009</v>
      </c>
      <c r="Q155" s="36">
        <f t="shared" si="10"/>
        <v>118.5</v>
      </c>
      <c r="R155">
        <v>1220</v>
      </c>
      <c r="S155">
        <v>18.5</v>
      </c>
      <c r="T155">
        <v>59.63</v>
      </c>
      <c r="V155" t="s">
        <v>72</v>
      </c>
      <c r="W155" s="1">
        <v>40497</v>
      </c>
      <c r="X155">
        <f t="shared" si="11"/>
        <v>97.8</v>
      </c>
      <c r="Y155">
        <v>1300</v>
      </c>
      <c r="Z155">
        <v>-2.2000000000000002</v>
      </c>
      <c r="AA155">
        <v>48.87</v>
      </c>
    </row>
    <row r="156" spans="1:27" x14ac:dyDescent="0.2">
      <c r="A156" t="s">
        <v>72</v>
      </c>
      <c r="B156" s="1">
        <v>39401</v>
      </c>
      <c r="C156">
        <v>9.1</v>
      </c>
      <c r="D156">
        <f t="shared" si="8"/>
        <v>109.1</v>
      </c>
      <c r="E156">
        <v>1300</v>
      </c>
      <c r="H156" t="s">
        <v>72</v>
      </c>
      <c r="I156" s="1">
        <v>40224</v>
      </c>
      <c r="J156">
        <f t="shared" si="9"/>
        <v>89.6</v>
      </c>
      <c r="K156">
        <v>1220</v>
      </c>
      <c r="L156">
        <v>-10.4</v>
      </c>
      <c r="M156">
        <v>44.56</v>
      </c>
      <c r="O156" t="s">
        <v>72</v>
      </c>
      <c r="P156" s="1">
        <v>40071</v>
      </c>
      <c r="Q156" s="36">
        <f t="shared" si="10"/>
        <v>110.1</v>
      </c>
      <c r="R156">
        <v>1220</v>
      </c>
      <c r="S156">
        <v>10.1</v>
      </c>
      <c r="T156">
        <v>55.29</v>
      </c>
      <c r="V156" t="s">
        <v>72</v>
      </c>
      <c r="W156" s="1">
        <v>40527</v>
      </c>
      <c r="X156">
        <f t="shared" si="11"/>
        <v>109.6</v>
      </c>
      <c r="Y156">
        <v>1300</v>
      </c>
      <c r="Z156">
        <v>9.6</v>
      </c>
      <c r="AA156">
        <v>54.89</v>
      </c>
    </row>
    <row r="157" spans="1:27" x14ac:dyDescent="0.2">
      <c r="A157" t="s">
        <v>72</v>
      </c>
      <c r="B157" s="1">
        <v>39493</v>
      </c>
      <c r="C157">
        <v>11.5</v>
      </c>
      <c r="D157">
        <f t="shared" si="8"/>
        <v>111.5</v>
      </c>
      <c r="E157">
        <v>1300</v>
      </c>
      <c r="H157" t="s">
        <v>72</v>
      </c>
      <c r="I157" s="1">
        <v>40283</v>
      </c>
      <c r="J157">
        <f t="shared" si="9"/>
        <v>93.4</v>
      </c>
      <c r="K157">
        <v>1220</v>
      </c>
      <c r="L157">
        <v>-6.6</v>
      </c>
      <c r="M157">
        <v>46.54</v>
      </c>
      <c r="O157" t="s">
        <v>72</v>
      </c>
      <c r="P157" s="1">
        <v>40094</v>
      </c>
      <c r="Q157" s="36">
        <f t="shared" si="10"/>
        <v>100</v>
      </c>
      <c r="R157">
        <v>1220</v>
      </c>
      <c r="S157">
        <v>0</v>
      </c>
      <c r="T157">
        <v>50</v>
      </c>
      <c r="V157" t="s">
        <v>72</v>
      </c>
      <c r="W157" s="1">
        <v>40589</v>
      </c>
      <c r="X157">
        <f t="shared" si="11"/>
        <v>112.7</v>
      </c>
      <c r="Y157">
        <v>1300</v>
      </c>
      <c r="Z157">
        <v>12.7</v>
      </c>
      <c r="AA157">
        <v>56.58</v>
      </c>
    </row>
    <row r="158" spans="1:27" x14ac:dyDescent="0.2">
      <c r="A158" t="s">
        <v>72</v>
      </c>
      <c r="B158" s="1">
        <v>39553</v>
      </c>
      <c r="C158">
        <v>16.8</v>
      </c>
      <c r="D158">
        <f t="shared" si="8"/>
        <v>116.8</v>
      </c>
      <c r="E158">
        <v>1300</v>
      </c>
      <c r="H158" t="s">
        <v>72</v>
      </c>
      <c r="I158" s="1">
        <v>40313</v>
      </c>
      <c r="J158">
        <f t="shared" si="9"/>
        <v>100</v>
      </c>
      <c r="K158">
        <v>1220</v>
      </c>
      <c r="L158">
        <v>0</v>
      </c>
      <c r="M158">
        <v>50</v>
      </c>
      <c r="O158" t="s">
        <v>72</v>
      </c>
      <c r="P158" s="1">
        <v>40132</v>
      </c>
      <c r="Q158" s="36">
        <f t="shared" si="10"/>
        <v>106.5</v>
      </c>
      <c r="R158">
        <v>1220</v>
      </c>
      <c r="S158">
        <v>6.5</v>
      </c>
      <c r="T158">
        <v>53.42</v>
      </c>
      <c r="V158" t="s">
        <v>72</v>
      </c>
      <c r="W158" s="1">
        <v>40648</v>
      </c>
      <c r="X158">
        <f t="shared" si="11"/>
        <v>107.7</v>
      </c>
      <c r="Y158">
        <v>1300</v>
      </c>
      <c r="Z158">
        <v>7.7</v>
      </c>
      <c r="AA158">
        <v>53.96</v>
      </c>
    </row>
    <row r="159" spans="1:27" x14ac:dyDescent="0.2">
      <c r="A159" t="s">
        <v>72</v>
      </c>
      <c r="B159" s="1">
        <v>39583</v>
      </c>
      <c r="C159">
        <v>19.600000000000001</v>
      </c>
      <c r="D159">
        <f t="shared" si="8"/>
        <v>119.6</v>
      </c>
      <c r="E159">
        <v>1300</v>
      </c>
      <c r="H159" t="s">
        <v>72</v>
      </c>
      <c r="I159" s="1">
        <v>40344</v>
      </c>
      <c r="J159">
        <f t="shared" si="9"/>
        <v>97</v>
      </c>
      <c r="K159">
        <v>1220</v>
      </c>
      <c r="L159">
        <v>-3</v>
      </c>
      <c r="M159">
        <v>48.45</v>
      </c>
      <c r="O159" t="s">
        <v>72</v>
      </c>
      <c r="P159" s="1">
        <v>40162</v>
      </c>
      <c r="Q159" s="36">
        <f t="shared" si="10"/>
        <v>101.9</v>
      </c>
      <c r="R159">
        <v>1220</v>
      </c>
      <c r="S159">
        <v>1.9</v>
      </c>
      <c r="T159">
        <v>51.04</v>
      </c>
      <c r="V159" t="s">
        <v>72</v>
      </c>
      <c r="W159" s="1">
        <v>40678</v>
      </c>
      <c r="X159">
        <f t="shared" si="11"/>
        <v>102.9</v>
      </c>
      <c r="Y159">
        <v>1300</v>
      </c>
      <c r="Z159">
        <v>2.9</v>
      </c>
      <c r="AA159">
        <v>51.52</v>
      </c>
    </row>
    <row r="160" spans="1:27" x14ac:dyDescent="0.2">
      <c r="A160" t="s">
        <v>72</v>
      </c>
      <c r="B160" s="1">
        <v>39614</v>
      </c>
      <c r="C160">
        <v>22.6</v>
      </c>
      <c r="D160">
        <f t="shared" si="8"/>
        <v>122.6</v>
      </c>
      <c r="E160">
        <v>1300</v>
      </c>
      <c r="H160" t="s">
        <v>72</v>
      </c>
      <c r="I160" s="1">
        <v>40405</v>
      </c>
      <c r="J160">
        <f t="shared" si="9"/>
        <v>92.7</v>
      </c>
      <c r="K160">
        <v>1220</v>
      </c>
      <c r="L160">
        <v>-7.3</v>
      </c>
      <c r="M160">
        <v>46.23</v>
      </c>
      <c r="O160" t="s">
        <v>72</v>
      </c>
      <c r="P160" s="1">
        <v>40224</v>
      </c>
      <c r="Q160" s="36">
        <f t="shared" si="10"/>
        <v>89.6</v>
      </c>
      <c r="R160">
        <v>1220</v>
      </c>
      <c r="S160">
        <v>-10.4</v>
      </c>
      <c r="T160">
        <v>44.56</v>
      </c>
      <c r="V160" t="s">
        <v>72</v>
      </c>
      <c r="W160" s="1">
        <v>40709</v>
      </c>
      <c r="X160">
        <f t="shared" si="11"/>
        <v>109.6</v>
      </c>
      <c r="Y160">
        <v>1300</v>
      </c>
      <c r="Z160">
        <v>9.6</v>
      </c>
      <c r="AA160">
        <v>55.1</v>
      </c>
    </row>
    <row r="161" spans="1:27" x14ac:dyDescent="0.2">
      <c r="A161" t="s">
        <v>72</v>
      </c>
      <c r="B161" s="1">
        <v>39644</v>
      </c>
      <c r="C161">
        <v>25.2</v>
      </c>
      <c r="D161">
        <f t="shared" si="8"/>
        <v>125.2</v>
      </c>
      <c r="E161">
        <v>1300</v>
      </c>
      <c r="H161" t="s">
        <v>72</v>
      </c>
      <c r="I161" s="1">
        <v>40436</v>
      </c>
      <c r="J161">
        <f t="shared" si="9"/>
        <v>95</v>
      </c>
      <c r="K161">
        <v>1220</v>
      </c>
      <c r="L161">
        <v>-5</v>
      </c>
      <c r="M161">
        <v>47.38</v>
      </c>
      <c r="O161" t="s">
        <v>72</v>
      </c>
      <c r="P161" s="1">
        <v>40283</v>
      </c>
      <c r="Q161" s="36">
        <f t="shared" si="10"/>
        <v>93.4</v>
      </c>
      <c r="R161">
        <v>1220</v>
      </c>
      <c r="S161">
        <v>-6.6</v>
      </c>
      <c r="T161">
        <v>46.54</v>
      </c>
      <c r="V161" t="s">
        <v>72</v>
      </c>
      <c r="W161" s="1">
        <v>40739</v>
      </c>
      <c r="X161">
        <f t="shared" si="11"/>
        <v>104.9</v>
      </c>
      <c r="Y161">
        <v>1300</v>
      </c>
      <c r="Z161">
        <v>4.9000000000000004</v>
      </c>
      <c r="AA161">
        <v>52.55</v>
      </c>
    </row>
    <row r="162" spans="1:27" x14ac:dyDescent="0.2">
      <c r="A162" t="s">
        <v>72</v>
      </c>
      <c r="B162" s="1">
        <v>39675</v>
      </c>
      <c r="C162">
        <v>20.2</v>
      </c>
      <c r="D162">
        <f t="shared" si="8"/>
        <v>120.2</v>
      </c>
      <c r="E162">
        <v>1300</v>
      </c>
      <c r="H162" t="s">
        <v>72</v>
      </c>
      <c r="I162" s="1">
        <v>40497</v>
      </c>
      <c r="J162">
        <f t="shared" si="9"/>
        <v>97.8</v>
      </c>
      <c r="K162">
        <v>1220</v>
      </c>
      <c r="L162">
        <v>-2.2000000000000002</v>
      </c>
      <c r="M162">
        <v>48.87</v>
      </c>
      <c r="O162" t="s">
        <v>72</v>
      </c>
      <c r="P162" s="1">
        <v>40313</v>
      </c>
      <c r="Q162" s="36">
        <f t="shared" si="10"/>
        <v>100</v>
      </c>
      <c r="R162">
        <v>1220</v>
      </c>
      <c r="S162">
        <v>0</v>
      </c>
      <c r="T162">
        <v>50</v>
      </c>
      <c r="V162" t="s">
        <v>72</v>
      </c>
      <c r="W162" s="1">
        <v>40770</v>
      </c>
      <c r="X162">
        <f t="shared" si="11"/>
        <v>104.4</v>
      </c>
      <c r="Y162">
        <v>1300</v>
      </c>
      <c r="Z162">
        <v>4.4000000000000004</v>
      </c>
      <c r="AA162">
        <v>52.37</v>
      </c>
    </row>
    <row r="163" spans="1:27" x14ac:dyDescent="0.2">
      <c r="A163" t="s">
        <v>72</v>
      </c>
      <c r="B163" s="1">
        <v>39706</v>
      </c>
      <c r="C163">
        <v>20.399999999999999</v>
      </c>
      <c r="D163">
        <f t="shared" si="8"/>
        <v>120.4</v>
      </c>
      <c r="E163">
        <v>1300</v>
      </c>
      <c r="H163" t="s">
        <v>72</v>
      </c>
      <c r="I163" s="1">
        <v>40527</v>
      </c>
      <c r="J163">
        <f t="shared" si="9"/>
        <v>109.6</v>
      </c>
      <c r="K163">
        <v>1220</v>
      </c>
      <c r="L163">
        <v>9.6</v>
      </c>
      <c r="M163">
        <v>54.89</v>
      </c>
      <c r="O163" t="s">
        <v>72</v>
      </c>
      <c r="P163" s="1">
        <v>40344</v>
      </c>
      <c r="Q163" s="36">
        <f t="shared" si="10"/>
        <v>97</v>
      </c>
      <c r="R163">
        <v>1220</v>
      </c>
      <c r="S163">
        <v>-3</v>
      </c>
      <c r="T163">
        <v>48.45</v>
      </c>
      <c r="V163" t="s">
        <v>72</v>
      </c>
      <c r="W163" s="1">
        <v>40801</v>
      </c>
      <c r="X163">
        <f t="shared" si="11"/>
        <v>122.4</v>
      </c>
      <c r="Y163">
        <v>1300</v>
      </c>
      <c r="Z163">
        <v>22.4</v>
      </c>
      <c r="AA163">
        <v>61.74</v>
      </c>
    </row>
    <row r="164" spans="1:27" x14ac:dyDescent="0.2">
      <c r="A164" t="s">
        <v>72</v>
      </c>
      <c r="B164" s="1">
        <v>39767</v>
      </c>
      <c r="C164">
        <v>21.9</v>
      </c>
      <c r="D164">
        <f t="shared" si="8"/>
        <v>121.9</v>
      </c>
      <c r="E164">
        <v>1300</v>
      </c>
      <c r="H164" t="s">
        <v>72</v>
      </c>
      <c r="I164" s="1">
        <v>40589</v>
      </c>
      <c r="J164">
        <f t="shared" si="9"/>
        <v>112.7</v>
      </c>
      <c r="K164">
        <v>1220</v>
      </c>
      <c r="L164">
        <v>12.7</v>
      </c>
      <c r="M164">
        <v>56.58</v>
      </c>
      <c r="O164" t="s">
        <v>72</v>
      </c>
      <c r="P164" s="1">
        <v>40405</v>
      </c>
      <c r="Q164" s="36">
        <f t="shared" si="10"/>
        <v>92.7</v>
      </c>
      <c r="R164">
        <v>1220</v>
      </c>
      <c r="S164">
        <v>-7.3</v>
      </c>
      <c r="T164">
        <v>46.23</v>
      </c>
      <c r="V164" t="s">
        <v>72</v>
      </c>
      <c r="W164" s="1">
        <v>40831</v>
      </c>
      <c r="X164">
        <f t="shared" si="11"/>
        <v>110.2</v>
      </c>
      <c r="Y164">
        <v>1300</v>
      </c>
      <c r="Z164">
        <v>10.199999999999999</v>
      </c>
      <c r="AA164">
        <v>55.31</v>
      </c>
    </row>
    <row r="165" spans="1:27" x14ac:dyDescent="0.2">
      <c r="A165" t="s">
        <v>72</v>
      </c>
      <c r="B165" s="1">
        <v>39797</v>
      </c>
      <c r="C165">
        <v>22.6</v>
      </c>
      <c r="D165">
        <f t="shared" si="8"/>
        <v>122.6</v>
      </c>
      <c r="E165">
        <v>1300</v>
      </c>
      <c r="H165" t="s">
        <v>72</v>
      </c>
      <c r="I165" s="1">
        <v>40648</v>
      </c>
      <c r="J165">
        <f t="shared" si="9"/>
        <v>107.7</v>
      </c>
      <c r="K165">
        <v>1220</v>
      </c>
      <c r="L165">
        <v>7.7</v>
      </c>
      <c r="M165">
        <v>53.96</v>
      </c>
      <c r="O165" t="s">
        <v>72</v>
      </c>
      <c r="P165" s="1">
        <v>40436</v>
      </c>
      <c r="Q165" s="36">
        <f t="shared" si="10"/>
        <v>95</v>
      </c>
      <c r="R165">
        <v>1220</v>
      </c>
      <c r="S165">
        <v>-5</v>
      </c>
      <c r="T165">
        <v>47.38</v>
      </c>
      <c r="V165" t="s">
        <v>72</v>
      </c>
      <c r="W165" s="1">
        <v>40862</v>
      </c>
      <c r="X165">
        <f t="shared" si="11"/>
        <v>106.4</v>
      </c>
      <c r="Y165">
        <v>1300</v>
      </c>
      <c r="Z165">
        <v>6.4</v>
      </c>
      <c r="AA165">
        <v>53.35</v>
      </c>
    </row>
    <row r="166" spans="1:27" x14ac:dyDescent="0.2">
      <c r="A166" t="s">
        <v>72</v>
      </c>
      <c r="B166" s="1">
        <v>39828</v>
      </c>
      <c r="C166">
        <v>3.9</v>
      </c>
      <c r="D166">
        <f t="shared" si="8"/>
        <v>103.9</v>
      </c>
      <c r="E166">
        <v>1300</v>
      </c>
      <c r="H166" t="s">
        <v>72</v>
      </c>
      <c r="I166" s="1">
        <v>40678</v>
      </c>
      <c r="J166">
        <f t="shared" si="9"/>
        <v>102.9</v>
      </c>
      <c r="K166">
        <v>1220</v>
      </c>
      <c r="L166">
        <v>2.9</v>
      </c>
      <c r="M166">
        <v>51.52</v>
      </c>
      <c r="O166" t="s">
        <v>72</v>
      </c>
      <c r="P166" s="1">
        <v>40497</v>
      </c>
      <c r="Q166" s="36">
        <f t="shared" si="10"/>
        <v>97.8</v>
      </c>
      <c r="R166">
        <v>1220</v>
      </c>
      <c r="S166">
        <v>-2.2000000000000002</v>
      </c>
      <c r="T166">
        <v>48.87</v>
      </c>
      <c r="V166" t="s">
        <v>72</v>
      </c>
      <c r="W166" s="1">
        <v>40877</v>
      </c>
      <c r="X166">
        <f t="shared" si="11"/>
        <v>110.1</v>
      </c>
      <c r="Y166">
        <v>1300</v>
      </c>
      <c r="Z166">
        <v>10.1</v>
      </c>
      <c r="AA166">
        <v>55.28</v>
      </c>
    </row>
    <row r="167" spans="1:27" x14ac:dyDescent="0.2">
      <c r="A167" t="s">
        <v>72</v>
      </c>
      <c r="B167" s="1">
        <v>39859</v>
      </c>
      <c r="C167">
        <v>12.7</v>
      </c>
      <c r="D167">
        <f t="shared" si="8"/>
        <v>112.7</v>
      </c>
      <c r="E167">
        <v>1300</v>
      </c>
      <c r="H167" t="s">
        <v>72</v>
      </c>
      <c r="I167" s="1">
        <v>40709</v>
      </c>
      <c r="J167">
        <f t="shared" si="9"/>
        <v>109.6</v>
      </c>
      <c r="K167">
        <v>1220</v>
      </c>
      <c r="L167">
        <v>9.6</v>
      </c>
      <c r="M167">
        <v>55.1</v>
      </c>
      <c r="O167" t="s">
        <v>72</v>
      </c>
      <c r="P167" s="1">
        <v>40527</v>
      </c>
      <c r="Q167" s="36">
        <f t="shared" si="10"/>
        <v>109.6</v>
      </c>
      <c r="R167">
        <v>1220</v>
      </c>
      <c r="S167">
        <v>9.6</v>
      </c>
      <c r="T167">
        <v>54.89</v>
      </c>
      <c r="V167" t="s">
        <v>72</v>
      </c>
      <c r="W167" s="1">
        <v>40892</v>
      </c>
      <c r="X167">
        <f t="shared" si="11"/>
        <v>115.5</v>
      </c>
      <c r="Y167">
        <v>1300</v>
      </c>
      <c r="Z167">
        <v>15.5</v>
      </c>
      <c r="AA167">
        <v>58.03</v>
      </c>
    </row>
    <row r="168" spans="1:27" x14ac:dyDescent="0.2">
      <c r="A168" t="s">
        <v>72</v>
      </c>
      <c r="B168" s="1">
        <v>39872</v>
      </c>
      <c r="C168">
        <v>26.8</v>
      </c>
      <c r="D168">
        <f t="shared" si="8"/>
        <v>126.8</v>
      </c>
      <c r="E168">
        <v>1300</v>
      </c>
      <c r="H168" t="s">
        <v>72</v>
      </c>
      <c r="I168" s="1">
        <v>40739</v>
      </c>
      <c r="J168">
        <f t="shared" si="9"/>
        <v>104.9</v>
      </c>
      <c r="K168">
        <v>1220</v>
      </c>
      <c r="L168">
        <v>4.9000000000000004</v>
      </c>
      <c r="M168">
        <v>52.55</v>
      </c>
      <c r="O168" t="s">
        <v>72</v>
      </c>
      <c r="P168" s="1">
        <v>40589</v>
      </c>
      <c r="Q168" s="36">
        <f t="shared" si="10"/>
        <v>112.7</v>
      </c>
      <c r="R168">
        <v>1220</v>
      </c>
      <c r="S168">
        <v>12.7</v>
      </c>
      <c r="T168">
        <v>56.58</v>
      </c>
      <c r="V168" t="s">
        <v>72</v>
      </c>
      <c r="W168" s="1">
        <v>40954</v>
      </c>
      <c r="X168">
        <f t="shared" si="11"/>
        <v>119.8</v>
      </c>
      <c r="Y168">
        <v>1300</v>
      </c>
      <c r="Z168">
        <v>19.8</v>
      </c>
      <c r="AA168">
        <v>60.12</v>
      </c>
    </row>
    <row r="169" spans="1:27" x14ac:dyDescent="0.2">
      <c r="A169" t="s">
        <v>72</v>
      </c>
      <c r="B169" s="1">
        <v>39887</v>
      </c>
      <c r="C169">
        <v>28.7</v>
      </c>
      <c r="D169">
        <f t="shared" si="8"/>
        <v>128.69999999999999</v>
      </c>
      <c r="E169">
        <v>1300</v>
      </c>
      <c r="H169" t="s">
        <v>72</v>
      </c>
      <c r="I169" s="1">
        <v>40770</v>
      </c>
      <c r="J169">
        <f t="shared" si="9"/>
        <v>104.4</v>
      </c>
      <c r="K169">
        <v>1220</v>
      </c>
      <c r="L169">
        <v>4.4000000000000004</v>
      </c>
      <c r="M169">
        <v>52.37</v>
      </c>
      <c r="O169" t="s">
        <v>72</v>
      </c>
      <c r="P169" s="1">
        <v>40648</v>
      </c>
      <c r="Q169" s="36">
        <f t="shared" si="10"/>
        <v>107.7</v>
      </c>
      <c r="R169">
        <v>1220</v>
      </c>
      <c r="S169">
        <v>7.7</v>
      </c>
      <c r="T169">
        <v>53.96</v>
      </c>
      <c r="V169" t="s">
        <v>72</v>
      </c>
      <c r="W169" s="1">
        <v>40983</v>
      </c>
      <c r="X169">
        <f t="shared" si="11"/>
        <v>132.9</v>
      </c>
      <c r="Y169">
        <v>1300</v>
      </c>
      <c r="Z169">
        <v>32.9</v>
      </c>
      <c r="AA169">
        <v>67.05</v>
      </c>
    </row>
    <row r="170" spans="1:27" x14ac:dyDescent="0.2">
      <c r="A170" t="s">
        <v>72</v>
      </c>
      <c r="B170" s="1">
        <v>39918</v>
      </c>
      <c r="C170">
        <v>15.9</v>
      </c>
      <c r="D170">
        <f t="shared" si="8"/>
        <v>115.9</v>
      </c>
      <c r="E170">
        <v>1300</v>
      </c>
      <c r="H170" t="s">
        <v>72</v>
      </c>
      <c r="I170" s="1">
        <v>40801</v>
      </c>
      <c r="J170">
        <f t="shared" si="9"/>
        <v>122.4</v>
      </c>
      <c r="K170">
        <v>1220</v>
      </c>
      <c r="L170">
        <v>22.4</v>
      </c>
      <c r="M170">
        <v>61.74</v>
      </c>
      <c r="O170" t="s">
        <v>72</v>
      </c>
      <c r="P170" s="1">
        <v>40678</v>
      </c>
      <c r="Q170" s="36">
        <f t="shared" si="10"/>
        <v>102.9</v>
      </c>
      <c r="R170">
        <v>1220</v>
      </c>
      <c r="S170">
        <v>2.9</v>
      </c>
      <c r="T170">
        <v>51.52</v>
      </c>
      <c r="V170" t="s">
        <v>72</v>
      </c>
      <c r="W170" s="1">
        <v>41014</v>
      </c>
      <c r="X170">
        <f t="shared" si="11"/>
        <v>135.80000000000001</v>
      </c>
      <c r="Y170">
        <v>1300</v>
      </c>
      <c r="Z170">
        <v>35.799999999999997</v>
      </c>
      <c r="AA170">
        <v>69</v>
      </c>
    </row>
    <row r="171" spans="1:27" x14ac:dyDescent="0.2">
      <c r="A171" t="s">
        <v>72</v>
      </c>
      <c r="B171" s="1">
        <v>39948</v>
      </c>
      <c r="C171">
        <v>11.8</v>
      </c>
      <c r="D171">
        <f t="shared" si="8"/>
        <v>111.8</v>
      </c>
      <c r="E171">
        <v>1300</v>
      </c>
      <c r="H171" t="s">
        <v>72</v>
      </c>
      <c r="I171" s="1">
        <v>40831</v>
      </c>
      <c r="J171">
        <f t="shared" si="9"/>
        <v>110.2</v>
      </c>
      <c r="K171">
        <v>1220</v>
      </c>
      <c r="L171">
        <v>10.199999999999999</v>
      </c>
      <c r="M171">
        <v>55.31</v>
      </c>
      <c r="O171" t="s">
        <v>72</v>
      </c>
      <c r="P171" s="1">
        <v>40709</v>
      </c>
      <c r="Q171" s="36">
        <f t="shared" si="10"/>
        <v>109.6</v>
      </c>
      <c r="R171">
        <v>1220</v>
      </c>
      <c r="S171">
        <v>9.6</v>
      </c>
      <c r="T171">
        <v>55.1</v>
      </c>
      <c r="V171" t="s">
        <v>72</v>
      </c>
      <c r="W171" s="1">
        <v>41075</v>
      </c>
      <c r="X171">
        <f t="shared" si="11"/>
        <v>133</v>
      </c>
      <c r="Y171">
        <v>1300</v>
      </c>
      <c r="Z171">
        <v>33</v>
      </c>
      <c r="AA171">
        <v>67.97</v>
      </c>
    </row>
    <row r="172" spans="1:27" x14ac:dyDescent="0.2">
      <c r="A172" t="s">
        <v>72</v>
      </c>
      <c r="B172" s="1">
        <v>39979</v>
      </c>
      <c r="C172">
        <v>10.3</v>
      </c>
      <c r="D172">
        <f t="shared" si="8"/>
        <v>110.3</v>
      </c>
      <c r="E172">
        <v>1300</v>
      </c>
      <c r="H172" t="s">
        <v>72</v>
      </c>
      <c r="I172" s="1">
        <v>40862</v>
      </c>
      <c r="J172">
        <f t="shared" si="9"/>
        <v>106.4</v>
      </c>
      <c r="K172">
        <v>1220</v>
      </c>
      <c r="L172">
        <v>6.4</v>
      </c>
      <c r="M172">
        <v>53.35</v>
      </c>
      <c r="O172" t="s">
        <v>72</v>
      </c>
      <c r="P172" s="1">
        <v>40739</v>
      </c>
      <c r="Q172" s="36">
        <f t="shared" si="10"/>
        <v>104.9</v>
      </c>
      <c r="R172">
        <v>1220</v>
      </c>
      <c r="S172">
        <v>4.9000000000000004</v>
      </c>
      <c r="T172">
        <v>52.55</v>
      </c>
      <c r="V172" t="s">
        <v>72</v>
      </c>
      <c r="W172" s="1">
        <v>41105</v>
      </c>
      <c r="X172">
        <f t="shared" si="11"/>
        <v>129</v>
      </c>
      <c r="Y172">
        <v>1300</v>
      </c>
      <c r="Z172">
        <v>29</v>
      </c>
      <c r="AA172">
        <v>65.39</v>
      </c>
    </row>
    <row r="173" spans="1:27" x14ac:dyDescent="0.2">
      <c r="A173" t="s">
        <v>72</v>
      </c>
      <c r="B173" s="1">
        <v>40009</v>
      </c>
      <c r="C173">
        <v>18.5</v>
      </c>
      <c r="D173">
        <f t="shared" si="8"/>
        <v>118.5</v>
      </c>
      <c r="E173">
        <v>1300</v>
      </c>
      <c r="H173" t="s">
        <v>72</v>
      </c>
      <c r="I173" s="1">
        <v>40877</v>
      </c>
      <c r="J173">
        <f t="shared" si="9"/>
        <v>110.1</v>
      </c>
      <c r="K173">
        <v>1220</v>
      </c>
      <c r="L173">
        <v>10.1</v>
      </c>
      <c r="M173">
        <v>55.28</v>
      </c>
      <c r="O173" t="s">
        <v>72</v>
      </c>
      <c r="P173" s="1">
        <v>40770</v>
      </c>
      <c r="Q173" s="36">
        <f t="shared" si="10"/>
        <v>104.4</v>
      </c>
      <c r="R173">
        <v>1220</v>
      </c>
      <c r="S173">
        <v>4.4000000000000004</v>
      </c>
      <c r="T173">
        <v>52.37</v>
      </c>
      <c r="V173" t="s">
        <v>72</v>
      </c>
      <c r="W173" s="1">
        <v>41136</v>
      </c>
      <c r="X173">
        <f t="shared" si="11"/>
        <v>121.9</v>
      </c>
      <c r="Y173">
        <v>1300</v>
      </c>
      <c r="Z173">
        <v>21.9</v>
      </c>
      <c r="AA173">
        <v>62.21</v>
      </c>
    </row>
    <row r="174" spans="1:27" x14ac:dyDescent="0.2">
      <c r="A174" t="s">
        <v>72</v>
      </c>
      <c r="B174" s="1">
        <v>40071</v>
      </c>
      <c r="C174">
        <v>10.1</v>
      </c>
      <c r="D174">
        <f t="shared" si="8"/>
        <v>110.1</v>
      </c>
      <c r="E174">
        <v>1300</v>
      </c>
      <c r="H174" t="s">
        <v>72</v>
      </c>
      <c r="I174" s="1">
        <v>40892</v>
      </c>
      <c r="J174">
        <f t="shared" si="9"/>
        <v>115.5</v>
      </c>
      <c r="K174">
        <v>1220</v>
      </c>
      <c r="L174">
        <v>15.5</v>
      </c>
      <c r="M174">
        <v>58.03</v>
      </c>
      <c r="O174" t="s">
        <v>72</v>
      </c>
      <c r="P174" s="1">
        <v>40801</v>
      </c>
      <c r="Q174" s="36">
        <f t="shared" si="10"/>
        <v>122.4</v>
      </c>
      <c r="R174">
        <v>1220</v>
      </c>
      <c r="S174">
        <v>22.4</v>
      </c>
      <c r="T174">
        <v>61.74</v>
      </c>
      <c r="V174" t="s">
        <v>72</v>
      </c>
      <c r="W174" s="1">
        <v>41167</v>
      </c>
      <c r="X174">
        <f t="shared" si="11"/>
        <v>128.30000000000001</v>
      </c>
      <c r="Y174">
        <v>1300</v>
      </c>
      <c r="Z174">
        <v>28.3</v>
      </c>
      <c r="AA174">
        <v>65.17</v>
      </c>
    </row>
    <row r="175" spans="1:27" x14ac:dyDescent="0.2">
      <c r="A175" t="s">
        <v>72</v>
      </c>
      <c r="B175" s="1">
        <v>40094</v>
      </c>
      <c r="C175">
        <v>0</v>
      </c>
      <c r="D175">
        <f t="shared" si="8"/>
        <v>100</v>
      </c>
      <c r="E175">
        <v>1300</v>
      </c>
      <c r="H175" t="s">
        <v>72</v>
      </c>
      <c r="I175" s="1">
        <v>40954</v>
      </c>
      <c r="J175">
        <f t="shared" si="9"/>
        <v>119.8</v>
      </c>
      <c r="K175">
        <v>1220</v>
      </c>
      <c r="L175">
        <v>19.8</v>
      </c>
      <c r="M175">
        <v>60.12</v>
      </c>
      <c r="O175" t="s">
        <v>72</v>
      </c>
      <c r="P175" s="1">
        <v>40831</v>
      </c>
      <c r="Q175" s="36">
        <f t="shared" si="10"/>
        <v>110.2</v>
      </c>
      <c r="R175">
        <v>1220</v>
      </c>
      <c r="S175">
        <v>10.199999999999999</v>
      </c>
      <c r="T175">
        <v>55.31</v>
      </c>
      <c r="V175" t="s">
        <v>72</v>
      </c>
      <c r="W175" s="1">
        <v>41194</v>
      </c>
      <c r="X175">
        <f t="shared" si="11"/>
        <v>140.5</v>
      </c>
      <c r="Y175">
        <v>1300</v>
      </c>
      <c r="Z175">
        <v>40.5</v>
      </c>
      <c r="AA175">
        <v>71.2</v>
      </c>
    </row>
    <row r="176" spans="1:27" x14ac:dyDescent="0.2">
      <c r="A176" t="s">
        <v>72</v>
      </c>
      <c r="B176" s="1">
        <v>40132</v>
      </c>
      <c r="C176">
        <v>6.5</v>
      </c>
      <c r="D176">
        <f t="shared" si="8"/>
        <v>106.5</v>
      </c>
      <c r="E176">
        <v>1300</v>
      </c>
      <c r="H176" t="s">
        <v>72</v>
      </c>
      <c r="I176" s="1">
        <v>40983</v>
      </c>
      <c r="J176">
        <f t="shared" si="9"/>
        <v>132.9</v>
      </c>
      <c r="K176">
        <v>1220</v>
      </c>
      <c r="L176">
        <v>32.9</v>
      </c>
      <c r="M176">
        <v>67.05</v>
      </c>
      <c r="O176" t="s">
        <v>72</v>
      </c>
      <c r="P176" s="1">
        <v>40862</v>
      </c>
      <c r="Q176" s="36">
        <f t="shared" si="10"/>
        <v>106.4</v>
      </c>
      <c r="R176">
        <v>1220</v>
      </c>
      <c r="S176">
        <v>6.4</v>
      </c>
      <c r="T176">
        <v>53.35</v>
      </c>
      <c r="V176" t="s">
        <v>72</v>
      </c>
      <c r="W176" s="1">
        <v>40983</v>
      </c>
      <c r="X176">
        <f t="shared" si="11"/>
        <v>131.1</v>
      </c>
      <c r="Y176">
        <v>1300</v>
      </c>
      <c r="Z176">
        <v>31.1</v>
      </c>
      <c r="AA176">
        <v>67.569999999999993</v>
      </c>
    </row>
    <row r="177" spans="1:27" x14ac:dyDescent="0.2">
      <c r="A177" t="s">
        <v>72</v>
      </c>
      <c r="B177" s="1">
        <v>40162</v>
      </c>
      <c r="C177">
        <v>1.9</v>
      </c>
      <c r="D177">
        <f t="shared" si="8"/>
        <v>101.9</v>
      </c>
      <c r="E177">
        <v>1300</v>
      </c>
      <c r="H177" t="s">
        <v>72</v>
      </c>
      <c r="I177" s="1">
        <v>41014</v>
      </c>
      <c r="J177">
        <f t="shared" si="9"/>
        <v>135.80000000000001</v>
      </c>
      <c r="K177">
        <v>1220</v>
      </c>
      <c r="L177">
        <v>35.799999999999997</v>
      </c>
      <c r="M177">
        <v>69</v>
      </c>
      <c r="O177" t="s">
        <v>72</v>
      </c>
      <c r="P177" s="1">
        <v>40877</v>
      </c>
      <c r="Q177" s="36">
        <f t="shared" si="10"/>
        <v>110.1</v>
      </c>
      <c r="R177">
        <v>1220</v>
      </c>
      <c r="S177">
        <v>10.1</v>
      </c>
      <c r="T177">
        <v>55.28</v>
      </c>
      <c r="V177" t="s">
        <v>72</v>
      </c>
      <c r="W177" s="1">
        <v>40999</v>
      </c>
      <c r="X177">
        <f t="shared" si="11"/>
        <v>125.3</v>
      </c>
      <c r="Y177">
        <v>1300</v>
      </c>
      <c r="Z177">
        <v>25.3</v>
      </c>
      <c r="AA177">
        <v>64.010000000000005</v>
      </c>
    </row>
    <row r="178" spans="1:27" x14ac:dyDescent="0.2">
      <c r="A178" t="s">
        <v>72</v>
      </c>
      <c r="B178" s="1">
        <v>40224</v>
      </c>
      <c r="C178">
        <v>-10.4</v>
      </c>
      <c r="D178">
        <f t="shared" si="8"/>
        <v>89.6</v>
      </c>
      <c r="E178">
        <v>1300</v>
      </c>
      <c r="H178" t="s">
        <v>72</v>
      </c>
      <c r="I178" s="1">
        <v>41075</v>
      </c>
      <c r="J178">
        <f t="shared" si="9"/>
        <v>133</v>
      </c>
      <c r="K178">
        <v>1220</v>
      </c>
      <c r="L178">
        <v>33</v>
      </c>
      <c r="M178">
        <v>67.97</v>
      </c>
      <c r="O178" t="s">
        <v>72</v>
      </c>
      <c r="P178" s="1">
        <v>40892</v>
      </c>
      <c r="Q178" s="36">
        <f t="shared" si="10"/>
        <v>115.5</v>
      </c>
      <c r="R178">
        <v>1220</v>
      </c>
      <c r="S178">
        <v>15.5</v>
      </c>
      <c r="T178">
        <v>58.03</v>
      </c>
      <c r="V178" t="s">
        <v>72</v>
      </c>
      <c r="W178" s="1">
        <v>41014</v>
      </c>
      <c r="X178">
        <f t="shared" si="11"/>
        <v>149.1</v>
      </c>
      <c r="Y178">
        <v>1300</v>
      </c>
      <c r="Z178">
        <v>49.1</v>
      </c>
      <c r="AA178">
        <v>76.09</v>
      </c>
    </row>
    <row r="179" spans="1:27" x14ac:dyDescent="0.2">
      <c r="A179" t="s">
        <v>72</v>
      </c>
      <c r="B179" s="1">
        <v>40283</v>
      </c>
      <c r="C179">
        <v>-6.6</v>
      </c>
      <c r="D179">
        <f t="shared" si="8"/>
        <v>93.4</v>
      </c>
      <c r="E179">
        <v>1300</v>
      </c>
      <c r="H179" t="s">
        <v>72</v>
      </c>
      <c r="I179" s="1">
        <v>41105</v>
      </c>
      <c r="J179">
        <f t="shared" si="9"/>
        <v>129</v>
      </c>
      <c r="K179">
        <v>1220</v>
      </c>
      <c r="L179">
        <v>29</v>
      </c>
      <c r="M179">
        <v>65.39</v>
      </c>
      <c r="O179" t="s">
        <v>72</v>
      </c>
      <c r="P179" s="1">
        <v>40954</v>
      </c>
      <c r="Q179" s="36">
        <f t="shared" si="10"/>
        <v>119.8</v>
      </c>
      <c r="R179">
        <v>1220</v>
      </c>
      <c r="S179">
        <v>19.8</v>
      </c>
      <c r="T179">
        <v>60.12</v>
      </c>
      <c r="V179" t="s">
        <v>72</v>
      </c>
      <c r="W179" s="1">
        <v>41320</v>
      </c>
      <c r="X179">
        <f t="shared" si="11"/>
        <v>114.9</v>
      </c>
      <c r="Y179">
        <v>1294</v>
      </c>
      <c r="Z179">
        <v>14.9</v>
      </c>
      <c r="AA179">
        <v>58.88</v>
      </c>
    </row>
    <row r="180" spans="1:27" x14ac:dyDescent="0.2">
      <c r="A180" t="s">
        <v>72</v>
      </c>
      <c r="B180" s="1">
        <v>40313</v>
      </c>
      <c r="C180">
        <v>0</v>
      </c>
      <c r="D180">
        <f t="shared" si="8"/>
        <v>100</v>
      </c>
      <c r="E180">
        <v>1300</v>
      </c>
      <c r="H180" t="s">
        <v>72</v>
      </c>
      <c r="I180" s="1">
        <v>41136</v>
      </c>
      <c r="J180">
        <f t="shared" si="9"/>
        <v>121.9</v>
      </c>
      <c r="K180">
        <v>1220</v>
      </c>
      <c r="L180">
        <v>21.9</v>
      </c>
      <c r="M180">
        <v>62.21</v>
      </c>
      <c r="O180" t="s">
        <v>72</v>
      </c>
      <c r="P180" s="1">
        <v>40983</v>
      </c>
      <c r="Q180" s="36">
        <f t="shared" si="10"/>
        <v>132.9</v>
      </c>
      <c r="R180">
        <v>1220</v>
      </c>
      <c r="S180">
        <v>32.9</v>
      </c>
      <c r="T180">
        <v>67.05</v>
      </c>
      <c r="V180" t="s">
        <v>72</v>
      </c>
      <c r="W180" s="1">
        <v>41348</v>
      </c>
      <c r="X180">
        <f t="shared" si="11"/>
        <v>101.5</v>
      </c>
      <c r="Y180">
        <v>1300</v>
      </c>
      <c r="Z180">
        <v>1.5</v>
      </c>
      <c r="AA180">
        <v>50.85</v>
      </c>
    </row>
    <row r="181" spans="1:27" x14ac:dyDescent="0.2">
      <c r="A181" t="s">
        <v>72</v>
      </c>
      <c r="B181" s="1">
        <v>40344</v>
      </c>
      <c r="C181">
        <v>-3</v>
      </c>
      <c r="D181">
        <f t="shared" si="8"/>
        <v>97</v>
      </c>
      <c r="E181">
        <v>1300</v>
      </c>
      <c r="H181" t="s">
        <v>72</v>
      </c>
      <c r="I181" s="1">
        <v>41167</v>
      </c>
      <c r="J181">
        <f t="shared" si="9"/>
        <v>128.30000000000001</v>
      </c>
      <c r="K181">
        <v>1220</v>
      </c>
      <c r="L181">
        <v>28.3</v>
      </c>
      <c r="M181">
        <v>65.17</v>
      </c>
      <c r="O181" t="s">
        <v>72</v>
      </c>
      <c r="P181" s="1">
        <v>41014</v>
      </c>
      <c r="Q181" s="36">
        <f t="shared" si="10"/>
        <v>135.80000000000001</v>
      </c>
      <c r="R181">
        <v>1220</v>
      </c>
      <c r="S181">
        <v>35.799999999999997</v>
      </c>
      <c r="T181">
        <v>69</v>
      </c>
      <c r="V181" t="s">
        <v>72</v>
      </c>
      <c r="W181" s="1">
        <v>41379</v>
      </c>
      <c r="X181">
        <f t="shared" si="11"/>
        <v>120.9</v>
      </c>
      <c r="Y181">
        <v>1289</v>
      </c>
      <c r="Z181">
        <v>20.9</v>
      </c>
      <c r="AA181">
        <v>61.68</v>
      </c>
    </row>
    <row r="182" spans="1:27" x14ac:dyDescent="0.2">
      <c r="A182" t="s">
        <v>72</v>
      </c>
      <c r="B182" s="1">
        <v>40405</v>
      </c>
      <c r="C182">
        <v>-7.3</v>
      </c>
      <c r="D182">
        <f t="shared" si="8"/>
        <v>92.7</v>
      </c>
      <c r="E182">
        <v>1300</v>
      </c>
      <c r="H182" t="s">
        <v>72</v>
      </c>
      <c r="I182" s="1">
        <v>41194</v>
      </c>
      <c r="J182">
        <f t="shared" si="9"/>
        <v>140.5</v>
      </c>
      <c r="K182">
        <v>1220</v>
      </c>
      <c r="L182">
        <v>40.5</v>
      </c>
      <c r="M182">
        <v>71.2</v>
      </c>
      <c r="O182" t="s">
        <v>72</v>
      </c>
      <c r="P182" s="1">
        <v>41075</v>
      </c>
      <c r="Q182" s="36">
        <f t="shared" si="10"/>
        <v>133</v>
      </c>
      <c r="R182">
        <v>1220</v>
      </c>
      <c r="S182">
        <v>33</v>
      </c>
      <c r="T182">
        <v>67.97</v>
      </c>
      <c r="V182" t="s">
        <v>72</v>
      </c>
      <c r="W182" s="1">
        <v>41394</v>
      </c>
      <c r="X182">
        <f t="shared" si="11"/>
        <v>107.9</v>
      </c>
      <c r="Y182">
        <v>800</v>
      </c>
      <c r="Z182">
        <v>7.9</v>
      </c>
      <c r="AA182">
        <v>54.45</v>
      </c>
    </row>
    <row r="183" spans="1:27" x14ac:dyDescent="0.2">
      <c r="A183" t="s">
        <v>72</v>
      </c>
      <c r="B183" s="1">
        <v>40436</v>
      </c>
      <c r="C183">
        <v>-5</v>
      </c>
      <c r="D183">
        <f t="shared" si="8"/>
        <v>95</v>
      </c>
      <c r="E183">
        <v>1300</v>
      </c>
      <c r="H183" t="s">
        <v>72</v>
      </c>
      <c r="I183" s="1">
        <v>40983</v>
      </c>
      <c r="J183">
        <f t="shared" si="9"/>
        <v>131.1</v>
      </c>
      <c r="K183">
        <v>1220</v>
      </c>
      <c r="L183">
        <v>31.1</v>
      </c>
      <c r="M183">
        <v>67.569999999999993</v>
      </c>
      <c r="O183" t="s">
        <v>72</v>
      </c>
      <c r="P183" s="1">
        <v>41105</v>
      </c>
      <c r="Q183" s="36">
        <f t="shared" si="10"/>
        <v>129</v>
      </c>
      <c r="R183">
        <v>1220</v>
      </c>
      <c r="S183">
        <v>29</v>
      </c>
      <c r="T183">
        <v>65.39</v>
      </c>
      <c r="V183" t="s">
        <v>72</v>
      </c>
      <c r="W183" s="1">
        <v>41409</v>
      </c>
      <c r="X183">
        <f t="shared" si="11"/>
        <v>107.2</v>
      </c>
      <c r="Y183">
        <v>1300</v>
      </c>
      <c r="Z183">
        <v>7.2</v>
      </c>
      <c r="AA183">
        <v>53.83</v>
      </c>
    </row>
    <row r="184" spans="1:27" x14ac:dyDescent="0.2">
      <c r="A184" t="s">
        <v>72</v>
      </c>
      <c r="B184" s="1">
        <v>40497</v>
      </c>
      <c r="C184">
        <v>-2.2000000000000002</v>
      </c>
      <c r="D184">
        <f t="shared" si="8"/>
        <v>97.8</v>
      </c>
      <c r="E184">
        <v>1300</v>
      </c>
      <c r="H184" t="s">
        <v>72</v>
      </c>
      <c r="I184" s="1">
        <v>40999</v>
      </c>
      <c r="J184">
        <f t="shared" si="9"/>
        <v>125.3</v>
      </c>
      <c r="K184">
        <v>1220</v>
      </c>
      <c r="L184">
        <v>25.3</v>
      </c>
      <c r="M184">
        <v>64.010000000000005</v>
      </c>
      <c r="O184" t="s">
        <v>72</v>
      </c>
      <c r="P184" s="1">
        <v>41136</v>
      </c>
      <c r="Q184" s="36">
        <f t="shared" si="10"/>
        <v>121.9</v>
      </c>
      <c r="R184">
        <v>1220</v>
      </c>
      <c r="S184">
        <v>21.9</v>
      </c>
      <c r="T184">
        <v>62.21</v>
      </c>
      <c r="V184" t="s">
        <v>72</v>
      </c>
      <c r="W184" s="1">
        <v>41440</v>
      </c>
      <c r="X184">
        <f t="shared" si="11"/>
        <v>101</v>
      </c>
      <c r="Y184">
        <v>1300</v>
      </c>
      <c r="Z184">
        <v>1</v>
      </c>
      <c r="AA184">
        <v>50.52</v>
      </c>
    </row>
    <row r="185" spans="1:27" x14ac:dyDescent="0.2">
      <c r="A185" t="s">
        <v>72</v>
      </c>
      <c r="B185" s="1">
        <v>40527</v>
      </c>
      <c r="C185">
        <v>9.6</v>
      </c>
      <c r="D185">
        <f t="shared" si="8"/>
        <v>109.6</v>
      </c>
      <c r="E185">
        <v>1300</v>
      </c>
      <c r="H185" t="s">
        <v>72</v>
      </c>
      <c r="I185" s="1">
        <v>41014</v>
      </c>
      <c r="J185">
        <f t="shared" si="9"/>
        <v>149.1</v>
      </c>
      <c r="K185">
        <v>1220</v>
      </c>
      <c r="L185">
        <v>49.1</v>
      </c>
      <c r="M185">
        <v>76.09</v>
      </c>
      <c r="O185" t="s">
        <v>72</v>
      </c>
      <c r="P185" s="1">
        <v>41167</v>
      </c>
      <c r="Q185" s="36">
        <f t="shared" si="10"/>
        <v>128.30000000000001</v>
      </c>
      <c r="R185">
        <v>1220</v>
      </c>
      <c r="S185">
        <v>28.3</v>
      </c>
      <c r="T185">
        <v>65.17</v>
      </c>
      <c r="V185" t="s">
        <v>72</v>
      </c>
      <c r="W185" s="1">
        <v>41470</v>
      </c>
      <c r="X185">
        <f t="shared" si="11"/>
        <v>100.1</v>
      </c>
      <c r="Y185">
        <v>1300</v>
      </c>
      <c r="Z185">
        <v>0.1</v>
      </c>
      <c r="AA185">
        <v>50.05</v>
      </c>
    </row>
    <row r="186" spans="1:27" x14ac:dyDescent="0.2">
      <c r="A186" t="s">
        <v>72</v>
      </c>
      <c r="B186" s="1">
        <v>40589</v>
      </c>
      <c r="C186">
        <v>12.7</v>
      </c>
      <c r="D186">
        <f t="shared" si="8"/>
        <v>112.7</v>
      </c>
      <c r="E186">
        <v>1300</v>
      </c>
      <c r="H186" t="s">
        <v>72</v>
      </c>
      <c r="I186" s="1">
        <v>41320</v>
      </c>
      <c r="J186">
        <f t="shared" si="9"/>
        <v>114.9</v>
      </c>
      <c r="K186">
        <v>1220</v>
      </c>
      <c r="L186">
        <v>14.9</v>
      </c>
      <c r="M186">
        <v>58.88</v>
      </c>
      <c r="O186" t="s">
        <v>72</v>
      </c>
      <c r="P186" s="1">
        <v>41194</v>
      </c>
      <c r="Q186" s="36">
        <f t="shared" si="10"/>
        <v>140.5</v>
      </c>
      <c r="R186">
        <v>1220</v>
      </c>
      <c r="S186">
        <v>40.5</v>
      </c>
      <c r="T186">
        <v>71.2</v>
      </c>
      <c r="V186" t="s">
        <v>72</v>
      </c>
      <c r="W186" s="1">
        <v>41501</v>
      </c>
      <c r="X186">
        <f t="shared" si="11"/>
        <v>97.7</v>
      </c>
      <c r="Y186">
        <v>1300</v>
      </c>
      <c r="Z186">
        <v>-2.2999999999999998</v>
      </c>
      <c r="AA186">
        <v>48.8</v>
      </c>
    </row>
    <row r="187" spans="1:27" x14ac:dyDescent="0.2">
      <c r="A187" t="s">
        <v>72</v>
      </c>
      <c r="B187" s="1">
        <v>40648</v>
      </c>
      <c r="C187">
        <v>7.7</v>
      </c>
      <c r="D187">
        <f t="shared" si="8"/>
        <v>107.7</v>
      </c>
      <c r="E187">
        <v>1300</v>
      </c>
      <c r="H187" t="s">
        <v>72</v>
      </c>
      <c r="I187" s="1">
        <v>41348</v>
      </c>
      <c r="J187">
        <f t="shared" si="9"/>
        <v>101.5</v>
      </c>
      <c r="K187">
        <v>1220</v>
      </c>
      <c r="L187">
        <v>1.5</v>
      </c>
      <c r="M187">
        <v>50.85</v>
      </c>
      <c r="O187" t="s">
        <v>72</v>
      </c>
      <c r="P187" s="1">
        <v>40983</v>
      </c>
      <c r="Q187" s="36">
        <f t="shared" si="10"/>
        <v>131.1</v>
      </c>
      <c r="R187">
        <v>1220</v>
      </c>
      <c r="S187">
        <v>31.1</v>
      </c>
      <c r="T187">
        <v>67.569999999999993</v>
      </c>
      <c r="V187" t="s">
        <v>72</v>
      </c>
      <c r="W187" s="1">
        <v>41532</v>
      </c>
      <c r="X187">
        <f t="shared" si="11"/>
        <v>86</v>
      </c>
      <c r="Y187">
        <v>1300</v>
      </c>
      <c r="Z187">
        <v>-14</v>
      </c>
      <c r="AA187">
        <v>42.69</v>
      </c>
    </row>
    <row r="188" spans="1:27" x14ac:dyDescent="0.2">
      <c r="A188" t="s">
        <v>72</v>
      </c>
      <c r="B188" s="1">
        <v>40678</v>
      </c>
      <c r="C188">
        <v>2.9</v>
      </c>
      <c r="D188">
        <f t="shared" si="8"/>
        <v>102.9</v>
      </c>
      <c r="E188">
        <v>1300</v>
      </c>
      <c r="H188" t="s">
        <v>72</v>
      </c>
      <c r="I188" s="1">
        <v>41379</v>
      </c>
      <c r="J188">
        <f t="shared" si="9"/>
        <v>120.9</v>
      </c>
      <c r="K188">
        <v>1220</v>
      </c>
      <c r="L188">
        <v>20.9</v>
      </c>
      <c r="M188">
        <v>61.68</v>
      </c>
      <c r="O188" t="s">
        <v>72</v>
      </c>
      <c r="P188" s="1">
        <v>40999</v>
      </c>
      <c r="Q188" s="36">
        <f t="shared" si="10"/>
        <v>125.3</v>
      </c>
      <c r="R188">
        <v>1220</v>
      </c>
      <c r="S188">
        <v>25.3</v>
      </c>
      <c r="T188">
        <v>64.010000000000005</v>
      </c>
      <c r="V188" t="s">
        <v>72</v>
      </c>
      <c r="W188" s="1">
        <v>41593</v>
      </c>
      <c r="X188">
        <f t="shared" si="11"/>
        <v>105.8</v>
      </c>
      <c r="Y188">
        <v>1298</v>
      </c>
      <c r="Z188">
        <v>5.8</v>
      </c>
      <c r="AA188">
        <v>53.05</v>
      </c>
    </row>
    <row r="189" spans="1:27" x14ac:dyDescent="0.2">
      <c r="A189" t="s">
        <v>72</v>
      </c>
      <c r="B189" s="1">
        <v>40709</v>
      </c>
      <c r="C189">
        <v>9.6</v>
      </c>
      <c r="D189">
        <f t="shared" si="8"/>
        <v>109.6</v>
      </c>
      <c r="E189">
        <v>1300</v>
      </c>
      <c r="H189" t="s">
        <v>72</v>
      </c>
      <c r="I189" s="1">
        <v>41394</v>
      </c>
      <c r="J189">
        <f t="shared" si="9"/>
        <v>107.9</v>
      </c>
      <c r="K189">
        <v>1220</v>
      </c>
      <c r="L189">
        <v>7.9</v>
      </c>
      <c r="M189">
        <v>54.45</v>
      </c>
      <c r="O189" t="s">
        <v>72</v>
      </c>
      <c r="P189" s="1">
        <v>41014</v>
      </c>
      <c r="Q189" s="36">
        <f t="shared" si="10"/>
        <v>149.1</v>
      </c>
      <c r="R189">
        <v>1220</v>
      </c>
      <c r="S189">
        <v>49.1</v>
      </c>
      <c r="T189">
        <v>76.09</v>
      </c>
      <c r="V189" t="s">
        <v>72</v>
      </c>
      <c r="W189" s="1">
        <v>41685</v>
      </c>
      <c r="X189">
        <f t="shared" si="11"/>
        <v>97</v>
      </c>
      <c r="Y189">
        <v>1300</v>
      </c>
      <c r="Z189">
        <v>-3</v>
      </c>
      <c r="AA189">
        <v>48.45</v>
      </c>
    </row>
    <row r="190" spans="1:27" x14ac:dyDescent="0.2">
      <c r="A190" t="s">
        <v>72</v>
      </c>
      <c r="B190" s="1">
        <v>40739</v>
      </c>
      <c r="C190">
        <v>4.9000000000000004</v>
      </c>
      <c r="D190">
        <f t="shared" si="8"/>
        <v>104.9</v>
      </c>
      <c r="E190">
        <v>1300</v>
      </c>
      <c r="H190" t="s">
        <v>72</v>
      </c>
      <c r="I190" s="1">
        <v>41409</v>
      </c>
      <c r="J190">
        <f t="shared" si="9"/>
        <v>107.2</v>
      </c>
      <c r="K190">
        <v>1220</v>
      </c>
      <c r="L190">
        <v>7.2</v>
      </c>
      <c r="M190">
        <v>53.83</v>
      </c>
      <c r="O190" t="s">
        <v>72</v>
      </c>
      <c r="P190" s="1">
        <v>41320</v>
      </c>
      <c r="Q190" s="36">
        <f t="shared" si="10"/>
        <v>114.9</v>
      </c>
      <c r="R190">
        <v>1220</v>
      </c>
      <c r="S190">
        <v>14.9</v>
      </c>
      <c r="T190">
        <v>58.88</v>
      </c>
      <c r="V190" t="s">
        <v>72</v>
      </c>
      <c r="W190" s="1">
        <v>41713</v>
      </c>
      <c r="X190">
        <f t="shared" si="11"/>
        <v>85.9</v>
      </c>
      <c r="Y190">
        <v>1300</v>
      </c>
      <c r="Z190">
        <v>-14.1</v>
      </c>
      <c r="AA190">
        <v>42.74</v>
      </c>
    </row>
    <row r="191" spans="1:27" x14ac:dyDescent="0.2">
      <c r="A191" t="s">
        <v>72</v>
      </c>
      <c r="B191" s="1">
        <v>40770</v>
      </c>
      <c r="C191">
        <v>4.4000000000000004</v>
      </c>
      <c r="D191">
        <f t="shared" si="8"/>
        <v>104.4</v>
      </c>
      <c r="E191">
        <v>1300</v>
      </c>
      <c r="H191" t="s">
        <v>72</v>
      </c>
      <c r="I191" s="1">
        <v>41440</v>
      </c>
      <c r="J191">
        <f t="shared" si="9"/>
        <v>101</v>
      </c>
      <c r="K191">
        <v>1220</v>
      </c>
      <c r="L191">
        <v>1</v>
      </c>
      <c r="M191">
        <v>50.52</v>
      </c>
      <c r="O191" t="s">
        <v>72</v>
      </c>
      <c r="P191" s="1">
        <v>41348</v>
      </c>
      <c r="Q191" s="36">
        <f t="shared" si="10"/>
        <v>101.5</v>
      </c>
      <c r="R191">
        <v>1220</v>
      </c>
      <c r="S191">
        <v>1.5</v>
      </c>
      <c r="T191">
        <v>50.85</v>
      </c>
      <c r="V191" t="s">
        <v>72</v>
      </c>
      <c r="W191" s="1">
        <v>41744</v>
      </c>
      <c r="X191">
        <f t="shared" si="11"/>
        <v>77.8</v>
      </c>
      <c r="Y191">
        <v>1300</v>
      </c>
      <c r="Z191">
        <v>-22.2</v>
      </c>
      <c r="AA191">
        <v>38.46</v>
      </c>
    </row>
    <row r="192" spans="1:27" x14ac:dyDescent="0.2">
      <c r="A192" t="s">
        <v>72</v>
      </c>
      <c r="B192" s="1">
        <v>40801</v>
      </c>
      <c r="C192">
        <v>22.4</v>
      </c>
      <c r="D192">
        <f t="shared" si="8"/>
        <v>122.4</v>
      </c>
      <c r="E192">
        <v>1300</v>
      </c>
      <c r="H192" t="s">
        <v>72</v>
      </c>
      <c r="I192" s="1">
        <v>41470</v>
      </c>
      <c r="J192">
        <f t="shared" si="9"/>
        <v>100.1</v>
      </c>
      <c r="K192">
        <v>1220</v>
      </c>
      <c r="L192">
        <v>0.1</v>
      </c>
      <c r="M192">
        <v>50.05</v>
      </c>
      <c r="O192" t="s">
        <v>72</v>
      </c>
      <c r="P192" s="1">
        <v>41379</v>
      </c>
      <c r="Q192" s="36">
        <f t="shared" si="10"/>
        <v>120.9</v>
      </c>
      <c r="R192">
        <v>1220</v>
      </c>
      <c r="S192">
        <v>20.9</v>
      </c>
      <c r="T192">
        <v>61.68</v>
      </c>
      <c r="V192" t="s">
        <v>72</v>
      </c>
      <c r="W192" s="1">
        <v>41774</v>
      </c>
      <c r="X192">
        <f t="shared" si="11"/>
        <v>80.3</v>
      </c>
      <c r="Y192">
        <v>1300</v>
      </c>
      <c r="Z192">
        <v>-19.7</v>
      </c>
      <c r="AA192">
        <v>39.9</v>
      </c>
    </row>
    <row r="193" spans="1:27" x14ac:dyDescent="0.2">
      <c r="A193" t="s">
        <v>72</v>
      </c>
      <c r="B193" s="1">
        <v>40831</v>
      </c>
      <c r="C193">
        <v>10.199999999999999</v>
      </c>
      <c r="D193">
        <f t="shared" si="8"/>
        <v>110.2</v>
      </c>
      <c r="E193">
        <v>1300</v>
      </c>
      <c r="H193" t="s">
        <v>72</v>
      </c>
      <c r="I193" s="1">
        <v>41501</v>
      </c>
      <c r="J193">
        <f t="shared" si="9"/>
        <v>97.7</v>
      </c>
      <c r="K193">
        <v>1220</v>
      </c>
      <c r="L193">
        <v>-2.2999999999999998</v>
      </c>
      <c r="M193">
        <v>48.8</v>
      </c>
      <c r="O193" t="s">
        <v>72</v>
      </c>
      <c r="P193" s="1">
        <v>41394</v>
      </c>
      <c r="Q193" s="36">
        <f t="shared" si="10"/>
        <v>107.9</v>
      </c>
      <c r="R193">
        <v>1220</v>
      </c>
      <c r="S193">
        <v>7.9</v>
      </c>
      <c r="T193">
        <v>54.45</v>
      </c>
      <c r="V193" t="s">
        <v>72</v>
      </c>
      <c r="W193" s="1">
        <v>41846</v>
      </c>
      <c r="X193">
        <f t="shared" si="11"/>
        <v>73.099999999999994</v>
      </c>
      <c r="Y193">
        <v>1298</v>
      </c>
      <c r="Z193">
        <v>-26.9</v>
      </c>
      <c r="AA193">
        <v>36.229999999999997</v>
      </c>
    </row>
    <row r="194" spans="1:27" x14ac:dyDescent="0.2">
      <c r="A194" t="s">
        <v>72</v>
      </c>
      <c r="B194" s="1">
        <v>40862</v>
      </c>
      <c r="C194">
        <v>6.4</v>
      </c>
      <c r="D194">
        <f t="shared" si="8"/>
        <v>106.4</v>
      </c>
      <c r="E194">
        <v>1300</v>
      </c>
      <c r="H194" t="s">
        <v>72</v>
      </c>
      <c r="I194" s="1">
        <v>41532</v>
      </c>
      <c r="J194">
        <f t="shared" si="9"/>
        <v>86</v>
      </c>
      <c r="K194">
        <v>1220</v>
      </c>
      <c r="L194">
        <v>-14</v>
      </c>
      <c r="M194">
        <v>42.69</v>
      </c>
      <c r="O194" t="s">
        <v>72</v>
      </c>
      <c r="P194" s="1">
        <v>41409</v>
      </c>
      <c r="Q194" s="36">
        <f t="shared" si="10"/>
        <v>107.2</v>
      </c>
      <c r="R194">
        <v>1220</v>
      </c>
      <c r="S194">
        <v>7.2</v>
      </c>
      <c r="T194">
        <v>53.83</v>
      </c>
      <c r="V194" t="s">
        <v>72</v>
      </c>
      <c r="W194" s="1">
        <v>41912</v>
      </c>
      <c r="X194">
        <f t="shared" si="11"/>
        <v>62.7</v>
      </c>
      <c r="Y194">
        <v>1293</v>
      </c>
      <c r="Z194">
        <v>-37.299999999999997</v>
      </c>
      <c r="AA194">
        <v>30.91</v>
      </c>
    </row>
    <row r="195" spans="1:27" x14ac:dyDescent="0.2">
      <c r="A195" t="s">
        <v>72</v>
      </c>
      <c r="B195" s="1">
        <v>40877</v>
      </c>
      <c r="C195">
        <v>10.1</v>
      </c>
      <c r="D195">
        <f t="shared" ref="D195:D207" si="12">100+C195</f>
        <v>110.1</v>
      </c>
      <c r="E195">
        <v>1300</v>
      </c>
      <c r="H195" t="s">
        <v>72</v>
      </c>
      <c r="I195" s="1">
        <v>41593</v>
      </c>
      <c r="J195">
        <f t="shared" ref="J195:J258" si="13">L195+100</f>
        <v>105.8</v>
      </c>
      <c r="K195">
        <v>1220</v>
      </c>
      <c r="L195">
        <v>5.8</v>
      </c>
      <c r="M195">
        <v>53.05</v>
      </c>
      <c r="O195" t="s">
        <v>72</v>
      </c>
      <c r="P195" s="1">
        <v>41440</v>
      </c>
      <c r="Q195" s="36">
        <f t="shared" ref="Q195:Q258" si="14">S195+100</f>
        <v>101</v>
      </c>
      <c r="R195">
        <v>1220</v>
      </c>
      <c r="S195">
        <v>1</v>
      </c>
      <c r="T195">
        <v>50.52</v>
      </c>
      <c r="V195" t="s">
        <v>72</v>
      </c>
      <c r="W195" s="1">
        <v>41927</v>
      </c>
      <c r="X195">
        <f t="shared" ref="X195:X258" si="15">100+Z195</f>
        <v>52.3</v>
      </c>
      <c r="Y195">
        <v>1293</v>
      </c>
      <c r="Z195">
        <v>-47.7</v>
      </c>
      <c r="AA195">
        <v>25.34</v>
      </c>
    </row>
    <row r="196" spans="1:27" x14ac:dyDescent="0.2">
      <c r="A196" t="s">
        <v>72</v>
      </c>
      <c r="B196" s="1">
        <v>40892</v>
      </c>
      <c r="C196">
        <v>15.5</v>
      </c>
      <c r="D196">
        <f t="shared" si="12"/>
        <v>115.5</v>
      </c>
      <c r="E196">
        <v>1300</v>
      </c>
      <c r="H196" t="s">
        <v>72</v>
      </c>
      <c r="I196" s="1">
        <v>41685</v>
      </c>
      <c r="J196">
        <f t="shared" si="13"/>
        <v>97</v>
      </c>
      <c r="K196">
        <v>1220</v>
      </c>
      <c r="L196">
        <v>-3</v>
      </c>
      <c r="M196">
        <v>48.45</v>
      </c>
      <c r="O196" t="s">
        <v>72</v>
      </c>
      <c r="P196" s="1">
        <v>41470</v>
      </c>
      <c r="Q196" s="36">
        <f t="shared" si="14"/>
        <v>100.1</v>
      </c>
      <c r="R196">
        <v>1220</v>
      </c>
      <c r="S196">
        <v>0.1</v>
      </c>
      <c r="T196">
        <v>50.05</v>
      </c>
      <c r="V196" t="s">
        <v>72</v>
      </c>
      <c r="W196" s="1">
        <v>41958</v>
      </c>
      <c r="X196">
        <f t="shared" si="15"/>
        <v>48.8</v>
      </c>
      <c r="Y196">
        <v>1300</v>
      </c>
      <c r="Z196">
        <v>-51.2</v>
      </c>
      <c r="AA196">
        <v>23.55</v>
      </c>
    </row>
    <row r="197" spans="1:27" x14ac:dyDescent="0.2">
      <c r="A197" t="s">
        <v>72</v>
      </c>
      <c r="B197" s="1">
        <v>40954</v>
      </c>
      <c r="C197">
        <v>19.8</v>
      </c>
      <c r="D197">
        <f t="shared" si="12"/>
        <v>119.8</v>
      </c>
      <c r="E197">
        <v>1300</v>
      </c>
      <c r="H197" t="s">
        <v>72</v>
      </c>
      <c r="I197" s="1">
        <v>41713</v>
      </c>
      <c r="J197">
        <f t="shared" si="13"/>
        <v>85.9</v>
      </c>
      <c r="K197">
        <v>1220</v>
      </c>
      <c r="L197">
        <v>-14.1</v>
      </c>
      <c r="M197">
        <v>42.74</v>
      </c>
      <c r="O197" t="s">
        <v>72</v>
      </c>
      <c r="P197" s="1">
        <v>41501</v>
      </c>
      <c r="Q197" s="36">
        <f t="shared" si="14"/>
        <v>97.7</v>
      </c>
      <c r="R197">
        <v>1220</v>
      </c>
      <c r="S197">
        <v>-2.2999999999999998</v>
      </c>
      <c r="T197">
        <v>48.8</v>
      </c>
      <c r="V197" t="s">
        <v>72</v>
      </c>
      <c r="W197" s="1">
        <v>42050</v>
      </c>
      <c r="X197">
        <f t="shared" si="15"/>
        <v>50.6</v>
      </c>
      <c r="Y197">
        <v>1300</v>
      </c>
      <c r="Z197">
        <v>-49.4</v>
      </c>
      <c r="AA197">
        <v>24.27</v>
      </c>
    </row>
    <row r="198" spans="1:27" x14ac:dyDescent="0.2">
      <c r="A198" t="s">
        <v>72</v>
      </c>
      <c r="B198" s="1">
        <v>40983</v>
      </c>
      <c r="C198">
        <v>32.9</v>
      </c>
      <c r="D198">
        <f t="shared" si="12"/>
        <v>132.9</v>
      </c>
      <c r="E198">
        <v>1300</v>
      </c>
      <c r="H198" t="s">
        <v>72</v>
      </c>
      <c r="I198" s="1">
        <v>41744</v>
      </c>
      <c r="J198">
        <f t="shared" si="13"/>
        <v>77.8</v>
      </c>
      <c r="K198">
        <v>1220</v>
      </c>
      <c r="L198">
        <v>-22.2</v>
      </c>
      <c r="M198">
        <v>38.46</v>
      </c>
      <c r="O198" t="s">
        <v>72</v>
      </c>
      <c r="P198" s="1">
        <v>41532</v>
      </c>
      <c r="Q198" s="36">
        <f t="shared" si="14"/>
        <v>86</v>
      </c>
      <c r="R198">
        <v>1220</v>
      </c>
      <c r="S198">
        <v>-14</v>
      </c>
      <c r="T198">
        <v>42.69</v>
      </c>
      <c r="V198" t="s">
        <v>72</v>
      </c>
      <c r="W198" s="1">
        <v>42208</v>
      </c>
      <c r="X198">
        <f t="shared" si="15"/>
        <v>53.9</v>
      </c>
      <c r="Y198">
        <v>1000</v>
      </c>
      <c r="Z198">
        <v>-46.1</v>
      </c>
      <c r="AA198">
        <v>25.66</v>
      </c>
    </row>
    <row r="199" spans="1:27" x14ac:dyDescent="0.2">
      <c r="A199" t="s">
        <v>72</v>
      </c>
      <c r="B199" s="1">
        <v>41014</v>
      </c>
      <c r="C199">
        <v>35.799999999999997</v>
      </c>
      <c r="D199">
        <f t="shared" si="12"/>
        <v>135.80000000000001</v>
      </c>
      <c r="E199">
        <v>1300</v>
      </c>
      <c r="H199" t="s">
        <v>72</v>
      </c>
      <c r="I199" s="1">
        <v>41774</v>
      </c>
      <c r="J199">
        <f t="shared" si="13"/>
        <v>80.3</v>
      </c>
      <c r="K199">
        <v>1220</v>
      </c>
      <c r="L199">
        <v>-19.7</v>
      </c>
      <c r="M199">
        <v>39.9</v>
      </c>
      <c r="O199" t="s">
        <v>72</v>
      </c>
      <c r="P199" s="1">
        <v>41593</v>
      </c>
      <c r="Q199" s="36">
        <f t="shared" si="14"/>
        <v>105.8</v>
      </c>
      <c r="R199">
        <v>1220</v>
      </c>
      <c r="S199">
        <v>5.8</v>
      </c>
      <c r="T199">
        <v>53.05</v>
      </c>
      <c r="V199" t="s">
        <v>209</v>
      </c>
      <c r="W199" s="1">
        <v>33637</v>
      </c>
      <c r="X199">
        <f t="shared" si="15"/>
        <v>102.25</v>
      </c>
      <c r="Y199">
        <v>22</v>
      </c>
      <c r="Z199">
        <v>2.25</v>
      </c>
      <c r="AA199">
        <v>400</v>
      </c>
    </row>
    <row r="200" spans="1:27" x14ac:dyDescent="0.2">
      <c r="A200" t="s">
        <v>72</v>
      </c>
      <c r="B200" s="1">
        <v>41075</v>
      </c>
      <c r="C200">
        <v>33</v>
      </c>
      <c r="D200">
        <f t="shared" si="12"/>
        <v>133</v>
      </c>
      <c r="E200">
        <v>1300</v>
      </c>
      <c r="H200" t="s">
        <v>72</v>
      </c>
      <c r="I200" s="1">
        <v>41846</v>
      </c>
      <c r="J200">
        <f t="shared" si="13"/>
        <v>73.099999999999994</v>
      </c>
      <c r="K200">
        <v>1220</v>
      </c>
      <c r="L200">
        <v>-26.9</v>
      </c>
      <c r="M200">
        <v>36.229999999999997</v>
      </c>
      <c r="O200" t="s">
        <v>72</v>
      </c>
      <c r="P200" s="1">
        <v>41685</v>
      </c>
      <c r="Q200" s="36">
        <f t="shared" si="14"/>
        <v>97</v>
      </c>
      <c r="R200">
        <v>1220</v>
      </c>
      <c r="S200">
        <v>-3</v>
      </c>
      <c r="T200">
        <v>48.45</v>
      </c>
      <c r="V200" t="s">
        <v>209</v>
      </c>
      <c r="W200" s="1">
        <v>33752</v>
      </c>
      <c r="X200">
        <f t="shared" si="15"/>
        <v>104</v>
      </c>
      <c r="Y200">
        <v>27</v>
      </c>
      <c r="Z200">
        <v>4</v>
      </c>
      <c r="AA200">
        <v>400</v>
      </c>
    </row>
    <row r="201" spans="1:27" x14ac:dyDescent="0.2">
      <c r="A201" t="s">
        <v>72</v>
      </c>
      <c r="B201" s="1">
        <v>41105</v>
      </c>
      <c r="C201">
        <v>29</v>
      </c>
      <c r="D201">
        <f t="shared" si="12"/>
        <v>129</v>
      </c>
      <c r="E201">
        <v>1300</v>
      </c>
      <c r="H201" t="s">
        <v>72</v>
      </c>
      <c r="I201" s="1">
        <v>41912</v>
      </c>
      <c r="J201">
        <f t="shared" si="13"/>
        <v>62.7</v>
      </c>
      <c r="K201">
        <v>1220</v>
      </c>
      <c r="L201">
        <v>-37.299999999999997</v>
      </c>
      <c r="M201">
        <v>30.91</v>
      </c>
      <c r="O201" t="s">
        <v>72</v>
      </c>
      <c r="P201" s="1">
        <v>41713</v>
      </c>
      <c r="Q201" s="36">
        <f t="shared" si="14"/>
        <v>85.9</v>
      </c>
      <c r="R201">
        <v>1220</v>
      </c>
      <c r="S201">
        <v>-14.1</v>
      </c>
      <c r="T201">
        <v>42.74</v>
      </c>
      <c r="V201" t="s">
        <v>209</v>
      </c>
      <c r="W201" s="1">
        <v>33844</v>
      </c>
      <c r="X201">
        <f t="shared" si="15"/>
        <v>102.75</v>
      </c>
      <c r="Y201">
        <v>29</v>
      </c>
      <c r="Z201">
        <v>2.75</v>
      </c>
      <c r="AA201">
        <v>400</v>
      </c>
    </row>
    <row r="202" spans="1:27" x14ac:dyDescent="0.2">
      <c r="A202" t="s">
        <v>72</v>
      </c>
      <c r="B202" s="1">
        <v>41136</v>
      </c>
      <c r="C202">
        <v>21.9</v>
      </c>
      <c r="D202">
        <f t="shared" si="12"/>
        <v>121.9</v>
      </c>
      <c r="E202">
        <v>1300</v>
      </c>
      <c r="H202" t="s">
        <v>72</v>
      </c>
      <c r="I202" s="1">
        <v>41927</v>
      </c>
      <c r="J202">
        <f t="shared" si="13"/>
        <v>52.3</v>
      </c>
      <c r="K202">
        <v>1220</v>
      </c>
      <c r="L202">
        <v>-47.7</v>
      </c>
      <c r="M202">
        <v>25.34</v>
      </c>
      <c r="O202" t="s">
        <v>72</v>
      </c>
      <c r="P202" s="1">
        <v>41744</v>
      </c>
      <c r="Q202" s="36">
        <f t="shared" si="14"/>
        <v>77.8</v>
      </c>
      <c r="R202">
        <v>1220</v>
      </c>
      <c r="S202">
        <v>-22.2</v>
      </c>
      <c r="T202">
        <v>38.46</v>
      </c>
      <c r="V202" t="s">
        <v>209</v>
      </c>
      <c r="W202" s="1">
        <v>33910</v>
      </c>
      <c r="X202">
        <f t="shared" si="15"/>
        <v>101.5</v>
      </c>
      <c r="Y202">
        <v>35</v>
      </c>
      <c r="Z202">
        <v>1.5</v>
      </c>
      <c r="AA202">
        <v>402</v>
      </c>
    </row>
    <row r="203" spans="1:27" x14ac:dyDescent="0.2">
      <c r="A203" t="s">
        <v>72</v>
      </c>
      <c r="B203" s="1">
        <v>41167</v>
      </c>
      <c r="C203">
        <v>28.3</v>
      </c>
      <c r="D203">
        <f t="shared" si="12"/>
        <v>128.30000000000001</v>
      </c>
      <c r="E203">
        <v>1300</v>
      </c>
      <c r="H203" t="s">
        <v>72</v>
      </c>
      <c r="I203" s="1">
        <v>41958</v>
      </c>
      <c r="J203">
        <f t="shared" si="13"/>
        <v>48.8</v>
      </c>
      <c r="K203">
        <v>1220</v>
      </c>
      <c r="L203">
        <v>-51.2</v>
      </c>
      <c r="M203">
        <v>23.55</v>
      </c>
      <c r="O203" t="s">
        <v>72</v>
      </c>
      <c r="P203" s="1">
        <v>41774</v>
      </c>
      <c r="Q203" s="36">
        <f t="shared" si="14"/>
        <v>80.3</v>
      </c>
      <c r="R203">
        <v>1220</v>
      </c>
      <c r="S203">
        <v>-19.7</v>
      </c>
      <c r="T203">
        <v>39.9</v>
      </c>
      <c r="V203" t="s">
        <v>195</v>
      </c>
      <c r="W203" s="1">
        <v>41798</v>
      </c>
      <c r="X203">
        <f t="shared" si="15"/>
        <v>125.6</v>
      </c>
      <c r="Y203">
        <v>1400</v>
      </c>
      <c r="Z203">
        <v>25.6</v>
      </c>
      <c r="AA203">
        <v>63.11</v>
      </c>
    </row>
    <row r="204" spans="1:27" x14ac:dyDescent="0.2">
      <c r="A204" t="s">
        <v>72</v>
      </c>
      <c r="B204" s="1">
        <v>41194</v>
      </c>
      <c r="C204">
        <v>40.5</v>
      </c>
      <c r="D204">
        <f t="shared" si="12"/>
        <v>140.5</v>
      </c>
      <c r="E204">
        <v>1300</v>
      </c>
      <c r="H204" t="s">
        <v>72</v>
      </c>
      <c r="I204" s="1">
        <v>42050</v>
      </c>
      <c r="J204">
        <f t="shared" si="13"/>
        <v>50.6</v>
      </c>
      <c r="K204">
        <v>1220</v>
      </c>
      <c r="L204">
        <v>-49.4</v>
      </c>
      <c r="M204">
        <v>24.27</v>
      </c>
      <c r="O204" t="s">
        <v>72</v>
      </c>
      <c r="P204" s="1">
        <v>41846</v>
      </c>
      <c r="Q204" s="36">
        <f t="shared" si="14"/>
        <v>73.099999999999994</v>
      </c>
      <c r="R204">
        <v>1220</v>
      </c>
      <c r="S204">
        <v>-26.9</v>
      </c>
      <c r="T204">
        <v>36.229999999999997</v>
      </c>
      <c r="V204" t="s">
        <v>195</v>
      </c>
      <c r="W204" s="1">
        <v>41938</v>
      </c>
      <c r="X204">
        <f t="shared" si="15"/>
        <v>112.07</v>
      </c>
      <c r="Y204">
        <v>1378</v>
      </c>
      <c r="Z204">
        <v>12.07</v>
      </c>
      <c r="AA204">
        <v>56.4</v>
      </c>
    </row>
    <row r="205" spans="1:27" x14ac:dyDescent="0.2">
      <c r="A205" t="s">
        <v>72</v>
      </c>
      <c r="B205" s="1">
        <v>40983</v>
      </c>
      <c r="C205">
        <v>31.1</v>
      </c>
      <c r="D205">
        <f t="shared" si="12"/>
        <v>131.1</v>
      </c>
      <c r="E205">
        <v>1300</v>
      </c>
      <c r="H205" t="s">
        <v>72</v>
      </c>
      <c r="I205" s="1">
        <v>42208</v>
      </c>
      <c r="J205">
        <f t="shared" si="13"/>
        <v>53.9</v>
      </c>
      <c r="K205">
        <v>1220</v>
      </c>
      <c r="L205">
        <v>-46.1</v>
      </c>
      <c r="M205">
        <v>25.66</v>
      </c>
      <c r="O205" t="s">
        <v>72</v>
      </c>
      <c r="P205" s="1">
        <v>41912</v>
      </c>
      <c r="Q205" s="36">
        <f t="shared" si="14"/>
        <v>62.7</v>
      </c>
      <c r="R205">
        <v>1220</v>
      </c>
      <c r="S205">
        <v>-37.299999999999997</v>
      </c>
      <c r="T205">
        <v>30.91</v>
      </c>
      <c r="V205" t="s">
        <v>211</v>
      </c>
      <c r="W205" s="1">
        <v>41394</v>
      </c>
      <c r="X205">
        <f t="shared" si="15"/>
        <v>81</v>
      </c>
      <c r="Y205">
        <v>1000</v>
      </c>
      <c r="Z205">
        <v>-19</v>
      </c>
      <c r="AA205">
        <v>40</v>
      </c>
    </row>
    <row r="206" spans="1:27" x14ac:dyDescent="0.2">
      <c r="A206" t="s">
        <v>72</v>
      </c>
      <c r="B206" s="1">
        <v>40999</v>
      </c>
      <c r="C206">
        <v>25.3</v>
      </c>
      <c r="D206">
        <f t="shared" si="12"/>
        <v>125.3</v>
      </c>
      <c r="E206">
        <v>1300</v>
      </c>
      <c r="H206" t="s">
        <v>209</v>
      </c>
      <c r="I206" s="1">
        <v>33637</v>
      </c>
      <c r="J206">
        <f t="shared" si="13"/>
        <v>102.25</v>
      </c>
      <c r="K206">
        <v>1220</v>
      </c>
      <c r="L206">
        <v>2.25</v>
      </c>
      <c r="M206">
        <v>400</v>
      </c>
      <c r="O206" t="s">
        <v>72</v>
      </c>
      <c r="P206" s="1">
        <v>41927</v>
      </c>
      <c r="Q206" s="36">
        <f t="shared" si="14"/>
        <v>52.3</v>
      </c>
      <c r="R206">
        <v>1220</v>
      </c>
      <c r="S206">
        <v>-47.7</v>
      </c>
      <c r="T206">
        <v>25.34</v>
      </c>
      <c r="V206" t="s">
        <v>211</v>
      </c>
      <c r="W206" s="1">
        <v>41424</v>
      </c>
      <c r="X206">
        <f t="shared" si="15"/>
        <v>86</v>
      </c>
      <c r="Y206">
        <v>1000</v>
      </c>
      <c r="Z206">
        <v>-14</v>
      </c>
      <c r="AA206">
        <v>42.22</v>
      </c>
    </row>
    <row r="207" spans="1:27" x14ac:dyDescent="0.2">
      <c r="A207" t="s">
        <v>72</v>
      </c>
      <c r="B207" s="1">
        <v>41014</v>
      </c>
      <c r="C207">
        <v>49.1</v>
      </c>
      <c r="D207">
        <f t="shared" si="12"/>
        <v>149.1</v>
      </c>
      <c r="E207">
        <v>1300</v>
      </c>
      <c r="H207" t="s">
        <v>209</v>
      </c>
      <c r="I207" s="1">
        <v>33752</v>
      </c>
      <c r="J207">
        <f t="shared" si="13"/>
        <v>104</v>
      </c>
      <c r="K207">
        <v>1220</v>
      </c>
      <c r="L207">
        <v>4</v>
      </c>
      <c r="M207">
        <v>400</v>
      </c>
      <c r="O207" t="s">
        <v>72</v>
      </c>
      <c r="P207" s="1">
        <v>41958</v>
      </c>
      <c r="Q207" s="36">
        <f t="shared" si="14"/>
        <v>48.8</v>
      </c>
      <c r="R207">
        <v>1220</v>
      </c>
      <c r="S207">
        <v>-51.2</v>
      </c>
      <c r="T207">
        <v>23.55</v>
      </c>
      <c r="V207" t="s">
        <v>211</v>
      </c>
      <c r="W207" s="1">
        <v>41455</v>
      </c>
      <c r="X207">
        <f t="shared" si="15"/>
        <v>86.67</v>
      </c>
      <c r="Y207">
        <v>1000</v>
      </c>
      <c r="Z207">
        <v>-13.33</v>
      </c>
      <c r="AA207">
        <v>42.69</v>
      </c>
    </row>
    <row r="208" spans="1:27" x14ac:dyDescent="0.2">
      <c r="H208" t="s">
        <v>209</v>
      </c>
      <c r="I208" s="1">
        <v>33844</v>
      </c>
      <c r="J208">
        <f t="shared" si="13"/>
        <v>102.75</v>
      </c>
      <c r="K208">
        <v>1220</v>
      </c>
      <c r="L208">
        <v>2.75</v>
      </c>
      <c r="M208">
        <v>400</v>
      </c>
      <c r="O208" t="s">
        <v>72</v>
      </c>
      <c r="P208" s="1">
        <v>42050</v>
      </c>
      <c r="Q208" s="36">
        <f t="shared" si="14"/>
        <v>50.6</v>
      </c>
      <c r="R208">
        <v>1220</v>
      </c>
      <c r="S208">
        <v>-49.4</v>
      </c>
      <c r="T208">
        <v>24.27</v>
      </c>
      <c r="V208" t="s">
        <v>211</v>
      </c>
      <c r="W208" s="1">
        <v>41485</v>
      </c>
      <c r="X208">
        <f t="shared" si="15"/>
        <v>89.43</v>
      </c>
      <c r="Y208">
        <v>1000</v>
      </c>
      <c r="Z208">
        <v>-10.57</v>
      </c>
      <c r="AA208">
        <v>44.07</v>
      </c>
    </row>
    <row r="209" spans="8:27" x14ac:dyDescent="0.2">
      <c r="H209" t="s">
        <v>209</v>
      </c>
      <c r="I209" s="1">
        <v>33910</v>
      </c>
      <c r="J209">
        <f t="shared" si="13"/>
        <v>101.5</v>
      </c>
      <c r="K209">
        <v>1220</v>
      </c>
      <c r="L209">
        <v>1.5</v>
      </c>
      <c r="M209">
        <v>402</v>
      </c>
      <c r="O209" t="s">
        <v>72</v>
      </c>
      <c r="P209" s="1">
        <v>42208</v>
      </c>
      <c r="Q209" s="36">
        <f t="shared" si="14"/>
        <v>53.9</v>
      </c>
      <c r="R209">
        <v>1220</v>
      </c>
      <c r="S209">
        <v>-46.1</v>
      </c>
      <c r="T209">
        <v>25.66</v>
      </c>
      <c r="V209" t="s">
        <v>96</v>
      </c>
      <c r="W209" s="1">
        <v>38317</v>
      </c>
      <c r="X209">
        <f t="shared" si="15"/>
        <v>95</v>
      </c>
      <c r="Y209">
        <v>1000</v>
      </c>
      <c r="Z209">
        <v>-5</v>
      </c>
      <c r="AA209">
        <v>46.03</v>
      </c>
    </row>
    <row r="210" spans="8:27" x14ac:dyDescent="0.2">
      <c r="H210" t="s">
        <v>195</v>
      </c>
      <c r="I210" s="1">
        <v>41798</v>
      </c>
      <c r="J210">
        <f t="shared" si="13"/>
        <v>125.6</v>
      </c>
      <c r="K210">
        <v>1476</v>
      </c>
      <c r="L210">
        <v>25.6</v>
      </c>
      <c r="M210">
        <v>63.11</v>
      </c>
      <c r="O210" t="s">
        <v>209</v>
      </c>
      <c r="P210" s="1">
        <v>33637</v>
      </c>
      <c r="Q210" s="36">
        <f t="shared" si="14"/>
        <v>102.25</v>
      </c>
      <c r="R210">
        <v>1220</v>
      </c>
      <c r="S210">
        <v>2.25</v>
      </c>
      <c r="T210">
        <v>400</v>
      </c>
      <c r="V210" t="s">
        <v>79</v>
      </c>
      <c r="W210" s="1">
        <v>36234</v>
      </c>
      <c r="X210">
        <f t="shared" si="15"/>
        <v>173</v>
      </c>
      <c r="Y210">
        <v>1200</v>
      </c>
      <c r="Z210">
        <v>73</v>
      </c>
      <c r="AA210">
        <v>88.42</v>
      </c>
    </row>
    <row r="211" spans="8:27" x14ac:dyDescent="0.2">
      <c r="H211" t="s">
        <v>195</v>
      </c>
      <c r="I211" s="1">
        <v>41938</v>
      </c>
      <c r="J211">
        <f t="shared" si="13"/>
        <v>112.07</v>
      </c>
      <c r="K211">
        <v>1476</v>
      </c>
      <c r="L211">
        <v>12.07</v>
      </c>
      <c r="M211">
        <v>56.4</v>
      </c>
      <c r="O211" t="s">
        <v>209</v>
      </c>
      <c r="P211" s="1">
        <v>33752</v>
      </c>
      <c r="Q211" s="36">
        <f t="shared" si="14"/>
        <v>104</v>
      </c>
      <c r="R211">
        <v>1220</v>
      </c>
      <c r="S211">
        <v>4</v>
      </c>
      <c r="T211">
        <v>400</v>
      </c>
      <c r="V211" t="s">
        <v>79</v>
      </c>
      <c r="W211" s="1">
        <v>36326</v>
      </c>
      <c r="X211">
        <f t="shared" si="15"/>
        <v>161</v>
      </c>
      <c r="Y211">
        <v>1200</v>
      </c>
      <c r="Z211">
        <v>61</v>
      </c>
      <c r="AA211">
        <v>82.11</v>
      </c>
    </row>
    <row r="212" spans="8:27" x14ac:dyDescent="0.2">
      <c r="H212" t="s">
        <v>211</v>
      </c>
      <c r="I212" s="1">
        <v>41394</v>
      </c>
      <c r="J212">
        <f t="shared" si="13"/>
        <v>81</v>
      </c>
      <c r="K212">
        <v>1000</v>
      </c>
      <c r="L212">
        <v>-19</v>
      </c>
      <c r="M212">
        <v>40</v>
      </c>
      <c r="O212" t="s">
        <v>209</v>
      </c>
      <c r="P212" s="1">
        <v>33844</v>
      </c>
      <c r="Q212" s="36">
        <f t="shared" si="14"/>
        <v>102.75</v>
      </c>
      <c r="R212">
        <v>1220</v>
      </c>
      <c r="S212">
        <v>2.75</v>
      </c>
      <c r="T212">
        <v>400</v>
      </c>
      <c r="V212" t="s">
        <v>79</v>
      </c>
      <c r="W212" s="1">
        <v>36509</v>
      </c>
      <c r="X212">
        <f t="shared" si="15"/>
        <v>148</v>
      </c>
      <c r="Y212">
        <v>1200</v>
      </c>
      <c r="Z212">
        <v>48</v>
      </c>
      <c r="AA212">
        <v>75.53</v>
      </c>
    </row>
    <row r="213" spans="8:27" x14ac:dyDescent="0.2">
      <c r="H213" t="s">
        <v>211</v>
      </c>
      <c r="I213" s="1">
        <v>41424</v>
      </c>
      <c r="J213">
        <f t="shared" si="13"/>
        <v>86</v>
      </c>
      <c r="K213">
        <v>1000</v>
      </c>
      <c r="L213">
        <v>-14</v>
      </c>
      <c r="M213">
        <v>42.22</v>
      </c>
      <c r="O213" t="s">
        <v>209</v>
      </c>
      <c r="P213" s="1">
        <v>33910</v>
      </c>
      <c r="Q213" s="36">
        <f t="shared" si="14"/>
        <v>101.5</v>
      </c>
      <c r="R213">
        <v>1220</v>
      </c>
      <c r="S213">
        <v>1.5</v>
      </c>
      <c r="T213">
        <v>402</v>
      </c>
      <c r="V213" t="s">
        <v>79</v>
      </c>
      <c r="W213" s="1">
        <v>36692</v>
      </c>
      <c r="X213">
        <f t="shared" si="15"/>
        <v>130</v>
      </c>
      <c r="Y213">
        <v>1200</v>
      </c>
      <c r="Z213">
        <v>30</v>
      </c>
      <c r="AA213">
        <v>65.63</v>
      </c>
    </row>
    <row r="214" spans="8:27" x14ac:dyDescent="0.2">
      <c r="H214" t="s">
        <v>211</v>
      </c>
      <c r="I214" s="1">
        <v>41455</v>
      </c>
      <c r="J214">
        <f t="shared" si="13"/>
        <v>86.67</v>
      </c>
      <c r="K214">
        <v>1000</v>
      </c>
      <c r="L214">
        <v>-13.33</v>
      </c>
      <c r="M214">
        <v>42.69</v>
      </c>
      <c r="O214" t="s">
        <v>195</v>
      </c>
      <c r="P214" s="1">
        <v>41798</v>
      </c>
      <c r="Q214" s="36">
        <f t="shared" si="14"/>
        <v>125.6</v>
      </c>
      <c r="R214">
        <v>1476</v>
      </c>
      <c r="S214">
        <v>25.6</v>
      </c>
      <c r="T214">
        <v>63.11</v>
      </c>
      <c r="V214" t="s">
        <v>79</v>
      </c>
      <c r="W214" s="1">
        <v>36784</v>
      </c>
      <c r="X214">
        <f t="shared" si="15"/>
        <v>127</v>
      </c>
      <c r="Y214">
        <v>1200</v>
      </c>
      <c r="Z214">
        <v>27</v>
      </c>
      <c r="AA214">
        <v>64.52</v>
      </c>
    </row>
    <row r="215" spans="8:27" x14ac:dyDescent="0.2">
      <c r="H215" t="s">
        <v>211</v>
      </c>
      <c r="I215" s="1">
        <v>41485</v>
      </c>
      <c r="J215">
        <f t="shared" si="13"/>
        <v>89.43</v>
      </c>
      <c r="K215">
        <v>1000</v>
      </c>
      <c r="L215">
        <v>-10.57</v>
      </c>
      <c r="M215">
        <v>44.07</v>
      </c>
      <c r="O215" t="s">
        <v>195</v>
      </c>
      <c r="P215" s="1">
        <v>41938</v>
      </c>
      <c r="Q215" s="36">
        <f t="shared" si="14"/>
        <v>112.07</v>
      </c>
      <c r="R215">
        <v>1476</v>
      </c>
      <c r="S215">
        <v>12.07</v>
      </c>
      <c r="T215">
        <v>56.4</v>
      </c>
      <c r="V215" t="s">
        <v>79</v>
      </c>
      <c r="W215" s="1">
        <v>36965</v>
      </c>
      <c r="X215">
        <f t="shared" si="15"/>
        <v>143</v>
      </c>
      <c r="Y215">
        <v>1200</v>
      </c>
      <c r="Z215">
        <v>43</v>
      </c>
      <c r="AA215">
        <v>73.12</v>
      </c>
    </row>
    <row r="216" spans="8:27" x14ac:dyDescent="0.2">
      <c r="H216" t="s">
        <v>96</v>
      </c>
      <c r="I216" s="1">
        <v>38317</v>
      </c>
      <c r="J216">
        <f t="shared" si="13"/>
        <v>95</v>
      </c>
      <c r="K216">
        <v>403</v>
      </c>
      <c r="L216">
        <v>-5</v>
      </c>
      <c r="M216">
        <v>46.03</v>
      </c>
      <c r="O216" t="s">
        <v>211</v>
      </c>
      <c r="P216" s="1">
        <v>41394</v>
      </c>
      <c r="Q216" s="36">
        <f t="shared" si="14"/>
        <v>81</v>
      </c>
      <c r="R216">
        <v>1000</v>
      </c>
      <c r="S216">
        <v>-19</v>
      </c>
      <c r="T216">
        <v>40</v>
      </c>
      <c r="V216" t="s">
        <v>79</v>
      </c>
      <c r="W216" s="1">
        <v>37149</v>
      </c>
      <c r="X216">
        <f t="shared" si="15"/>
        <v>100</v>
      </c>
      <c r="Y216">
        <v>1200</v>
      </c>
      <c r="Z216">
        <v>0</v>
      </c>
      <c r="AA216">
        <v>50</v>
      </c>
    </row>
    <row r="217" spans="8:27" x14ac:dyDescent="0.2">
      <c r="H217" t="s">
        <v>79</v>
      </c>
      <c r="I217" s="1">
        <v>36234</v>
      </c>
      <c r="J217">
        <f t="shared" si="13"/>
        <v>173</v>
      </c>
      <c r="K217">
        <v>1200</v>
      </c>
      <c r="L217">
        <v>73</v>
      </c>
      <c r="M217">
        <v>88.42</v>
      </c>
      <c r="O217" t="s">
        <v>211</v>
      </c>
      <c r="P217" s="1">
        <v>41424</v>
      </c>
      <c r="Q217" s="36">
        <f t="shared" si="14"/>
        <v>86</v>
      </c>
      <c r="R217">
        <v>1000</v>
      </c>
      <c r="S217">
        <v>-14</v>
      </c>
      <c r="T217">
        <v>42.22</v>
      </c>
      <c r="V217" t="s">
        <v>79</v>
      </c>
      <c r="W217" s="1">
        <v>37240</v>
      </c>
      <c r="X217">
        <f t="shared" si="15"/>
        <v>75</v>
      </c>
      <c r="Y217">
        <v>1200</v>
      </c>
      <c r="Z217">
        <v>-25</v>
      </c>
      <c r="AA217">
        <v>36.26</v>
      </c>
    </row>
    <row r="218" spans="8:27" x14ac:dyDescent="0.2">
      <c r="H218" t="s">
        <v>79</v>
      </c>
      <c r="I218" s="1">
        <v>36326</v>
      </c>
      <c r="J218">
        <f t="shared" si="13"/>
        <v>161</v>
      </c>
      <c r="K218">
        <v>1200</v>
      </c>
      <c r="L218">
        <v>61</v>
      </c>
      <c r="M218">
        <v>82.11</v>
      </c>
      <c r="O218" t="s">
        <v>211</v>
      </c>
      <c r="P218" s="1">
        <v>41455</v>
      </c>
      <c r="Q218" s="36">
        <f t="shared" si="14"/>
        <v>86.67</v>
      </c>
      <c r="R218">
        <v>1000</v>
      </c>
      <c r="S218">
        <v>-13.33</v>
      </c>
      <c r="T218">
        <v>42.69</v>
      </c>
      <c r="V218" t="s">
        <v>79</v>
      </c>
      <c r="W218" s="1">
        <v>37330</v>
      </c>
      <c r="X218">
        <f t="shared" si="15"/>
        <v>74</v>
      </c>
      <c r="Y218">
        <v>1200</v>
      </c>
      <c r="Z218">
        <v>-26</v>
      </c>
      <c r="AA218">
        <v>35.229999999999997</v>
      </c>
    </row>
    <row r="219" spans="8:27" x14ac:dyDescent="0.2">
      <c r="H219" t="s">
        <v>79</v>
      </c>
      <c r="I219" s="1">
        <v>36509</v>
      </c>
      <c r="J219">
        <f t="shared" si="13"/>
        <v>148</v>
      </c>
      <c r="K219">
        <v>1200</v>
      </c>
      <c r="L219">
        <v>48</v>
      </c>
      <c r="M219">
        <v>75.53</v>
      </c>
      <c r="O219" t="s">
        <v>211</v>
      </c>
      <c r="P219" s="1">
        <v>41485</v>
      </c>
      <c r="Q219" s="36">
        <f t="shared" si="14"/>
        <v>89.43</v>
      </c>
      <c r="R219">
        <v>1000</v>
      </c>
      <c r="S219">
        <v>-10.57</v>
      </c>
      <c r="T219">
        <v>44.07</v>
      </c>
      <c r="V219" t="s">
        <v>79</v>
      </c>
      <c r="W219" s="1">
        <v>37422</v>
      </c>
      <c r="X219">
        <f t="shared" si="15"/>
        <v>85</v>
      </c>
      <c r="Y219">
        <v>1200</v>
      </c>
      <c r="Z219">
        <v>-15</v>
      </c>
      <c r="AA219">
        <v>41.18</v>
      </c>
    </row>
    <row r="220" spans="8:27" x14ac:dyDescent="0.2">
      <c r="H220" t="s">
        <v>79</v>
      </c>
      <c r="I220" s="1">
        <v>36692</v>
      </c>
      <c r="J220">
        <f t="shared" si="13"/>
        <v>130</v>
      </c>
      <c r="K220">
        <v>1200</v>
      </c>
      <c r="L220">
        <v>30</v>
      </c>
      <c r="M220">
        <v>65.63</v>
      </c>
      <c r="O220" t="s">
        <v>96</v>
      </c>
      <c r="P220" s="1">
        <v>38317</v>
      </c>
      <c r="Q220" s="36">
        <f t="shared" si="14"/>
        <v>95</v>
      </c>
      <c r="R220">
        <v>403</v>
      </c>
      <c r="S220">
        <v>-5</v>
      </c>
      <c r="T220">
        <v>46.03</v>
      </c>
      <c r="V220" t="s">
        <v>79</v>
      </c>
      <c r="W220" s="1">
        <v>37514</v>
      </c>
      <c r="X220">
        <f t="shared" si="15"/>
        <v>80</v>
      </c>
      <c r="Y220">
        <v>1200</v>
      </c>
      <c r="Z220">
        <v>-20</v>
      </c>
      <c r="AA220">
        <v>38.369999999999997</v>
      </c>
    </row>
    <row r="221" spans="8:27" x14ac:dyDescent="0.2">
      <c r="H221" t="s">
        <v>79</v>
      </c>
      <c r="I221" s="1">
        <v>36784</v>
      </c>
      <c r="J221">
        <f t="shared" si="13"/>
        <v>127</v>
      </c>
      <c r="K221">
        <v>1200</v>
      </c>
      <c r="L221">
        <v>27</v>
      </c>
      <c r="M221">
        <v>64.52</v>
      </c>
      <c r="O221" t="s">
        <v>79</v>
      </c>
      <c r="P221" s="1">
        <v>36234</v>
      </c>
      <c r="Q221" s="36">
        <f t="shared" si="14"/>
        <v>173</v>
      </c>
      <c r="R221">
        <v>1200</v>
      </c>
      <c r="S221">
        <v>73</v>
      </c>
      <c r="T221">
        <v>88.42</v>
      </c>
      <c r="V221" t="s">
        <v>79</v>
      </c>
      <c r="W221" s="1">
        <v>37605</v>
      </c>
      <c r="X221">
        <f t="shared" si="15"/>
        <v>82</v>
      </c>
      <c r="Y221">
        <v>1200</v>
      </c>
      <c r="Z221">
        <v>-18</v>
      </c>
      <c r="AA221">
        <v>40</v>
      </c>
    </row>
    <row r="222" spans="8:27" x14ac:dyDescent="0.2">
      <c r="H222" t="s">
        <v>79</v>
      </c>
      <c r="I222" s="1">
        <v>36965</v>
      </c>
      <c r="J222">
        <f t="shared" si="13"/>
        <v>143</v>
      </c>
      <c r="K222">
        <v>1200</v>
      </c>
      <c r="L222">
        <v>43</v>
      </c>
      <c r="M222">
        <v>73.12</v>
      </c>
      <c r="O222" t="s">
        <v>79</v>
      </c>
      <c r="P222" s="1">
        <v>36326</v>
      </c>
      <c r="Q222" s="36">
        <f t="shared" si="14"/>
        <v>161</v>
      </c>
      <c r="R222">
        <v>1200</v>
      </c>
      <c r="S222">
        <v>61</v>
      </c>
      <c r="T222">
        <v>82.11</v>
      </c>
      <c r="V222" t="s">
        <v>79</v>
      </c>
      <c r="W222" s="1">
        <v>37787</v>
      </c>
      <c r="X222">
        <f t="shared" si="15"/>
        <v>90</v>
      </c>
      <c r="Y222">
        <v>1200</v>
      </c>
      <c r="Z222">
        <v>-10</v>
      </c>
      <c r="AA222">
        <v>44.79</v>
      </c>
    </row>
    <row r="223" spans="8:27" x14ac:dyDescent="0.2">
      <c r="H223" t="s">
        <v>79</v>
      </c>
      <c r="I223" s="1">
        <v>37149</v>
      </c>
      <c r="J223">
        <f t="shared" si="13"/>
        <v>100</v>
      </c>
      <c r="K223">
        <v>1200</v>
      </c>
      <c r="L223">
        <v>0</v>
      </c>
      <c r="M223">
        <v>50</v>
      </c>
      <c r="O223" t="s">
        <v>79</v>
      </c>
      <c r="P223" s="1">
        <v>36509</v>
      </c>
      <c r="Q223" s="36">
        <f t="shared" si="14"/>
        <v>148</v>
      </c>
      <c r="R223">
        <v>1200</v>
      </c>
      <c r="S223">
        <v>48</v>
      </c>
      <c r="T223">
        <v>75.53</v>
      </c>
      <c r="V223" t="s">
        <v>79</v>
      </c>
      <c r="W223" s="1">
        <v>37879</v>
      </c>
      <c r="X223">
        <f t="shared" si="15"/>
        <v>70</v>
      </c>
      <c r="Y223">
        <v>1200</v>
      </c>
      <c r="Z223">
        <v>-30</v>
      </c>
      <c r="AA223">
        <v>33.700000000000003</v>
      </c>
    </row>
    <row r="224" spans="8:27" x14ac:dyDescent="0.2">
      <c r="H224" t="s">
        <v>79</v>
      </c>
      <c r="I224" s="1">
        <v>37240</v>
      </c>
      <c r="J224">
        <f t="shared" si="13"/>
        <v>75</v>
      </c>
      <c r="K224">
        <v>1200</v>
      </c>
      <c r="L224">
        <v>-25</v>
      </c>
      <c r="M224">
        <v>36.26</v>
      </c>
      <c r="O224" t="s">
        <v>79</v>
      </c>
      <c r="P224" s="1">
        <v>36692</v>
      </c>
      <c r="Q224" s="36">
        <f t="shared" si="14"/>
        <v>130</v>
      </c>
      <c r="R224">
        <v>1200</v>
      </c>
      <c r="S224">
        <v>30</v>
      </c>
      <c r="T224">
        <v>65.63</v>
      </c>
      <c r="V224" t="s">
        <v>79</v>
      </c>
      <c r="W224" s="1">
        <v>37970</v>
      </c>
      <c r="X224">
        <f t="shared" si="15"/>
        <v>91</v>
      </c>
      <c r="Y224">
        <v>1200</v>
      </c>
      <c r="Z224">
        <v>-9</v>
      </c>
      <c r="AA224">
        <v>44.94</v>
      </c>
    </row>
    <row r="225" spans="8:27" x14ac:dyDescent="0.2">
      <c r="H225" t="s">
        <v>79</v>
      </c>
      <c r="I225" s="1">
        <v>37330</v>
      </c>
      <c r="J225">
        <f t="shared" si="13"/>
        <v>74</v>
      </c>
      <c r="K225">
        <v>1200</v>
      </c>
      <c r="L225">
        <v>-26</v>
      </c>
      <c r="M225">
        <v>35.229999999999997</v>
      </c>
      <c r="O225" t="s">
        <v>79</v>
      </c>
      <c r="P225" s="1">
        <v>36784</v>
      </c>
      <c r="Q225" s="36">
        <f t="shared" si="14"/>
        <v>127</v>
      </c>
      <c r="R225">
        <v>1200</v>
      </c>
      <c r="S225">
        <v>27</v>
      </c>
      <c r="T225">
        <v>64.52</v>
      </c>
      <c r="V225" t="s">
        <v>79</v>
      </c>
      <c r="W225" s="1">
        <v>38153</v>
      </c>
      <c r="X225">
        <f t="shared" si="15"/>
        <v>103</v>
      </c>
      <c r="Y225">
        <v>1200</v>
      </c>
      <c r="Z225">
        <v>3</v>
      </c>
      <c r="AA225">
        <v>51.69</v>
      </c>
    </row>
    <row r="226" spans="8:27" x14ac:dyDescent="0.2">
      <c r="H226" t="s">
        <v>79</v>
      </c>
      <c r="I226" s="1">
        <v>37422</v>
      </c>
      <c r="J226">
        <f t="shared" si="13"/>
        <v>85</v>
      </c>
      <c r="K226">
        <v>1200</v>
      </c>
      <c r="L226">
        <v>-15</v>
      </c>
      <c r="M226">
        <v>41.18</v>
      </c>
      <c r="O226" t="s">
        <v>79</v>
      </c>
      <c r="P226" s="1">
        <v>36965</v>
      </c>
      <c r="Q226" s="36">
        <f t="shared" si="14"/>
        <v>143</v>
      </c>
      <c r="R226">
        <v>1200</v>
      </c>
      <c r="S226">
        <v>43</v>
      </c>
      <c r="T226">
        <v>73.12</v>
      </c>
      <c r="V226" t="s">
        <v>79</v>
      </c>
      <c r="W226" s="1">
        <v>38245</v>
      </c>
      <c r="X226">
        <f t="shared" si="15"/>
        <v>113</v>
      </c>
      <c r="Y226">
        <v>1200</v>
      </c>
      <c r="Z226">
        <v>13</v>
      </c>
      <c r="AA226">
        <v>57.47</v>
      </c>
    </row>
    <row r="227" spans="8:27" x14ac:dyDescent="0.2">
      <c r="H227" t="s">
        <v>79</v>
      </c>
      <c r="I227" s="1">
        <v>37514</v>
      </c>
      <c r="J227">
        <f t="shared" si="13"/>
        <v>80</v>
      </c>
      <c r="K227">
        <v>1200</v>
      </c>
      <c r="L227">
        <v>-20</v>
      </c>
      <c r="M227">
        <v>38.369999999999997</v>
      </c>
      <c r="O227" t="s">
        <v>79</v>
      </c>
      <c r="P227" s="1">
        <v>37149</v>
      </c>
      <c r="Q227" s="36">
        <f t="shared" si="14"/>
        <v>100</v>
      </c>
      <c r="R227">
        <v>1200</v>
      </c>
      <c r="S227">
        <v>0</v>
      </c>
      <c r="T227">
        <v>50</v>
      </c>
      <c r="V227" t="s">
        <v>79</v>
      </c>
      <c r="W227" s="1">
        <v>38426</v>
      </c>
      <c r="X227">
        <f t="shared" si="15"/>
        <v>147</v>
      </c>
      <c r="Y227">
        <v>1200</v>
      </c>
      <c r="Z227">
        <v>47</v>
      </c>
      <c r="AA227">
        <v>75.819999999999993</v>
      </c>
    </row>
    <row r="228" spans="8:27" x14ac:dyDescent="0.2">
      <c r="H228" t="s">
        <v>79</v>
      </c>
      <c r="I228" s="1">
        <v>37605</v>
      </c>
      <c r="J228">
        <f t="shared" si="13"/>
        <v>82</v>
      </c>
      <c r="K228">
        <v>1200</v>
      </c>
      <c r="L228">
        <v>-18</v>
      </c>
      <c r="M228">
        <v>40</v>
      </c>
      <c r="O228" t="s">
        <v>79</v>
      </c>
      <c r="P228" s="1">
        <v>37240</v>
      </c>
      <c r="Q228" s="36">
        <f t="shared" si="14"/>
        <v>75</v>
      </c>
      <c r="R228">
        <v>1200</v>
      </c>
      <c r="S228">
        <v>-25</v>
      </c>
      <c r="T228">
        <v>36.26</v>
      </c>
      <c r="V228" t="s">
        <v>79</v>
      </c>
      <c r="W228" s="1">
        <v>38518</v>
      </c>
      <c r="X228">
        <f t="shared" si="15"/>
        <v>133</v>
      </c>
      <c r="Y228">
        <v>1200</v>
      </c>
      <c r="Z228">
        <v>33</v>
      </c>
      <c r="AA228">
        <v>68.540000000000006</v>
      </c>
    </row>
    <row r="229" spans="8:27" x14ac:dyDescent="0.2">
      <c r="H229" t="s">
        <v>79</v>
      </c>
      <c r="I229" s="1">
        <v>37787</v>
      </c>
      <c r="J229">
        <f t="shared" si="13"/>
        <v>90</v>
      </c>
      <c r="K229">
        <v>1200</v>
      </c>
      <c r="L229">
        <v>-10</v>
      </c>
      <c r="M229">
        <v>44.79</v>
      </c>
      <c r="O229" t="s">
        <v>79</v>
      </c>
      <c r="P229" s="1">
        <v>37330</v>
      </c>
      <c r="Q229" s="36">
        <f t="shared" si="14"/>
        <v>74</v>
      </c>
      <c r="R229">
        <v>1200</v>
      </c>
      <c r="S229">
        <v>-26</v>
      </c>
      <c r="T229">
        <v>35.229999999999997</v>
      </c>
      <c r="V229" t="s">
        <v>79</v>
      </c>
      <c r="W229" s="1">
        <v>38610</v>
      </c>
      <c r="X229">
        <f t="shared" si="15"/>
        <v>131</v>
      </c>
      <c r="Y229">
        <v>1200</v>
      </c>
      <c r="Z229">
        <v>31</v>
      </c>
      <c r="AA229">
        <v>67.03</v>
      </c>
    </row>
    <row r="230" spans="8:27" x14ac:dyDescent="0.2">
      <c r="H230" t="s">
        <v>79</v>
      </c>
      <c r="I230" s="1">
        <v>37879</v>
      </c>
      <c r="J230">
        <f t="shared" si="13"/>
        <v>70</v>
      </c>
      <c r="K230">
        <v>1200</v>
      </c>
      <c r="L230">
        <v>-30</v>
      </c>
      <c r="M230">
        <v>33.700000000000003</v>
      </c>
      <c r="O230" t="s">
        <v>79</v>
      </c>
      <c r="P230" s="1">
        <v>37422</v>
      </c>
      <c r="Q230" s="36">
        <f t="shared" si="14"/>
        <v>85</v>
      </c>
      <c r="R230">
        <v>1200</v>
      </c>
      <c r="S230">
        <v>-15</v>
      </c>
      <c r="T230">
        <v>41.18</v>
      </c>
      <c r="V230" t="s">
        <v>79</v>
      </c>
      <c r="W230" s="1">
        <v>38701</v>
      </c>
      <c r="X230">
        <f t="shared" si="15"/>
        <v>140</v>
      </c>
      <c r="Y230">
        <v>1200</v>
      </c>
      <c r="Z230">
        <v>40</v>
      </c>
      <c r="AA230">
        <v>71.739999999999995</v>
      </c>
    </row>
    <row r="231" spans="8:27" x14ac:dyDescent="0.2">
      <c r="H231" t="s">
        <v>79</v>
      </c>
      <c r="I231" s="1">
        <v>37970</v>
      </c>
      <c r="J231">
        <f t="shared" si="13"/>
        <v>91</v>
      </c>
      <c r="K231">
        <v>1200</v>
      </c>
      <c r="L231">
        <v>-9</v>
      </c>
      <c r="M231">
        <v>44.94</v>
      </c>
      <c r="O231" t="s">
        <v>79</v>
      </c>
      <c r="P231" s="1">
        <v>37514</v>
      </c>
      <c r="Q231" s="36">
        <f t="shared" si="14"/>
        <v>80</v>
      </c>
      <c r="R231">
        <v>1200</v>
      </c>
      <c r="S231">
        <v>-20</v>
      </c>
      <c r="T231">
        <v>38.369999999999997</v>
      </c>
      <c r="V231" t="s">
        <v>79</v>
      </c>
      <c r="W231" s="1">
        <v>38791</v>
      </c>
      <c r="X231">
        <f t="shared" si="15"/>
        <v>137</v>
      </c>
      <c r="Y231">
        <v>1200</v>
      </c>
      <c r="Z231">
        <v>37</v>
      </c>
      <c r="AA231">
        <v>69.89</v>
      </c>
    </row>
    <row r="232" spans="8:27" x14ac:dyDescent="0.2">
      <c r="H232" t="s">
        <v>79</v>
      </c>
      <c r="I232" s="1">
        <v>38153</v>
      </c>
      <c r="J232">
        <f t="shared" si="13"/>
        <v>103</v>
      </c>
      <c r="K232">
        <v>1200</v>
      </c>
      <c r="L232">
        <v>3</v>
      </c>
      <c r="M232">
        <v>51.69</v>
      </c>
      <c r="O232" t="s">
        <v>79</v>
      </c>
      <c r="P232" s="1">
        <v>37605</v>
      </c>
      <c r="Q232" s="36">
        <f t="shared" si="14"/>
        <v>82</v>
      </c>
      <c r="R232">
        <v>1200</v>
      </c>
      <c r="S232">
        <v>-18</v>
      </c>
      <c r="T232">
        <v>40</v>
      </c>
      <c r="V232" t="s">
        <v>79</v>
      </c>
      <c r="W232" s="1">
        <v>38883</v>
      </c>
      <c r="X232">
        <f t="shared" si="15"/>
        <v>134</v>
      </c>
      <c r="Y232">
        <v>1200</v>
      </c>
      <c r="Z232">
        <v>34</v>
      </c>
      <c r="AA232">
        <v>68.09</v>
      </c>
    </row>
    <row r="233" spans="8:27" x14ac:dyDescent="0.2">
      <c r="H233" t="s">
        <v>79</v>
      </c>
      <c r="I233" s="1">
        <v>38245</v>
      </c>
      <c r="J233">
        <f t="shared" si="13"/>
        <v>113</v>
      </c>
      <c r="K233">
        <v>1200</v>
      </c>
      <c r="L233">
        <v>13</v>
      </c>
      <c r="M233">
        <v>57.47</v>
      </c>
      <c r="O233" t="s">
        <v>79</v>
      </c>
      <c r="P233" s="1">
        <v>37787</v>
      </c>
      <c r="Q233" s="36">
        <f t="shared" si="14"/>
        <v>90</v>
      </c>
      <c r="R233">
        <v>1200</v>
      </c>
      <c r="S233">
        <v>-10</v>
      </c>
      <c r="T233">
        <v>44.79</v>
      </c>
      <c r="V233" t="s">
        <v>79</v>
      </c>
      <c r="W233" s="1">
        <v>38975</v>
      </c>
      <c r="X233">
        <f t="shared" si="15"/>
        <v>126</v>
      </c>
      <c r="Y233">
        <v>1200</v>
      </c>
      <c r="Z233">
        <v>26</v>
      </c>
      <c r="AA233">
        <v>63.54</v>
      </c>
    </row>
    <row r="234" spans="8:27" x14ac:dyDescent="0.2">
      <c r="H234" t="s">
        <v>79</v>
      </c>
      <c r="I234" s="1">
        <v>38426</v>
      </c>
      <c r="J234">
        <f t="shared" si="13"/>
        <v>147</v>
      </c>
      <c r="K234">
        <v>1200</v>
      </c>
      <c r="L234">
        <v>47</v>
      </c>
      <c r="M234">
        <v>75.819999999999993</v>
      </c>
      <c r="O234" t="s">
        <v>79</v>
      </c>
      <c r="P234" s="1">
        <v>37879</v>
      </c>
      <c r="Q234" s="36">
        <f t="shared" si="14"/>
        <v>70</v>
      </c>
      <c r="R234">
        <v>1200</v>
      </c>
      <c r="S234">
        <v>-30</v>
      </c>
      <c r="T234">
        <v>33.700000000000003</v>
      </c>
      <c r="V234" t="s">
        <v>79</v>
      </c>
      <c r="W234" s="1">
        <v>39066</v>
      </c>
      <c r="X234">
        <f t="shared" si="15"/>
        <v>123</v>
      </c>
      <c r="Y234">
        <v>1200</v>
      </c>
      <c r="Z234">
        <v>23</v>
      </c>
      <c r="AA234">
        <v>61.86</v>
      </c>
    </row>
    <row r="235" spans="8:27" x14ac:dyDescent="0.2">
      <c r="H235" t="s">
        <v>79</v>
      </c>
      <c r="I235" s="1">
        <v>38518</v>
      </c>
      <c r="J235">
        <f t="shared" si="13"/>
        <v>133</v>
      </c>
      <c r="K235">
        <v>1200</v>
      </c>
      <c r="L235">
        <v>33</v>
      </c>
      <c r="M235">
        <v>68.540000000000006</v>
      </c>
      <c r="O235" t="s">
        <v>79</v>
      </c>
      <c r="P235" s="1">
        <v>37970</v>
      </c>
      <c r="Q235" s="36">
        <f t="shared" si="14"/>
        <v>91</v>
      </c>
      <c r="R235">
        <v>1200</v>
      </c>
      <c r="S235">
        <v>-9</v>
      </c>
      <c r="T235">
        <v>44.94</v>
      </c>
      <c r="V235" t="s">
        <v>79</v>
      </c>
      <c r="W235" s="1">
        <v>39156</v>
      </c>
      <c r="X235">
        <f t="shared" si="15"/>
        <v>125</v>
      </c>
      <c r="Y235">
        <v>1200</v>
      </c>
      <c r="Z235">
        <v>25</v>
      </c>
      <c r="AA235">
        <v>63.16</v>
      </c>
    </row>
    <row r="236" spans="8:27" x14ac:dyDescent="0.2">
      <c r="H236" t="s">
        <v>79</v>
      </c>
      <c r="I236" s="1">
        <v>38610</v>
      </c>
      <c r="J236">
        <f t="shared" si="13"/>
        <v>131</v>
      </c>
      <c r="K236">
        <v>1200</v>
      </c>
      <c r="L236">
        <v>31</v>
      </c>
      <c r="M236">
        <v>67.03</v>
      </c>
      <c r="O236" t="s">
        <v>79</v>
      </c>
      <c r="P236" s="1">
        <v>38153</v>
      </c>
      <c r="Q236" s="36">
        <f t="shared" si="14"/>
        <v>103</v>
      </c>
      <c r="R236">
        <v>1200</v>
      </c>
      <c r="S236">
        <v>3</v>
      </c>
      <c r="T236">
        <v>51.69</v>
      </c>
      <c r="V236" t="s">
        <v>79</v>
      </c>
      <c r="W236" s="1">
        <v>39248</v>
      </c>
      <c r="X236">
        <f t="shared" si="15"/>
        <v>125</v>
      </c>
      <c r="Y236">
        <v>1200</v>
      </c>
      <c r="Z236">
        <v>25</v>
      </c>
      <c r="AA236">
        <v>63.44</v>
      </c>
    </row>
    <row r="237" spans="8:27" x14ac:dyDescent="0.2">
      <c r="H237" t="s">
        <v>79</v>
      </c>
      <c r="I237" s="1">
        <v>38701</v>
      </c>
      <c r="J237">
        <f t="shared" si="13"/>
        <v>140</v>
      </c>
      <c r="K237">
        <v>1200</v>
      </c>
      <c r="L237">
        <v>40</v>
      </c>
      <c r="M237">
        <v>71.739999999999995</v>
      </c>
      <c r="O237" t="s">
        <v>79</v>
      </c>
      <c r="P237" s="1">
        <v>38245</v>
      </c>
      <c r="Q237" s="36">
        <f t="shared" si="14"/>
        <v>113</v>
      </c>
      <c r="R237">
        <v>1200</v>
      </c>
      <c r="S237">
        <v>13</v>
      </c>
      <c r="T237">
        <v>57.47</v>
      </c>
      <c r="V237" t="s">
        <v>79</v>
      </c>
      <c r="W237" s="1">
        <v>39345</v>
      </c>
      <c r="X237">
        <f t="shared" si="15"/>
        <v>122</v>
      </c>
      <c r="Y237">
        <v>1200</v>
      </c>
      <c r="Z237">
        <v>22</v>
      </c>
      <c r="AA237">
        <v>61.96</v>
      </c>
    </row>
    <row r="238" spans="8:27" x14ac:dyDescent="0.2">
      <c r="H238" t="s">
        <v>79</v>
      </c>
      <c r="I238" s="1">
        <v>38791</v>
      </c>
      <c r="J238">
        <f t="shared" si="13"/>
        <v>137</v>
      </c>
      <c r="K238">
        <v>1200</v>
      </c>
      <c r="L238">
        <v>37</v>
      </c>
      <c r="M238">
        <v>69.89</v>
      </c>
      <c r="O238" t="s">
        <v>79</v>
      </c>
      <c r="P238" s="1">
        <v>38426</v>
      </c>
      <c r="Q238" s="36">
        <f t="shared" si="14"/>
        <v>147</v>
      </c>
      <c r="R238">
        <v>1200</v>
      </c>
      <c r="S238">
        <v>47</v>
      </c>
      <c r="T238">
        <v>75.819999999999993</v>
      </c>
      <c r="V238" t="s">
        <v>79</v>
      </c>
      <c r="W238" s="1">
        <v>39431</v>
      </c>
      <c r="X238">
        <f t="shared" si="15"/>
        <v>106</v>
      </c>
      <c r="Y238">
        <v>1200</v>
      </c>
      <c r="Z238">
        <v>6</v>
      </c>
      <c r="AA238">
        <v>53.26</v>
      </c>
    </row>
    <row r="239" spans="8:27" x14ac:dyDescent="0.2">
      <c r="H239" t="s">
        <v>79</v>
      </c>
      <c r="I239" s="1">
        <v>38883</v>
      </c>
      <c r="J239">
        <f t="shared" si="13"/>
        <v>134</v>
      </c>
      <c r="K239">
        <v>1200</v>
      </c>
      <c r="L239">
        <v>34</v>
      </c>
      <c r="M239">
        <v>68.09</v>
      </c>
      <c r="O239" t="s">
        <v>79</v>
      </c>
      <c r="P239" s="1">
        <v>38518</v>
      </c>
      <c r="Q239" s="36">
        <f t="shared" si="14"/>
        <v>133</v>
      </c>
      <c r="R239">
        <v>1200</v>
      </c>
      <c r="S239">
        <v>33</v>
      </c>
      <c r="T239">
        <v>68.540000000000006</v>
      </c>
      <c r="V239" t="s">
        <v>79</v>
      </c>
      <c r="W239" s="1">
        <v>39522</v>
      </c>
      <c r="X239">
        <f t="shared" si="15"/>
        <v>103</v>
      </c>
      <c r="Y239">
        <v>1200</v>
      </c>
      <c r="Z239">
        <v>3</v>
      </c>
      <c r="AA239">
        <v>51.65</v>
      </c>
    </row>
    <row r="240" spans="8:27" x14ac:dyDescent="0.2">
      <c r="H240" t="s">
        <v>79</v>
      </c>
      <c r="I240" s="1">
        <v>38975</v>
      </c>
      <c r="J240">
        <f t="shared" si="13"/>
        <v>126</v>
      </c>
      <c r="K240">
        <v>1200</v>
      </c>
      <c r="L240">
        <v>26</v>
      </c>
      <c r="M240">
        <v>63.54</v>
      </c>
      <c r="O240" t="s">
        <v>79</v>
      </c>
      <c r="P240" s="1">
        <v>38610</v>
      </c>
      <c r="Q240" s="36">
        <f t="shared" si="14"/>
        <v>131</v>
      </c>
      <c r="R240">
        <v>1200</v>
      </c>
      <c r="S240">
        <v>31</v>
      </c>
      <c r="T240">
        <v>67.03</v>
      </c>
      <c r="V240" t="s">
        <v>79</v>
      </c>
      <c r="W240" s="1">
        <v>39603</v>
      </c>
      <c r="X240">
        <f t="shared" si="15"/>
        <v>102</v>
      </c>
      <c r="Y240">
        <v>1200</v>
      </c>
      <c r="Z240">
        <v>2</v>
      </c>
      <c r="AA240">
        <v>51.09</v>
      </c>
    </row>
    <row r="241" spans="8:27" x14ac:dyDescent="0.2">
      <c r="H241" t="s">
        <v>79</v>
      </c>
      <c r="I241" s="1">
        <v>39066</v>
      </c>
      <c r="J241">
        <f t="shared" si="13"/>
        <v>123</v>
      </c>
      <c r="K241">
        <v>1200</v>
      </c>
      <c r="L241">
        <v>23</v>
      </c>
      <c r="M241">
        <v>61.86</v>
      </c>
      <c r="O241" t="s">
        <v>79</v>
      </c>
      <c r="P241" s="1">
        <v>38701</v>
      </c>
      <c r="Q241" s="36">
        <f t="shared" si="14"/>
        <v>140</v>
      </c>
      <c r="R241">
        <v>1200</v>
      </c>
      <c r="S241">
        <v>40</v>
      </c>
      <c r="T241">
        <v>71.739999999999995</v>
      </c>
      <c r="V241" t="s">
        <v>79</v>
      </c>
      <c r="W241" s="1">
        <v>39706</v>
      </c>
      <c r="X241">
        <f t="shared" si="15"/>
        <v>106</v>
      </c>
      <c r="Y241">
        <v>1200</v>
      </c>
      <c r="Z241">
        <v>6</v>
      </c>
      <c r="AA241">
        <v>53.41</v>
      </c>
    </row>
    <row r="242" spans="8:27" x14ac:dyDescent="0.2">
      <c r="H242" t="s">
        <v>79</v>
      </c>
      <c r="I242" s="1">
        <v>39156</v>
      </c>
      <c r="J242">
        <f t="shared" si="13"/>
        <v>125</v>
      </c>
      <c r="K242">
        <v>1200</v>
      </c>
      <c r="L242">
        <v>25</v>
      </c>
      <c r="M242">
        <v>63.16</v>
      </c>
      <c r="O242" t="s">
        <v>79</v>
      </c>
      <c r="P242" s="1">
        <v>38791</v>
      </c>
      <c r="Q242" s="36">
        <f t="shared" si="14"/>
        <v>137</v>
      </c>
      <c r="R242">
        <v>1200</v>
      </c>
      <c r="S242">
        <v>37</v>
      </c>
      <c r="T242">
        <v>69.89</v>
      </c>
      <c r="V242" t="s">
        <v>79</v>
      </c>
      <c r="W242" s="1">
        <v>39797</v>
      </c>
      <c r="X242">
        <f t="shared" si="15"/>
        <v>111</v>
      </c>
      <c r="Y242">
        <v>1200</v>
      </c>
      <c r="Z242">
        <v>11</v>
      </c>
      <c r="AA242">
        <v>55.91</v>
      </c>
    </row>
    <row r="243" spans="8:27" x14ac:dyDescent="0.2">
      <c r="H243" t="s">
        <v>79</v>
      </c>
      <c r="I243" s="1">
        <v>39248</v>
      </c>
      <c r="J243">
        <f t="shared" si="13"/>
        <v>125</v>
      </c>
      <c r="K243">
        <v>1200</v>
      </c>
      <c r="L243">
        <v>25</v>
      </c>
      <c r="M243">
        <v>63.44</v>
      </c>
      <c r="O243" t="s">
        <v>79</v>
      </c>
      <c r="P243" s="1">
        <v>38883</v>
      </c>
      <c r="Q243" s="36">
        <f t="shared" si="14"/>
        <v>134</v>
      </c>
      <c r="R243">
        <v>1200</v>
      </c>
      <c r="S243">
        <v>34</v>
      </c>
      <c r="T243">
        <v>68.09</v>
      </c>
      <c r="V243" t="s">
        <v>79</v>
      </c>
      <c r="W243" s="1">
        <v>39887</v>
      </c>
      <c r="X243">
        <f t="shared" si="15"/>
        <v>120</v>
      </c>
      <c r="Y243">
        <v>1200</v>
      </c>
      <c r="Z243">
        <v>20</v>
      </c>
      <c r="AA243">
        <v>60.87</v>
      </c>
    </row>
    <row r="244" spans="8:27" x14ac:dyDescent="0.2">
      <c r="H244" t="s">
        <v>79</v>
      </c>
      <c r="I244" s="1">
        <v>39345</v>
      </c>
      <c r="J244">
        <f t="shared" si="13"/>
        <v>122</v>
      </c>
      <c r="K244">
        <v>1200</v>
      </c>
      <c r="L244">
        <v>22</v>
      </c>
      <c r="M244">
        <v>61.96</v>
      </c>
      <c r="O244" t="s">
        <v>79</v>
      </c>
      <c r="P244" s="1">
        <v>38975</v>
      </c>
      <c r="Q244" s="36">
        <f t="shared" si="14"/>
        <v>126</v>
      </c>
      <c r="R244">
        <v>1200</v>
      </c>
      <c r="S244">
        <v>26</v>
      </c>
      <c r="T244">
        <v>63.54</v>
      </c>
      <c r="V244" t="s">
        <v>79</v>
      </c>
      <c r="W244" s="1">
        <v>39979</v>
      </c>
      <c r="X244">
        <f t="shared" si="15"/>
        <v>108</v>
      </c>
      <c r="Y244">
        <v>1200</v>
      </c>
      <c r="Z244">
        <v>8</v>
      </c>
      <c r="AA244">
        <v>54.35</v>
      </c>
    </row>
    <row r="245" spans="8:27" x14ac:dyDescent="0.2">
      <c r="H245" t="s">
        <v>79</v>
      </c>
      <c r="I245" s="1">
        <v>39431</v>
      </c>
      <c r="J245">
        <f t="shared" si="13"/>
        <v>106</v>
      </c>
      <c r="K245">
        <v>1200</v>
      </c>
      <c r="L245">
        <v>6</v>
      </c>
      <c r="M245">
        <v>53.26</v>
      </c>
      <c r="O245" t="s">
        <v>79</v>
      </c>
      <c r="P245" s="1">
        <v>39066</v>
      </c>
      <c r="Q245" s="36">
        <f t="shared" si="14"/>
        <v>123</v>
      </c>
      <c r="R245">
        <v>1200</v>
      </c>
      <c r="S245">
        <v>23</v>
      </c>
      <c r="T245">
        <v>61.86</v>
      </c>
      <c r="V245" t="s">
        <v>79</v>
      </c>
      <c r="W245" s="1">
        <v>40071</v>
      </c>
      <c r="X245">
        <f t="shared" si="15"/>
        <v>100</v>
      </c>
      <c r="Y245">
        <v>1200</v>
      </c>
      <c r="Z245">
        <v>0</v>
      </c>
      <c r="AA245">
        <v>50</v>
      </c>
    </row>
    <row r="246" spans="8:27" x14ac:dyDescent="0.2">
      <c r="H246" t="s">
        <v>79</v>
      </c>
      <c r="I246" s="1">
        <v>39522</v>
      </c>
      <c r="J246">
        <f t="shared" si="13"/>
        <v>103</v>
      </c>
      <c r="K246">
        <v>1200</v>
      </c>
      <c r="L246">
        <v>3</v>
      </c>
      <c r="M246">
        <v>51.65</v>
      </c>
      <c r="O246" t="s">
        <v>79</v>
      </c>
      <c r="P246" s="1">
        <v>39156</v>
      </c>
      <c r="Q246" s="36">
        <f t="shared" si="14"/>
        <v>125</v>
      </c>
      <c r="R246">
        <v>1200</v>
      </c>
      <c r="S246">
        <v>25</v>
      </c>
      <c r="T246">
        <v>63.16</v>
      </c>
      <c r="V246" t="s">
        <v>79</v>
      </c>
      <c r="W246" s="1">
        <v>40162</v>
      </c>
      <c r="X246">
        <f t="shared" si="15"/>
        <v>108</v>
      </c>
      <c r="Y246">
        <v>1200</v>
      </c>
      <c r="Z246">
        <v>8</v>
      </c>
      <c r="AA246">
        <v>54.44</v>
      </c>
    </row>
    <row r="247" spans="8:27" x14ac:dyDescent="0.2">
      <c r="H247" t="s">
        <v>79</v>
      </c>
      <c r="I247" s="1">
        <v>39603</v>
      </c>
      <c r="J247">
        <f t="shared" si="13"/>
        <v>102</v>
      </c>
      <c r="K247">
        <v>1200</v>
      </c>
      <c r="L247">
        <v>2</v>
      </c>
      <c r="M247">
        <v>51.09</v>
      </c>
      <c r="O247" t="s">
        <v>79</v>
      </c>
      <c r="P247" s="1">
        <v>39248</v>
      </c>
      <c r="Q247" s="36">
        <f t="shared" si="14"/>
        <v>125</v>
      </c>
      <c r="R247">
        <v>1200</v>
      </c>
      <c r="S247">
        <v>25</v>
      </c>
      <c r="T247">
        <v>63.44</v>
      </c>
      <c r="V247" t="s">
        <v>79</v>
      </c>
      <c r="W247" s="1">
        <v>40250</v>
      </c>
      <c r="X247">
        <f t="shared" si="15"/>
        <v>94</v>
      </c>
      <c r="Y247">
        <v>1200</v>
      </c>
      <c r="Z247">
        <v>-6</v>
      </c>
      <c r="AA247">
        <v>46.74</v>
      </c>
    </row>
    <row r="248" spans="8:27" x14ac:dyDescent="0.2">
      <c r="H248" t="s">
        <v>79</v>
      </c>
      <c r="I248" s="1">
        <v>39706</v>
      </c>
      <c r="J248">
        <f t="shared" si="13"/>
        <v>106</v>
      </c>
      <c r="K248">
        <v>1200</v>
      </c>
      <c r="L248">
        <v>6</v>
      </c>
      <c r="M248">
        <v>53.41</v>
      </c>
      <c r="O248" t="s">
        <v>79</v>
      </c>
      <c r="P248" s="1">
        <v>39345</v>
      </c>
      <c r="Q248" s="36">
        <f t="shared" si="14"/>
        <v>122</v>
      </c>
      <c r="R248">
        <v>1200</v>
      </c>
      <c r="S248">
        <v>22</v>
      </c>
      <c r="T248">
        <v>61.96</v>
      </c>
      <c r="V248" t="s">
        <v>79</v>
      </c>
      <c r="W248" s="1">
        <v>40798</v>
      </c>
      <c r="X248">
        <f t="shared" si="15"/>
        <v>120</v>
      </c>
      <c r="Y248">
        <v>1200</v>
      </c>
      <c r="Z248">
        <v>20</v>
      </c>
      <c r="AA248">
        <v>60.64</v>
      </c>
    </row>
    <row r="249" spans="8:27" x14ac:dyDescent="0.2">
      <c r="H249" t="s">
        <v>79</v>
      </c>
      <c r="I249" s="1">
        <v>39797</v>
      </c>
      <c r="J249">
        <f t="shared" si="13"/>
        <v>111</v>
      </c>
      <c r="K249">
        <v>1200</v>
      </c>
      <c r="L249">
        <v>11</v>
      </c>
      <c r="M249">
        <v>55.91</v>
      </c>
      <c r="O249" t="s">
        <v>79</v>
      </c>
      <c r="P249" s="1">
        <v>39431</v>
      </c>
      <c r="Q249" s="36">
        <f t="shared" si="14"/>
        <v>106</v>
      </c>
      <c r="R249">
        <v>1200</v>
      </c>
      <c r="S249">
        <v>6</v>
      </c>
      <c r="T249">
        <v>53.26</v>
      </c>
      <c r="V249" t="s">
        <v>79</v>
      </c>
      <c r="W249" s="1">
        <v>40866</v>
      </c>
      <c r="X249">
        <f t="shared" si="15"/>
        <v>106</v>
      </c>
      <c r="Y249">
        <v>1200</v>
      </c>
      <c r="Z249">
        <v>6</v>
      </c>
      <c r="AA249">
        <v>53.19</v>
      </c>
    </row>
    <row r="250" spans="8:27" x14ac:dyDescent="0.2">
      <c r="H250" t="s">
        <v>79</v>
      </c>
      <c r="I250" s="1">
        <v>39887</v>
      </c>
      <c r="J250">
        <f t="shared" si="13"/>
        <v>120</v>
      </c>
      <c r="K250">
        <v>1200</v>
      </c>
      <c r="L250">
        <v>20</v>
      </c>
      <c r="M250">
        <v>60.87</v>
      </c>
      <c r="O250" t="s">
        <v>79</v>
      </c>
      <c r="P250" s="1">
        <v>39522</v>
      </c>
      <c r="Q250" s="36">
        <f t="shared" si="14"/>
        <v>103</v>
      </c>
      <c r="R250">
        <v>1200</v>
      </c>
      <c r="S250">
        <v>3</v>
      </c>
      <c r="T250">
        <v>51.65</v>
      </c>
      <c r="V250" t="s">
        <v>79</v>
      </c>
      <c r="W250" s="1">
        <v>41783</v>
      </c>
      <c r="X250">
        <f t="shared" si="15"/>
        <v>80</v>
      </c>
      <c r="Y250">
        <v>1200</v>
      </c>
      <c r="Z250">
        <v>-20</v>
      </c>
      <c r="AA250">
        <v>40</v>
      </c>
    </row>
    <row r="251" spans="8:27" x14ac:dyDescent="0.2">
      <c r="H251" t="s">
        <v>79</v>
      </c>
      <c r="I251" s="1">
        <v>39979</v>
      </c>
      <c r="J251">
        <f t="shared" si="13"/>
        <v>108</v>
      </c>
      <c r="K251">
        <v>1200</v>
      </c>
      <c r="L251">
        <v>8</v>
      </c>
      <c r="M251">
        <v>54.35</v>
      </c>
      <c r="O251" t="s">
        <v>79</v>
      </c>
      <c r="P251" s="1">
        <v>39603</v>
      </c>
      <c r="Q251" s="36">
        <f t="shared" si="14"/>
        <v>102</v>
      </c>
      <c r="R251">
        <v>1200</v>
      </c>
      <c r="S251">
        <v>2</v>
      </c>
      <c r="T251">
        <v>51.09</v>
      </c>
      <c r="V251" t="s">
        <v>79</v>
      </c>
      <c r="W251" s="1">
        <v>42076</v>
      </c>
      <c r="X251">
        <f t="shared" si="15"/>
        <v>67</v>
      </c>
      <c r="Y251">
        <v>1200</v>
      </c>
      <c r="Z251">
        <v>-33</v>
      </c>
      <c r="AA251">
        <v>31.87</v>
      </c>
    </row>
    <row r="252" spans="8:27" x14ac:dyDescent="0.2">
      <c r="H252" t="s">
        <v>79</v>
      </c>
      <c r="I252" s="1">
        <v>40071</v>
      </c>
      <c r="J252">
        <f t="shared" si="13"/>
        <v>100</v>
      </c>
      <c r="K252">
        <v>1200</v>
      </c>
      <c r="L252">
        <v>0</v>
      </c>
      <c r="M252">
        <v>50</v>
      </c>
      <c r="O252" t="s">
        <v>79</v>
      </c>
      <c r="P252" s="1">
        <v>39706</v>
      </c>
      <c r="Q252" s="36">
        <f t="shared" si="14"/>
        <v>106</v>
      </c>
      <c r="R252">
        <v>1200</v>
      </c>
      <c r="S252">
        <v>6</v>
      </c>
      <c r="T252">
        <v>53.41</v>
      </c>
      <c r="V252" t="s">
        <v>79</v>
      </c>
      <c r="W252" s="1">
        <v>42432</v>
      </c>
      <c r="X252">
        <f t="shared" si="15"/>
        <v>16</v>
      </c>
      <c r="Y252">
        <v>1200</v>
      </c>
      <c r="Z252">
        <v>-84</v>
      </c>
      <c r="AA252">
        <v>8</v>
      </c>
    </row>
    <row r="253" spans="8:27" x14ac:dyDescent="0.2">
      <c r="H253" t="s">
        <v>79</v>
      </c>
      <c r="I253" s="1">
        <v>40162</v>
      </c>
      <c r="J253">
        <f t="shared" si="13"/>
        <v>108</v>
      </c>
      <c r="K253">
        <v>1200</v>
      </c>
      <c r="L253">
        <v>8</v>
      </c>
      <c r="M253">
        <v>54.44</v>
      </c>
      <c r="O253" t="s">
        <v>79</v>
      </c>
      <c r="P253" s="1">
        <v>39797</v>
      </c>
      <c r="Q253" s="36">
        <f t="shared" si="14"/>
        <v>111</v>
      </c>
      <c r="R253">
        <v>1200</v>
      </c>
      <c r="S253">
        <v>11</v>
      </c>
      <c r="T253">
        <v>55.91</v>
      </c>
      <c r="V253" t="s">
        <v>34</v>
      </c>
      <c r="W253" s="1">
        <v>38424</v>
      </c>
      <c r="X253">
        <f t="shared" si="15"/>
        <v>115</v>
      </c>
      <c r="Y253">
        <v>1500</v>
      </c>
      <c r="Z253">
        <v>15</v>
      </c>
      <c r="AA253">
        <v>58.24</v>
      </c>
    </row>
    <row r="254" spans="8:27" x14ac:dyDescent="0.2">
      <c r="H254" t="s">
        <v>79</v>
      </c>
      <c r="I254" s="1">
        <v>40250</v>
      </c>
      <c r="J254">
        <f t="shared" si="13"/>
        <v>94</v>
      </c>
      <c r="K254">
        <v>1200</v>
      </c>
      <c r="L254">
        <v>-6</v>
      </c>
      <c r="M254">
        <v>46.74</v>
      </c>
      <c r="O254" t="s">
        <v>79</v>
      </c>
      <c r="P254" s="1">
        <v>39887</v>
      </c>
      <c r="Q254" s="36">
        <f t="shared" si="14"/>
        <v>120</v>
      </c>
      <c r="R254">
        <v>1200</v>
      </c>
      <c r="S254">
        <v>20</v>
      </c>
      <c r="T254">
        <v>60.87</v>
      </c>
      <c r="V254" t="s">
        <v>34</v>
      </c>
      <c r="W254" s="1">
        <v>39036</v>
      </c>
      <c r="X254">
        <f t="shared" si="15"/>
        <v>118</v>
      </c>
      <c r="Y254">
        <v>1250</v>
      </c>
      <c r="Z254">
        <v>18</v>
      </c>
      <c r="AA254">
        <v>60</v>
      </c>
    </row>
    <row r="255" spans="8:27" x14ac:dyDescent="0.2">
      <c r="H255" t="s">
        <v>79</v>
      </c>
      <c r="I255" s="1">
        <v>40798</v>
      </c>
      <c r="J255">
        <f t="shared" si="13"/>
        <v>120</v>
      </c>
      <c r="K255">
        <v>1200</v>
      </c>
      <c r="L255">
        <v>20</v>
      </c>
      <c r="M255">
        <v>60.64</v>
      </c>
      <c r="O255" t="s">
        <v>79</v>
      </c>
      <c r="P255" s="1">
        <v>39979</v>
      </c>
      <c r="Q255" s="36">
        <f t="shared" si="14"/>
        <v>108</v>
      </c>
      <c r="R255">
        <v>1200</v>
      </c>
      <c r="S255">
        <v>8</v>
      </c>
      <c r="T255">
        <v>54.35</v>
      </c>
      <c r="V255" t="s">
        <v>34</v>
      </c>
      <c r="W255" s="1">
        <v>39128</v>
      </c>
      <c r="X255">
        <f t="shared" si="15"/>
        <v>104</v>
      </c>
      <c r="Y255">
        <v>1213</v>
      </c>
      <c r="Z255">
        <v>4</v>
      </c>
      <c r="AA255">
        <v>52.33</v>
      </c>
    </row>
    <row r="256" spans="8:27" x14ac:dyDescent="0.2">
      <c r="H256" t="s">
        <v>79</v>
      </c>
      <c r="I256" s="1">
        <v>40866</v>
      </c>
      <c r="J256">
        <f t="shared" si="13"/>
        <v>106</v>
      </c>
      <c r="K256">
        <v>1200</v>
      </c>
      <c r="L256">
        <v>6</v>
      </c>
      <c r="M256">
        <v>53.19</v>
      </c>
      <c r="O256" t="s">
        <v>79</v>
      </c>
      <c r="P256" s="1">
        <v>40071</v>
      </c>
      <c r="Q256" s="36">
        <f t="shared" si="14"/>
        <v>100</v>
      </c>
      <c r="R256">
        <v>1200</v>
      </c>
      <c r="S256">
        <v>0</v>
      </c>
      <c r="T256">
        <v>50</v>
      </c>
      <c r="V256" t="s">
        <v>34</v>
      </c>
      <c r="W256" s="1">
        <v>39217</v>
      </c>
      <c r="X256">
        <f t="shared" si="15"/>
        <v>85</v>
      </c>
      <c r="Y256">
        <v>1177</v>
      </c>
      <c r="Z256">
        <v>-15</v>
      </c>
      <c r="AA256">
        <v>41.18</v>
      </c>
    </row>
    <row r="257" spans="8:27" x14ac:dyDescent="0.2">
      <c r="H257" t="s">
        <v>79</v>
      </c>
      <c r="I257" s="1">
        <v>41783</v>
      </c>
      <c r="J257">
        <f t="shared" si="13"/>
        <v>80</v>
      </c>
      <c r="K257">
        <v>1200</v>
      </c>
      <c r="L257">
        <v>-20</v>
      </c>
      <c r="M257">
        <v>40</v>
      </c>
      <c r="O257" t="s">
        <v>79</v>
      </c>
      <c r="P257" s="1">
        <v>40162</v>
      </c>
      <c r="Q257" s="36">
        <f t="shared" si="14"/>
        <v>108</v>
      </c>
      <c r="R257">
        <v>1200</v>
      </c>
      <c r="S257">
        <v>8</v>
      </c>
      <c r="T257">
        <v>54.44</v>
      </c>
      <c r="V257" t="s">
        <v>34</v>
      </c>
      <c r="W257" s="1">
        <v>39257</v>
      </c>
      <c r="X257">
        <f t="shared" si="15"/>
        <v>94</v>
      </c>
      <c r="Y257">
        <v>1160</v>
      </c>
      <c r="Z257">
        <v>-6</v>
      </c>
      <c r="AA257">
        <v>46.25</v>
      </c>
    </row>
    <row r="258" spans="8:27" x14ac:dyDescent="0.2">
      <c r="H258" t="s">
        <v>79</v>
      </c>
      <c r="I258" s="1">
        <v>42076</v>
      </c>
      <c r="J258">
        <f t="shared" si="13"/>
        <v>67</v>
      </c>
      <c r="K258">
        <v>1200</v>
      </c>
      <c r="L258">
        <v>-33</v>
      </c>
      <c r="M258">
        <v>31.87</v>
      </c>
      <c r="O258" t="s">
        <v>79</v>
      </c>
      <c r="P258" s="1">
        <v>40250</v>
      </c>
      <c r="Q258" s="36">
        <f t="shared" si="14"/>
        <v>94</v>
      </c>
      <c r="R258">
        <v>1200</v>
      </c>
      <c r="S258">
        <v>-6</v>
      </c>
      <c r="T258">
        <v>46.74</v>
      </c>
      <c r="V258" t="s">
        <v>34</v>
      </c>
      <c r="W258" s="1">
        <v>39287</v>
      </c>
      <c r="X258">
        <f t="shared" si="15"/>
        <v>107</v>
      </c>
      <c r="Y258">
        <v>1148</v>
      </c>
      <c r="Z258">
        <v>7</v>
      </c>
      <c r="AA258">
        <v>54.22</v>
      </c>
    </row>
    <row r="259" spans="8:27" x14ac:dyDescent="0.2">
      <c r="H259" t="s">
        <v>79</v>
      </c>
      <c r="I259" s="1">
        <v>42432</v>
      </c>
      <c r="J259">
        <f t="shared" ref="J259:J322" si="16">L259+100</f>
        <v>16</v>
      </c>
      <c r="K259">
        <v>1200</v>
      </c>
      <c r="L259">
        <v>-84</v>
      </c>
      <c r="M259">
        <v>8</v>
      </c>
      <c r="O259" t="s">
        <v>79</v>
      </c>
      <c r="P259" s="1">
        <v>40798</v>
      </c>
      <c r="Q259" s="36">
        <f t="shared" ref="Q259:Q322" si="17">S259+100</f>
        <v>120</v>
      </c>
      <c r="R259">
        <v>1200</v>
      </c>
      <c r="S259">
        <v>20</v>
      </c>
      <c r="T259">
        <v>60.64</v>
      </c>
      <c r="V259" t="s">
        <v>34</v>
      </c>
      <c r="W259" s="1">
        <v>41136</v>
      </c>
      <c r="X259">
        <f t="shared" ref="X259:X322" si="18">100+Z259</f>
        <v>136</v>
      </c>
      <c r="Y259">
        <v>1188</v>
      </c>
      <c r="Z259">
        <v>36</v>
      </c>
      <c r="AA259">
        <v>68.37</v>
      </c>
    </row>
    <row r="260" spans="8:27" x14ac:dyDescent="0.2">
      <c r="H260" t="s">
        <v>34</v>
      </c>
      <c r="I260" s="1">
        <v>38424</v>
      </c>
      <c r="J260">
        <f t="shared" si="16"/>
        <v>115</v>
      </c>
      <c r="K260">
        <v>1289</v>
      </c>
      <c r="L260">
        <v>15</v>
      </c>
      <c r="M260">
        <v>58.24</v>
      </c>
      <c r="O260" t="s">
        <v>79</v>
      </c>
      <c r="P260" s="1">
        <v>40866</v>
      </c>
      <c r="Q260" s="36">
        <f t="shared" si="17"/>
        <v>106</v>
      </c>
      <c r="R260">
        <v>1200</v>
      </c>
      <c r="S260">
        <v>6</v>
      </c>
      <c r="T260">
        <v>53.19</v>
      </c>
      <c r="V260" t="s">
        <v>82</v>
      </c>
      <c r="W260" s="1">
        <v>40057</v>
      </c>
      <c r="X260">
        <f t="shared" si="18"/>
        <v>95</v>
      </c>
      <c r="Y260">
        <v>1300</v>
      </c>
      <c r="Z260">
        <v>-5</v>
      </c>
      <c r="AA260">
        <v>46.03</v>
      </c>
    </row>
    <row r="261" spans="8:27" x14ac:dyDescent="0.2">
      <c r="H261" t="s">
        <v>34</v>
      </c>
      <c r="I261" s="1">
        <v>39036</v>
      </c>
      <c r="J261">
        <f t="shared" si="16"/>
        <v>118</v>
      </c>
      <c r="K261">
        <v>1289</v>
      </c>
      <c r="L261">
        <v>18</v>
      </c>
      <c r="M261">
        <v>60</v>
      </c>
      <c r="O261" t="s">
        <v>79</v>
      </c>
      <c r="P261" s="1">
        <v>41783</v>
      </c>
      <c r="Q261" s="36">
        <f t="shared" si="17"/>
        <v>80</v>
      </c>
      <c r="R261">
        <v>1200</v>
      </c>
      <c r="S261">
        <v>-20</v>
      </c>
      <c r="T261">
        <v>40</v>
      </c>
      <c r="V261" t="s">
        <v>82</v>
      </c>
      <c r="W261" s="1">
        <v>40101</v>
      </c>
      <c r="X261">
        <f t="shared" si="18"/>
        <v>90</v>
      </c>
      <c r="Y261">
        <v>1300</v>
      </c>
      <c r="Z261">
        <v>-10</v>
      </c>
      <c r="AA261">
        <v>44.44</v>
      </c>
    </row>
    <row r="262" spans="8:27" x14ac:dyDescent="0.2">
      <c r="H262" t="s">
        <v>34</v>
      </c>
      <c r="I262" s="1">
        <v>39128</v>
      </c>
      <c r="J262">
        <f t="shared" si="16"/>
        <v>104</v>
      </c>
      <c r="K262">
        <v>1289</v>
      </c>
      <c r="L262">
        <v>4</v>
      </c>
      <c r="M262">
        <v>52.33</v>
      </c>
      <c r="O262" t="s">
        <v>79</v>
      </c>
      <c r="P262" s="1">
        <v>42076</v>
      </c>
      <c r="Q262" s="36">
        <f t="shared" si="17"/>
        <v>67</v>
      </c>
      <c r="R262">
        <v>1200</v>
      </c>
      <c r="S262">
        <v>-33</v>
      </c>
      <c r="T262">
        <v>31.87</v>
      </c>
      <c r="V262" t="s">
        <v>82</v>
      </c>
      <c r="W262" s="1">
        <v>40139</v>
      </c>
      <c r="X262">
        <f t="shared" si="18"/>
        <v>84</v>
      </c>
      <c r="Y262">
        <v>1396</v>
      </c>
      <c r="Z262">
        <v>-16</v>
      </c>
      <c r="AA262">
        <v>41.49</v>
      </c>
    </row>
    <row r="263" spans="8:27" x14ac:dyDescent="0.2">
      <c r="H263" t="s">
        <v>34</v>
      </c>
      <c r="I263" s="1">
        <v>39217</v>
      </c>
      <c r="J263">
        <f t="shared" si="16"/>
        <v>85</v>
      </c>
      <c r="K263">
        <v>1289</v>
      </c>
      <c r="L263">
        <v>-15</v>
      </c>
      <c r="M263">
        <v>41.18</v>
      </c>
      <c r="O263" t="s">
        <v>79</v>
      </c>
      <c r="P263" s="1">
        <v>42432</v>
      </c>
      <c r="Q263" s="36">
        <f t="shared" si="17"/>
        <v>16</v>
      </c>
      <c r="R263">
        <v>1200</v>
      </c>
      <c r="S263">
        <v>-84</v>
      </c>
      <c r="T263">
        <v>8</v>
      </c>
      <c r="V263" t="s">
        <v>82</v>
      </c>
      <c r="W263" s="1">
        <v>40342</v>
      </c>
      <c r="X263">
        <f t="shared" si="18"/>
        <v>86</v>
      </c>
      <c r="Y263">
        <v>1269</v>
      </c>
      <c r="Z263">
        <v>-14</v>
      </c>
      <c r="AA263">
        <v>42.71</v>
      </c>
    </row>
    <row r="264" spans="8:27" x14ac:dyDescent="0.2">
      <c r="H264" t="s">
        <v>34</v>
      </c>
      <c r="I264" s="1">
        <v>39257</v>
      </c>
      <c r="J264">
        <f t="shared" si="16"/>
        <v>94</v>
      </c>
      <c r="K264">
        <v>1289</v>
      </c>
      <c r="L264">
        <v>-6</v>
      </c>
      <c r="M264">
        <v>46.25</v>
      </c>
      <c r="O264" t="s">
        <v>34</v>
      </c>
      <c r="P264" s="1">
        <v>38424</v>
      </c>
      <c r="Q264" s="36">
        <f t="shared" si="17"/>
        <v>115</v>
      </c>
      <c r="R264">
        <v>1289</v>
      </c>
      <c r="S264">
        <v>15</v>
      </c>
      <c r="T264">
        <v>58.24</v>
      </c>
      <c r="V264" t="s">
        <v>82</v>
      </c>
      <c r="W264" s="1">
        <v>40422</v>
      </c>
      <c r="X264">
        <f t="shared" si="18"/>
        <v>95</v>
      </c>
      <c r="Y264">
        <v>1269</v>
      </c>
      <c r="Z264">
        <v>-5</v>
      </c>
      <c r="AA264">
        <v>47.42</v>
      </c>
    </row>
    <row r="265" spans="8:27" x14ac:dyDescent="0.2">
      <c r="H265" t="s">
        <v>34</v>
      </c>
      <c r="I265" s="1">
        <v>39287</v>
      </c>
      <c r="J265">
        <f t="shared" si="16"/>
        <v>107</v>
      </c>
      <c r="K265">
        <v>1289</v>
      </c>
      <c r="L265">
        <v>7</v>
      </c>
      <c r="M265">
        <v>54.22</v>
      </c>
      <c r="O265" t="s">
        <v>34</v>
      </c>
      <c r="P265" s="1">
        <v>39036</v>
      </c>
      <c r="Q265" s="36">
        <f t="shared" si="17"/>
        <v>118</v>
      </c>
      <c r="R265">
        <v>1289</v>
      </c>
      <c r="S265">
        <v>18</v>
      </c>
      <c r="T265">
        <v>60</v>
      </c>
      <c r="V265" t="s">
        <v>82</v>
      </c>
      <c r="W265" s="1">
        <v>39736</v>
      </c>
      <c r="X265">
        <f t="shared" si="18"/>
        <v>130</v>
      </c>
      <c r="Y265">
        <v>1269</v>
      </c>
      <c r="Z265">
        <v>30</v>
      </c>
      <c r="AA265">
        <v>66.3</v>
      </c>
    </row>
    <row r="266" spans="8:27" x14ac:dyDescent="0.2">
      <c r="H266" t="s">
        <v>34</v>
      </c>
      <c r="I266" s="1">
        <v>41136</v>
      </c>
      <c r="J266">
        <f t="shared" si="16"/>
        <v>136</v>
      </c>
      <c r="K266">
        <v>1289</v>
      </c>
      <c r="L266">
        <v>36</v>
      </c>
      <c r="M266">
        <v>68.37</v>
      </c>
      <c r="O266" t="s">
        <v>34</v>
      </c>
      <c r="P266" s="1">
        <v>39128</v>
      </c>
      <c r="Q266" s="36">
        <f t="shared" si="17"/>
        <v>104</v>
      </c>
      <c r="R266">
        <v>1289</v>
      </c>
      <c r="S266">
        <v>4</v>
      </c>
      <c r="T266">
        <v>52.33</v>
      </c>
      <c r="V266" t="s">
        <v>82</v>
      </c>
      <c r="W266" s="1">
        <v>40313</v>
      </c>
      <c r="X266">
        <f t="shared" si="18"/>
        <v>130</v>
      </c>
      <c r="Y266">
        <v>1269</v>
      </c>
      <c r="Z266">
        <v>30</v>
      </c>
      <c r="AA266">
        <v>65.31</v>
      </c>
    </row>
    <row r="267" spans="8:27" x14ac:dyDescent="0.2">
      <c r="H267" t="s">
        <v>82</v>
      </c>
      <c r="I267" s="1">
        <v>40057</v>
      </c>
      <c r="J267">
        <f t="shared" si="16"/>
        <v>95</v>
      </c>
      <c r="K267">
        <v>1289</v>
      </c>
      <c r="L267">
        <v>-5</v>
      </c>
      <c r="M267">
        <v>46.03</v>
      </c>
      <c r="O267" t="s">
        <v>34</v>
      </c>
      <c r="P267" s="1">
        <v>39217</v>
      </c>
      <c r="Q267" s="36">
        <f t="shared" si="17"/>
        <v>85</v>
      </c>
      <c r="R267">
        <v>1289</v>
      </c>
      <c r="S267">
        <v>-15</v>
      </c>
      <c r="T267">
        <v>41.18</v>
      </c>
      <c r="V267" t="s">
        <v>242</v>
      </c>
      <c r="W267" s="1">
        <v>39614</v>
      </c>
      <c r="X267">
        <f t="shared" si="18"/>
        <v>135.9</v>
      </c>
      <c r="Y267">
        <v>2500</v>
      </c>
      <c r="Z267">
        <v>35.9</v>
      </c>
      <c r="AA267">
        <v>75.099999999999994</v>
      </c>
    </row>
    <row r="268" spans="8:27" x14ac:dyDescent="0.2">
      <c r="H268" t="s">
        <v>82</v>
      </c>
      <c r="I268" s="1">
        <v>40101</v>
      </c>
      <c r="J268">
        <f t="shared" si="16"/>
        <v>90</v>
      </c>
      <c r="K268">
        <v>1289</v>
      </c>
      <c r="L268">
        <v>-10</v>
      </c>
      <c r="M268">
        <v>44.44</v>
      </c>
      <c r="O268" t="s">
        <v>34</v>
      </c>
      <c r="P268" s="1">
        <v>39257</v>
      </c>
      <c r="Q268" s="36">
        <f t="shared" si="17"/>
        <v>94</v>
      </c>
      <c r="R268">
        <v>1289</v>
      </c>
      <c r="S268">
        <v>-6</v>
      </c>
      <c r="T268">
        <v>46.25</v>
      </c>
      <c r="V268" t="s">
        <v>242</v>
      </c>
      <c r="W268" s="1">
        <v>39644</v>
      </c>
      <c r="X268">
        <f t="shared" si="18"/>
        <v>134.4</v>
      </c>
      <c r="Y268">
        <v>2500</v>
      </c>
      <c r="Z268">
        <v>34.4</v>
      </c>
      <c r="AA268">
        <v>71.52</v>
      </c>
    </row>
    <row r="269" spans="8:27" x14ac:dyDescent="0.2">
      <c r="H269" t="s">
        <v>82</v>
      </c>
      <c r="I269" s="1">
        <v>40139</v>
      </c>
      <c r="J269">
        <f t="shared" si="16"/>
        <v>84</v>
      </c>
      <c r="K269">
        <v>1289</v>
      </c>
      <c r="L269">
        <v>-16</v>
      </c>
      <c r="M269">
        <v>41.49</v>
      </c>
      <c r="O269" t="s">
        <v>34</v>
      </c>
      <c r="P269" s="1">
        <v>39287</v>
      </c>
      <c r="Q269" s="36">
        <f t="shared" si="17"/>
        <v>107</v>
      </c>
      <c r="R269">
        <v>1289</v>
      </c>
      <c r="S269">
        <v>7</v>
      </c>
      <c r="T269">
        <v>54.22</v>
      </c>
      <c r="V269" t="s">
        <v>242</v>
      </c>
      <c r="W269" s="1">
        <v>39701</v>
      </c>
      <c r="X269">
        <f t="shared" si="18"/>
        <v>126.6</v>
      </c>
      <c r="Y269">
        <v>2500</v>
      </c>
      <c r="Z269">
        <v>26.6</v>
      </c>
      <c r="AA269">
        <v>71.78</v>
      </c>
    </row>
    <row r="270" spans="8:27" x14ac:dyDescent="0.2">
      <c r="H270" t="s">
        <v>82</v>
      </c>
      <c r="I270" s="1">
        <v>40342</v>
      </c>
      <c r="J270">
        <f t="shared" si="16"/>
        <v>86</v>
      </c>
      <c r="K270">
        <v>1289</v>
      </c>
      <c r="L270">
        <v>-14</v>
      </c>
      <c r="M270">
        <v>42.71</v>
      </c>
      <c r="O270" t="s">
        <v>34</v>
      </c>
      <c r="P270" s="1">
        <v>41136</v>
      </c>
      <c r="Q270" s="36">
        <f t="shared" si="17"/>
        <v>136</v>
      </c>
      <c r="R270">
        <v>1289</v>
      </c>
      <c r="S270">
        <v>36</v>
      </c>
      <c r="T270">
        <v>68.37</v>
      </c>
      <c r="V270" t="s">
        <v>242</v>
      </c>
      <c r="W270" s="1">
        <v>39731</v>
      </c>
      <c r="X270">
        <f t="shared" si="18"/>
        <v>133.1</v>
      </c>
      <c r="Y270">
        <v>2500</v>
      </c>
      <c r="Z270">
        <v>33.1</v>
      </c>
      <c r="AA270">
        <v>76.099999999999994</v>
      </c>
    </row>
    <row r="271" spans="8:27" x14ac:dyDescent="0.2">
      <c r="H271" t="s">
        <v>82</v>
      </c>
      <c r="I271" s="1">
        <v>40422</v>
      </c>
      <c r="J271">
        <f t="shared" si="16"/>
        <v>95</v>
      </c>
      <c r="K271">
        <v>1289</v>
      </c>
      <c r="L271">
        <v>-5</v>
      </c>
      <c r="M271">
        <v>47.42</v>
      </c>
      <c r="O271" t="s">
        <v>82</v>
      </c>
      <c r="P271" s="1">
        <v>40057</v>
      </c>
      <c r="Q271" s="36">
        <f t="shared" si="17"/>
        <v>95</v>
      </c>
      <c r="R271">
        <v>1289</v>
      </c>
      <c r="S271">
        <v>-5</v>
      </c>
      <c r="T271">
        <v>46.03</v>
      </c>
      <c r="V271" t="s">
        <v>242</v>
      </c>
      <c r="W271" s="1">
        <v>39797</v>
      </c>
      <c r="X271">
        <f t="shared" si="18"/>
        <v>133.80000000000001</v>
      </c>
      <c r="Y271">
        <v>2500</v>
      </c>
      <c r="Z271">
        <v>33.799999999999997</v>
      </c>
      <c r="AA271">
        <v>73.95</v>
      </c>
    </row>
    <row r="272" spans="8:27" x14ac:dyDescent="0.2">
      <c r="H272" t="s">
        <v>82</v>
      </c>
      <c r="I272" s="1">
        <v>39736</v>
      </c>
      <c r="J272">
        <f t="shared" si="16"/>
        <v>130</v>
      </c>
      <c r="K272">
        <v>1289</v>
      </c>
      <c r="L272">
        <v>30</v>
      </c>
      <c r="M272">
        <v>66.3</v>
      </c>
      <c r="O272" t="s">
        <v>82</v>
      </c>
      <c r="P272" s="1">
        <v>40101</v>
      </c>
      <c r="Q272" s="36">
        <f t="shared" si="17"/>
        <v>90</v>
      </c>
      <c r="R272">
        <v>1289</v>
      </c>
      <c r="S272">
        <v>-10</v>
      </c>
      <c r="T272">
        <v>44.44</v>
      </c>
      <c r="V272" t="s">
        <v>242</v>
      </c>
      <c r="W272" s="1">
        <v>39828</v>
      </c>
      <c r="X272">
        <f t="shared" si="18"/>
        <v>128.69999999999999</v>
      </c>
      <c r="Y272">
        <v>2500</v>
      </c>
      <c r="Z272">
        <v>28.7</v>
      </c>
      <c r="AA272">
        <v>72.900000000000006</v>
      </c>
    </row>
    <row r="273" spans="8:27" x14ac:dyDescent="0.2">
      <c r="H273" t="s">
        <v>82</v>
      </c>
      <c r="I273" s="1">
        <v>40313</v>
      </c>
      <c r="J273">
        <f t="shared" si="16"/>
        <v>130</v>
      </c>
      <c r="K273">
        <v>1289</v>
      </c>
      <c r="L273">
        <v>30</v>
      </c>
      <c r="M273">
        <v>65.31</v>
      </c>
      <c r="O273" t="s">
        <v>82</v>
      </c>
      <c r="P273" s="1">
        <v>40139</v>
      </c>
      <c r="Q273" s="36">
        <f t="shared" si="17"/>
        <v>84</v>
      </c>
      <c r="R273">
        <v>1289</v>
      </c>
      <c r="S273">
        <v>-16</v>
      </c>
      <c r="T273">
        <v>41.49</v>
      </c>
      <c r="V273" t="s">
        <v>242</v>
      </c>
      <c r="W273" s="1">
        <v>40071</v>
      </c>
      <c r="X273">
        <f t="shared" si="18"/>
        <v>131.6</v>
      </c>
      <c r="Y273">
        <v>2500</v>
      </c>
      <c r="Z273">
        <v>31.6</v>
      </c>
      <c r="AA273">
        <v>75.239999999999995</v>
      </c>
    </row>
    <row r="274" spans="8:27" x14ac:dyDescent="0.2">
      <c r="H274" t="s">
        <v>242</v>
      </c>
      <c r="I274" s="1">
        <v>39614</v>
      </c>
      <c r="J274">
        <f t="shared" si="16"/>
        <v>135.9</v>
      </c>
      <c r="K274">
        <v>2605</v>
      </c>
      <c r="L274">
        <v>35.9</v>
      </c>
      <c r="M274">
        <v>75.099999999999994</v>
      </c>
      <c r="O274" t="s">
        <v>82</v>
      </c>
      <c r="P274" s="1">
        <v>40342</v>
      </c>
      <c r="Q274" s="36">
        <f t="shared" si="17"/>
        <v>86</v>
      </c>
      <c r="R274">
        <v>1289</v>
      </c>
      <c r="S274">
        <v>-14</v>
      </c>
      <c r="T274">
        <v>42.71</v>
      </c>
      <c r="V274" t="s">
        <v>242</v>
      </c>
      <c r="W274" s="1">
        <v>40132</v>
      </c>
      <c r="X274">
        <f t="shared" si="18"/>
        <v>113.4</v>
      </c>
      <c r="Y274">
        <v>2500</v>
      </c>
      <c r="Z274">
        <v>13.4</v>
      </c>
      <c r="AA274">
        <v>66.62</v>
      </c>
    </row>
    <row r="275" spans="8:27" x14ac:dyDescent="0.2">
      <c r="H275" t="s">
        <v>242</v>
      </c>
      <c r="I275" s="1">
        <v>39644</v>
      </c>
      <c r="J275">
        <f t="shared" si="16"/>
        <v>134.4</v>
      </c>
      <c r="K275">
        <v>2605</v>
      </c>
      <c r="L275">
        <v>34.4</v>
      </c>
      <c r="M275">
        <v>71.52</v>
      </c>
      <c r="O275" t="s">
        <v>82</v>
      </c>
      <c r="P275" s="1">
        <v>40422</v>
      </c>
      <c r="Q275" s="36">
        <f t="shared" si="17"/>
        <v>95</v>
      </c>
      <c r="R275">
        <v>1289</v>
      </c>
      <c r="S275">
        <v>-5</v>
      </c>
      <c r="T275">
        <v>47.42</v>
      </c>
      <c r="V275" t="s">
        <v>242</v>
      </c>
      <c r="W275" s="1">
        <v>40162</v>
      </c>
      <c r="X275">
        <f t="shared" si="18"/>
        <v>116.8</v>
      </c>
      <c r="Y275">
        <v>2500</v>
      </c>
      <c r="Z275">
        <v>16.8</v>
      </c>
      <c r="AA275">
        <v>69.72</v>
      </c>
    </row>
    <row r="276" spans="8:27" x14ac:dyDescent="0.2">
      <c r="H276" t="s">
        <v>242</v>
      </c>
      <c r="I276" s="1">
        <v>39701</v>
      </c>
      <c r="J276">
        <f t="shared" si="16"/>
        <v>126.6</v>
      </c>
      <c r="K276">
        <v>2605</v>
      </c>
      <c r="L276">
        <v>26.6</v>
      </c>
      <c r="M276">
        <v>71.78</v>
      </c>
      <c r="O276" t="s">
        <v>82</v>
      </c>
      <c r="P276" s="1">
        <v>39736</v>
      </c>
      <c r="Q276" s="36">
        <f t="shared" si="17"/>
        <v>130</v>
      </c>
      <c r="R276">
        <v>1289</v>
      </c>
      <c r="S276">
        <v>30</v>
      </c>
      <c r="T276">
        <v>66.3</v>
      </c>
      <c r="V276" t="s">
        <v>242</v>
      </c>
      <c r="W276" s="1">
        <v>40219</v>
      </c>
      <c r="X276">
        <f t="shared" si="18"/>
        <v>98</v>
      </c>
      <c r="Y276">
        <v>2500</v>
      </c>
      <c r="Z276">
        <v>-2</v>
      </c>
      <c r="AA276">
        <v>64.78</v>
      </c>
    </row>
    <row r="277" spans="8:27" x14ac:dyDescent="0.2">
      <c r="H277" t="s">
        <v>242</v>
      </c>
      <c r="I277" s="1">
        <v>39731</v>
      </c>
      <c r="J277">
        <f t="shared" si="16"/>
        <v>133.1</v>
      </c>
      <c r="K277">
        <v>2605</v>
      </c>
      <c r="L277">
        <v>33.1</v>
      </c>
      <c r="M277">
        <v>76.099999999999994</v>
      </c>
      <c r="O277" t="s">
        <v>82</v>
      </c>
      <c r="P277" s="1">
        <v>40313</v>
      </c>
      <c r="Q277" s="36">
        <f t="shared" si="17"/>
        <v>130</v>
      </c>
      <c r="R277">
        <v>1289</v>
      </c>
      <c r="S277">
        <v>30</v>
      </c>
      <c r="T277">
        <v>65.31</v>
      </c>
      <c r="V277" t="s">
        <v>242</v>
      </c>
      <c r="W277" s="1">
        <v>40252</v>
      </c>
      <c r="X277">
        <f t="shared" si="18"/>
        <v>109.8</v>
      </c>
      <c r="Y277">
        <v>2500</v>
      </c>
      <c r="Z277">
        <v>9.8000000000000007</v>
      </c>
      <c r="AA277">
        <v>66.77</v>
      </c>
    </row>
    <row r="278" spans="8:27" x14ac:dyDescent="0.2">
      <c r="H278" t="s">
        <v>242</v>
      </c>
      <c r="I278" s="1">
        <v>39797</v>
      </c>
      <c r="J278">
        <f t="shared" si="16"/>
        <v>133.80000000000001</v>
      </c>
      <c r="K278">
        <v>2605</v>
      </c>
      <c r="L278">
        <v>33.799999999999997</v>
      </c>
      <c r="M278">
        <v>73.95</v>
      </c>
      <c r="O278" t="s">
        <v>242</v>
      </c>
      <c r="P278" s="1">
        <v>39614</v>
      </c>
      <c r="Q278" s="36">
        <f t="shared" si="17"/>
        <v>135.9</v>
      </c>
      <c r="R278">
        <v>2605</v>
      </c>
      <c r="S278">
        <v>35.9</v>
      </c>
      <c r="T278">
        <v>75.099999999999994</v>
      </c>
      <c r="V278" t="s">
        <v>242</v>
      </c>
      <c r="W278" s="1">
        <v>40313</v>
      </c>
      <c r="X278">
        <f t="shared" si="18"/>
        <v>110.6</v>
      </c>
      <c r="Y278">
        <v>2500</v>
      </c>
      <c r="Z278">
        <v>10.6</v>
      </c>
      <c r="AA278">
        <v>63.95</v>
      </c>
    </row>
    <row r="279" spans="8:27" x14ac:dyDescent="0.2">
      <c r="H279" t="s">
        <v>242</v>
      </c>
      <c r="I279" s="1">
        <v>39828</v>
      </c>
      <c r="J279">
        <f t="shared" si="16"/>
        <v>128.69999999999999</v>
      </c>
      <c r="K279">
        <v>2605</v>
      </c>
      <c r="L279">
        <v>28.7</v>
      </c>
      <c r="M279">
        <v>72.900000000000006</v>
      </c>
      <c r="O279" t="s">
        <v>242</v>
      </c>
      <c r="P279" s="1">
        <v>39644</v>
      </c>
      <c r="Q279" s="36">
        <f t="shared" si="17"/>
        <v>134.4</v>
      </c>
      <c r="R279">
        <v>2605</v>
      </c>
      <c r="S279">
        <v>34.4</v>
      </c>
      <c r="T279">
        <v>71.52</v>
      </c>
      <c r="V279" t="s">
        <v>242</v>
      </c>
      <c r="W279" s="1">
        <v>40347</v>
      </c>
      <c r="X279">
        <f t="shared" si="18"/>
        <v>120.1</v>
      </c>
      <c r="Y279">
        <v>2499</v>
      </c>
      <c r="Z279">
        <v>20.100000000000001</v>
      </c>
      <c r="AA279">
        <v>68.33</v>
      </c>
    </row>
    <row r="280" spans="8:27" x14ac:dyDescent="0.2">
      <c r="H280" t="s">
        <v>242</v>
      </c>
      <c r="I280" s="1">
        <v>40071</v>
      </c>
      <c r="J280">
        <f t="shared" si="16"/>
        <v>131.6</v>
      </c>
      <c r="K280">
        <v>2605</v>
      </c>
      <c r="L280">
        <v>31.6</v>
      </c>
      <c r="M280">
        <v>75.239999999999995</v>
      </c>
      <c r="O280" t="s">
        <v>242</v>
      </c>
      <c r="P280" s="1">
        <v>39701</v>
      </c>
      <c r="Q280" s="36">
        <f t="shared" si="17"/>
        <v>126.6</v>
      </c>
      <c r="R280">
        <v>2605</v>
      </c>
      <c r="S280">
        <v>26.6</v>
      </c>
      <c r="T280">
        <v>71.78</v>
      </c>
      <c r="V280" t="s">
        <v>242</v>
      </c>
      <c r="W280" s="1">
        <v>40386</v>
      </c>
      <c r="X280">
        <f t="shared" si="18"/>
        <v>115.8</v>
      </c>
      <c r="Y280">
        <v>2501</v>
      </c>
      <c r="Z280">
        <v>15.8</v>
      </c>
      <c r="AA280">
        <v>68.53</v>
      </c>
    </row>
    <row r="281" spans="8:27" x14ac:dyDescent="0.2">
      <c r="H281" t="s">
        <v>242</v>
      </c>
      <c r="I281" s="1">
        <v>40132</v>
      </c>
      <c r="J281">
        <f t="shared" si="16"/>
        <v>113.4</v>
      </c>
      <c r="K281">
        <v>2605</v>
      </c>
      <c r="L281">
        <v>13.4</v>
      </c>
      <c r="M281">
        <v>66.62</v>
      </c>
      <c r="O281" t="s">
        <v>242</v>
      </c>
      <c r="P281" s="1">
        <v>39731</v>
      </c>
      <c r="Q281" s="36">
        <f t="shared" si="17"/>
        <v>133.1</v>
      </c>
      <c r="R281">
        <v>2605</v>
      </c>
      <c r="S281">
        <v>33.1</v>
      </c>
      <c r="T281">
        <v>76.099999999999994</v>
      </c>
      <c r="V281" t="s">
        <v>242</v>
      </c>
      <c r="W281" s="1">
        <v>40425</v>
      </c>
      <c r="X281">
        <f t="shared" si="18"/>
        <v>123.4</v>
      </c>
      <c r="Y281">
        <v>2500</v>
      </c>
      <c r="Z281">
        <v>23.4</v>
      </c>
      <c r="AA281">
        <v>67.58</v>
      </c>
    </row>
    <row r="282" spans="8:27" x14ac:dyDescent="0.2">
      <c r="H282" t="s">
        <v>242</v>
      </c>
      <c r="I282" s="1">
        <v>40162</v>
      </c>
      <c r="J282">
        <f t="shared" si="16"/>
        <v>116.8</v>
      </c>
      <c r="K282">
        <v>2605</v>
      </c>
      <c r="L282">
        <v>16.8</v>
      </c>
      <c r="M282">
        <v>69.72</v>
      </c>
      <c r="O282" t="s">
        <v>242</v>
      </c>
      <c r="P282" s="1">
        <v>39797</v>
      </c>
      <c r="Q282" s="36">
        <f t="shared" si="17"/>
        <v>133.80000000000001</v>
      </c>
      <c r="R282">
        <v>2605</v>
      </c>
      <c r="S282">
        <v>33.799999999999997</v>
      </c>
      <c r="T282">
        <v>73.95</v>
      </c>
      <c r="V282" t="s">
        <v>242</v>
      </c>
      <c r="W282" s="1">
        <v>40441</v>
      </c>
      <c r="X282">
        <f t="shared" si="18"/>
        <v>121.3</v>
      </c>
      <c r="Y282">
        <v>2500</v>
      </c>
      <c r="Z282">
        <v>21.3</v>
      </c>
      <c r="AA282">
        <v>68.88</v>
      </c>
    </row>
    <row r="283" spans="8:27" x14ac:dyDescent="0.2">
      <c r="H283" t="s">
        <v>242</v>
      </c>
      <c r="I283" s="1">
        <v>40219</v>
      </c>
      <c r="J283">
        <f t="shared" si="16"/>
        <v>98</v>
      </c>
      <c r="K283">
        <v>2605</v>
      </c>
      <c r="L283">
        <v>-2</v>
      </c>
      <c r="M283">
        <v>64.78</v>
      </c>
      <c r="O283" t="s">
        <v>242</v>
      </c>
      <c r="P283" s="1">
        <v>39828</v>
      </c>
      <c r="Q283" s="36">
        <f t="shared" si="17"/>
        <v>128.69999999999999</v>
      </c>
      <c r="R283">
        <v>2605</v>
      </c>
      <c r="S283">
        <v>28.7</v>
      </c>
      <c r="T283">
        <v>72.900000000000006</v>
      </c>
      <c r="V283" t="s">
        <v>242</v>
      </c>
      <c r="W283" s="1">
        <v>40471</v>
      </c>
      <c r="X283">
        <f t="shared" si="18"/>
        <v>129.6</v>
      </c>
      <c r="Y283">
        <v>2500</v>
      </c>
      <c r="Z283">
        <v>29.6</v>
      </c>
      <c r="AA283">
        <v>71.08</v>
      </c>
    </row>
    <row r="284" spans="8:27" x14ac:dyDescent="0.2">
      <c r="H284" t="s">
        <v>242</v>
      </c>
      <c r="I284" s="1">
        <v>40252</v>
      </c>
      <c r="J284">
        <f t="shared" si="16"/>
        <v>109.8</v>
      </c>
      <c r="K284">
        <v>2605</v>
      </c>
      <c r="L284">
        <v>9.8000000000000007</v>
      </c>
      <c r="M284">
        <v>66.77</v>
      </c>
      <c r="O284" t="s">
        <v>242</v>
      </c>
      <c r="P284" s="1">
        <v>40071</v>
      </c>
      <c r="Q284" s="36">
        <f t="shared" si="17"/>
        <v>131.6</v>
      </c>
      <c r="R284">
        <v>2605</v>
      </c>
      <c r="S284">
        <v>31.6</v>
      </c>
      <c r="T284">
        <v>75.239999999999995</v>
      </c>
      <c r="V284" t="s">
        <v>242</v>
      </c>
      <c r="W284" s="1">
        <v>40558</v>
      </c>
      <c r="X284">
        <f t="shared" si="18"/>
        <v>128.19999999999999</v>
      </c>
      <c r="Y284">
        <v>2500</v>
      </c>
      <c r="Z284">
        <v>28.2</v>
      </c>
      <c r="AA284">
        <v>71.69</v>
      </c>
    </row>
    <row r="285" spans="8:27" x14ac:dyDescent="0.2">
      <c r="H285" t="s">
        <v>242</v>
      </c>
      <c r="I285" s="1">
        <v>40313</v>
      </c>
      <c r="J285">
        <f t="shared" si="16"/>
        <v>110.6</v>
      </c>
      <c r="K285">
        <v>2605</v>
      </c>
      <c r="L285">
        <v>10.6</v>
      </c>
      <c r="M285">
        <v>63.95</v>
      </c>
      <c r="O285" t="s">
        <v>242</v>
      </c>
      <c r="P285" s="1">
        <v>40132</v>
      </c>
      <c r="Q285" s="36">
        <f t="shared" si="17"/>
        <v>113.4</v>
      </c>
      <c r="R285">
        <v>2605</v>
      </c>
      <c r="S285">
        <v>13.4</v>
      </c>
      <c r="T285">
        <v>66.62</v>
      </c>
      <c r="V285" t="s">
        <v>272</v>
      </c>
      <c r="W285" s="1">
        <v>40597</v>
      </c>
      <c r="X285">
        <f t="shared" si="18"/>
        <v>137</v>
      </c>
      <c r="Y285">
        <v>1000</v>
      </c>
      <c r="Z285">
        <v>37</v>
      </c>
      <c r="AA285">
        <v>72.150000000000006</v>
      </c>
    </row>
    <row r="286" spans="8:27" x14ac:dyDescent="0.2">
      <c r="H286" t="s">
        <v>242</v>
      </c>
      <c r="I286" s="1">
        <v>40347</v>
      </c>
      <c r="J286">
        <f t="shared" si="16"/>
        <v>120.1</v>
      </c>
      <c r="K286">
        <v>2605</v>
      </c>
      <c r="L286">
        <v>20.100000000000001</v>
      </c>
      <c r="M286">
        <v>68.33</v>
      </c>
      <c r="O286" t="s">
        <v>242</v>
      </c>
      <c r="P286" s="1">
        <v>40162</v>
      </c>
      <c r="Q286" s="36">
        <f t="shared" si="17"/>
        <v>116.8</v>
      </c>
      <c r="R286">
        <v>2605</v>
      </c>
      <c r="S286">
        <v>16.8</v>
      </c>
      <c r="T286">
        <v>69.72</v>
      </c>
      <c r="V286" t="s">
        <v>272</v>
      </c>
      <c r="W286" s="1">
        <v>40619</v>
      </c>
      <c r="X286">
        <f t="shared" si="18"/>
        <v>125</v>
      </c>
      <c r="Y286">
        <v>2500</v>
      </c>
      <c r="Z286">
        <v>25</v>
      </c>
      <c r="AA286">
        <v>70.83</v>
      </c>
    </row>
    <row r="287" spans="8:27" x14ac:dyDescent="0.2">
      <c r="H287" t="s">
        <v>242</v>
      </c>
      <c r="I287" s="1">
        <v>40386</v>
      </c>
      <c r="J287">
        <f t="shared" si="16"/>
        <v>115.8</v>
      </c>
      <c r="K287">
        <v>2605</v>
      </c>
      <c r="L287">
        <v>15.8</v>
      </c>
      <c r="M287">
        <v>68.53</v>
      </c>
      <c r="O287" t="s">
        <v>242</v>
      </c>
      <c r="P287" s="1">
        <v>40219</v>
      </c>
      <c r="Q287" s="36">
        <f t="shared" si="17"/>
        <v>98</v>
      </c>
      <c r="R287">
        <v>2605</v>
      </c>
      <c r="S287">
        <v>-2</v>
      </c>
      <c r="T287">
        <v>64.78</v>
      </c>
      <c r="V287" t="s">
        <v>272</v>
      </c>
      <c r="W287" s="1">
        <v>40667</v>
      </c>
      <c r="X287">
        <f t="shared" si="18"/>
        <v>126</v>
      </c>
      <c r="Y287">
        <v>2500</v>
      </c>
      <c r="Z287">
        <v>26</v>
      </c>
      <c r="AA287">
        <v>71.23</v>
      </c>
    </row>
    <row r="288" spans="8:27" x14ac:dyDescent="0.2">
      <c r="H288" t="s">
        <v>242</v>
      </c>
      <c r="I288" s="1">
        <v>40425</v>
      </c>
      <c r="J288">
        <f t="shared" si="16"/>
        <v>123.4</v>
      </c>
      <c r="K288">
        <v>2605</v>
      </c>
      <c r="L288">
        <v>23.4</v>
      </c>
      <c r="M288">
        <v>67.58</v>
      </c>
      <c r="O288" t="s">
        <v>242</v>
      </c>
      <c r="P288" s="1">
        <v>40252</v>
      </c>
      <c r="Q288" s="36">
        <f t="shared" si="17"/>
        <v>109.8</v>
      </c>
      <c r="R288">
        <v>2605</v>
      </c>
      <c r="S288">
        <v>9.8000000000000007</v>
      </c>
      <c r="T288">
        <v>66.77</v>
      </c>
      <c r="V288" t="s">
        <v>272</v>
      </c>
      <c r="W288" s="1">
        <v>40687</v>
      </c>
      <c r="X288">
        <f t="shared" si="18"/>
        <v>131.80000000000001</v>
      </c>
      <c r="Y288">
        <v>1500</v>
      </c>
      <c r="Z288">
        <v>31.8</v>
      </c>
      <c r="AA288">
        <v>68.86</v>
      </c>
    </row>
    <row r="289" spans="8:27" x14ac:dyDescent="0.2">
      <c r="H289" t="s">
        <v>242</v>
      </c>
      <c r="I289" s="1">
        <v>40441</v>
      </c>
      <c r="J289">
        <f t="shared" si="16"/>
        <v>121.3</v>
      </c>
      <c r="K289">
        <v>2605</v>
      </c>
      <c r="L289">
        <v>21.3</v>
      </c>
      <c r="M289">
        <v>68.88</v>
      </c>
      <c r="O289" t="s">
        <v>242</v>
      </c>
      <c r="P289" s="1">
        <v>40313</v>
      </c>
      <c r="Q289" s="36">
        <f t="shared" si="17"/>
        <v>110.6</v>
      </c>
      <c r="R289">
        <v>2605</v>
      </c>
      <c r="S289">
        <v>10.6</v>
      </c>
      <c r="T289">
        <v>63.95</v>
      </c>
      <c r="V289" t="s">
        <v>272</v>
      </c>
      <c r="W289" s="1">
        <v>40727</v>
      </c>
      <c r="X289">
        <f t="shared" si="18"/>
        <v>132</v>
      </c>
      <c r="Y289">
        <v>2500</v>
      </c>
      <c r="Z289">
        <v>32</v>
      </c>
      <c r="AA289">
        <v>71.430000000000007</v>
      </c>
    </row>
    <row r="290" spans="8:27" x14ac:dyDescent="0.2">
      <c r="H290" t="s">
        <v>242</v>
      </c>
      <c r="I290" s="1">
        <v>40471</v>
      </c>
      <c r="J290">
        <f t="shared" si="16"/>
        <v>129.6</v>
      </c>
      <c r="K290">
        <v>2605</v>
      </c>
      <c r="L290">
        <v>29.6</v>
      </c>
      <c r="M290">
        <v>71.08</v>
      </c>
      <c r="O290" t="s">
        <v>242</v>
      </c>
      <c r="P290" s="1">
        <v>40347</v>
      </c>
      <c r="Q290" s="36">
        <f t="shared" si="17"/>
        <v>120.1</v>
      </c>
      <c r="R290">
        <v>2605</v>
      </c>
      <c r="S290">
        <v>20.100000000000001</v>
      </c>
      <c r="T290">
        <v>68.33</v>
      </c>
      <c r="V290" t="s">
        <v>272</v>
      </c>
      <c r="W290" s="1">
        <v>40784</v>
      </c>
      <c r="X290">
        <f t="shared" si="18"/>
        <v>141</v>
      </c>
      <c r="Y290">
        <v>2500</v>
      </c>
      <c r="Z290">
        <v>41</v>
      </c>
      <c r="AA290">
        <v>72.84</v>
      </c>
    </row>
    <row r="291" spans="8:27" x14ac:dyDescent="0.2">
      <c r="H291" t="s">
        <v>242</v>
      </c>
      <c r="I291" s="1">
        <v>40558</v>
      </c>
      <c r="J291">
        <f t="shared" si="16"/>
        <v>128.19999999999999</v>
      </c>
      <c r="K291">
        <v>2605</v>
      </c>
      <c r="L291">
        <v>28.2</v>
      </c>
      <c r="M291">
        <v>71.69</v>
      </c>
      <c r="O291" t="s">
        <v>242</v>
      </c>
      <c r="P291" s="1">
        <v>40386</v>
      </c>
      <c r="Q291" s="36">
        <f t="shared" si="17"/>
        <v>115.8</v>
      </c>
      <c r="R291">
        <v>2605</v>
      </c>
      <c r="S291">
        <v>15.8</v>
      </c>
      <c r="T291">
        <v>68.53</v>
      </c>
      <c r="V291" t="s">
        <v>272</v>
      </c>
      <c r="W291" s="1">
        <v>40813</v>
      </c>
      <c r="X291">
        <f t="shared" si="18"/>
        <v>142</v>
      </c>
      <c r="Y291">
        <v>2500</v>
      </c>
      <c r="Z291">
        <v>42</v>
      </c>
      <c r="AA291">
        <v>75.31</v>
      </c>
    </row>
    <row r="292" spans="8:27" x14ac:dyDescent="0.2">
      <c r="H292" t="s">
        <v>272</v>
      </c>
      <c r="I292" s="1">
        <v>40597</v>
      </c>
      <c r="J292">
        <f t="shared" si="16"/>
        <v>137</v>
      </c>
      <c r="K292">
        <v>2605</v>
      </c>
      <c r="L292">
        <v>37</v>
      </c>
      <c r="M292">
        <v>72.150000000000006</v>
      </c>
      <c r="O292" t="s">
        <v>242</v>
      </c>
      <c r="P292" s="1">
        <v>40425</v>
      </c>
      <c r="Q292" s="36">
        <f t="shared" si="17"/>
        <v>123.4</v>
      </c>
      <c r="R292">
        <v>2605</v>
      </c>
      <c r="S292">
        <v>23.4</v>
      </c>
      <c r="T292">
        <v>67.58</v>
      </c>
      <c r="V292" t="s">
        <v>272</v>
      </c>
      <c r="W292" s="1">
        <v>40852</v>
      </c>
      <c r="X292">
        <f t="shared" si="18"/>
        <v>143</v>
      </c>
      <c r="Y292">
        <v>2500</v>
      </c>
      <c r="Z292">
        <v>43</v>
      </c>
      <c r="AA292">
        <v>77.5</v>
      </c>
    </row>
    <row r="293" spans="8:27" x14ac:dyDescent="0.2">
      <c r="H293" t="s">
        <v>272</v>
      </c>
      <c r="I293" s="1">
        <v>40619</v>
      </c>
      <c r="J293">
        <f t="shared" si="16"/>
        <v>125</v>
      </c>
      <c r="K293">
        <v>2605</v>
      </c>
      <c r="L293">
        <v>25</v>
      </c>
      <c r="M293">
        <v>70.83</v>
      </c>
      <c r="O293" t="s">
        <v>242</v>
      </c>
      <c r="P293" s="1">
        <v>40441</v>
      </c>
      <c r="Q293" s="36">
        <f t="shared" si="17"/>
        <v>121.3</v>
      </c>
      <c r="R293">
        <v>2605</v>
      </c>
      <c r="S293">
        <v>21.3</v>
      </c>
      <c r="T293">
        <v>68.88</v>
      </c>
      <c r="V293" t="s">
        <v>272</v>
      </c>
      <c r="W293" s="1">
        <v>40887</v>
      </c>
      <c r="X293">
        <f t="shared" si="18"/>
        <v>140</v>
      </c>
      <c r="Y293">
        <v>2500</v>
      </c>
      <c r="Z293">
        <v>40</v>
      </c>
      <c r="AA293">
        <v>75</v>
      </c>
    </row>
    <row r="294" spans="8:27" x14ac:dyDescent="0.2">
      <c r="H294" t="s">
        <v>272</v>
      </c>
      <c r="I294" s="1">
        <v>40667</v>
      </c>
      <c r="J294">
        <f t="shared" si="16"/>
        <v>126</v>
      </c>
      <c r="K294">
        <v>2605</v>
      </c>
      <c r="L294">
        <v>26</v>
      </c>
      <c r="M294">
        <v>71.23</v>
      </c>
      <c r="O294" t="s">
        <v>242</v>
      </c>
      <c r="P294" s="1">
        <v>40471</v>
      </c>
      <c r="Q294" s="36">
        <f t="shared" si="17"/>
        <v>129.6</v>
      </c>
      <c r="R294">
        <v>2605</v>
      </c>
      <c r="S294">
        <v>29.6</v>
      </c>
      <c r="T294">
        <v>71.08</v>
      </c>
      <c r="V294" t="s">
        <v>272</v>
      </c>
      <c r="W294" s="1">
        <v>40929</v>
      </c>
      <c r="X294">
        <f t="shared" si="18"/>
        <v>142</v>
      </c>
      <c r="Y294">
        <v>1500</v>
      </c>
      <c r="Z294">
        <v>42</v>
      </c>
      <c r="AA294">
        <v>76.25</v>
      </c>
    </row>
    <row r="295" spans="8:27" x14ac:dyDescent="0.2">
      <c r="H295" t="s">
        <v>272</v>
      </c>
      <c r="I295" s="1">
        <v>40687</v>
      </c>
      <c r="J295">
        <f t="shared" si="16"/>
        <v>131.80000000000001</v>
      </c>
      <c r="K295">
        <v>2605</v>
      </c>
      <c r="L295">
        <v>31.8</v>
      </c>
      <c r="M295">
        <v>68.86</v>
      </c>
      <c r="O295" t="s">
        <v>242</v>
      </c>
      <c r="P295" s="1">
        <v>40558</v>
      </c>
      <c r="Q295" s="36">
        <f t="shared" si="17"/>
        <v>128.19999999999999</v>
      </c>
      <c r="R295">
        <v>2605</v>
      </c>
      <c r="S295">
        <v>28.2</v>
      </c>
      <c r="T295">
        <v>71.69</v>
      </c>
      <c r="V295" t="s">
        <v>272</v>
      </c>
      <c r="W295" s="1">
        <v>40973</v>
      </c>
      <c r="X295">
        <f t="shared" si="18"/>
        <v>146</v>
      </c>
      <c r="Y295">
        <v>2500</v>
      </c>
      <c r="Z295">
        <v>46</v>
      </c>
      <c r="AA295">
        <v>76.83</v>
      </c>
    </row>
    <row r="296" spans="8:27" x14ac:dyDescent="0.2">
      <c r="H296" t="s">
        <v>272</v>
      </c>
      <c r="I296" s="1">
        <v>40727</v>
      </c>
      <c r="J296">
        <f t="shared" si="16"/>
        <v>132</v>
      </c>
      <c r="K296">
        <v>2605</v>
      </c>
      <c r="L296">
        <v>32</v>
      </c>
      <c r="M296">
        <v>71.430000000000007</v>
      </c>
      <c r="O296" t="s">
        <v>272</v>
      </c>
      <c r="P296" s="1">
        <v>40597</v>
      </c>
      <c r="Q296" s="36">
        <f t="shared" si="17"/>
        <v>137</v>
      </c>
      <c r="R296">
        <v>2605</v>
      </c>
      <c r="S296">
        <v>37</v>
      </c>
      <c r="T296">
        <v>72.150000000000006</v>
      </c>
      <c r="V296" t="s">
        <v>272</v>
      </c>
      <c r="W296" s="1">
        <v>41034</v>
      </c>
      <c r="X296">
        <f t="shared" si="18"/>
        <v>151</v>
      </c>
      <c r="Y296">
        <v>9300</v>
      </c>
      <c r="Z296">
        <v>51</v>
      </c>
      <c r="AA296">
        <v>78.569999999999993</v>
      </c>
    </row>
    <row r="297" spans="8:27" x14ac:dyDescent="0.2">
      <c r="H297" t="s">
        <v>272</v>
      </c>
      <c r="I297" s="1">
        <v>40784</v>
      </c>
      <c r="J297">
        <f t="shared" si="16"/>
        <v>141</v>
      </c>
      <c r="K297">
        <v>2605</v>
      </c>
      <c r="L297">
        <v>41</v>
      </c>
      <c r="M297">
        <v>72.84</v>
      </c>
      <c r="O297" t="s">
        <v>272</v>
      </c>
      <c r="P297" s="1">
        <v>40619</v>
      </c>
      <c r="Q297" s="36">
        <f t="shared" si="17"/>
        <v>125</v>
      </c>
      <c r="R297">
        <v>2605</v>
      </c>
      <c r="S297">
        <v>25</v>
      </c>
      <c r="T297">
        <v>70.83</v>
      </c>
      <c r="V297" t="s">
        <v>272</v>
      </c>
      <c r="W297" s="1">
        <v>41065</v>
      </c>
      <c r="X297">
        <f t="shared" si="18"/>
        <v>144</v>
      </c>
      <c r="Y297">
        <v>2500</v>
      </c>
      <c r="Z297">
        <v>44</v>
      </c>
      <c r="AA297">
        <v>78.75</v>
      </c>
    </row>
    <row r="298" spans="8:27" x14ac:dyDescent="0.2">
      <c r="H298" t="s">
        <v>272</v>
      </c>
      <c r="I298" s="1">
        <v>40813</v>
      </c>
      <c r="J298">
        <f t="shared" si="16"/>
        <v>142</v>
      </c>
      <c r="K298">
        <v>2605</v>
      </c>
      <c r="L298">
        <v>42</v>
      </c>
      <c r="M298">
        <v>75.31</v>
      </c>
      <c r="O298" t="s">
        <v>272</v>
      </c>
      <c r="P298" s="1">
        <v>40667</v>
      </c>
      <c r="Q298" s="36">
        <f t="shared" si="17"/>
        <v>126</v>
      </c>
      <c r="R298">
        <v>2605</v>
      </c>
      <c r="S298">
        <v>26</v>
      </c>
      <c r="T298">
        <v>71.23</v>
      </c>
      <c r="V298" t="s">
        <v>272</v>
      </c>
      <c r="W298" s="1">
        <v>41123</v>
      </c>
      <c r="X298">
        <f t="shared" si="18"/>
        <v>144</v>
      </c>
      <c r="Y298">
        <v>2500</v>
      </c>
      <c r="Z298">
        <v>44</v>
      </c>
      <c r="AA298">
        <v>82.05</v>
      </c>
    </row>
    <row r="299" spans="8:27" x14ac:dyDescent="0.2">
      <c r="H299" t="s">
        <v>272</v>
      </c>
      <c r="I299" s="1">
        <v>40852</v>
      </c>
      <c r="J299">
        <f t="shared" si="16"/>
        <v>143</v>
      </c>
      <c r="K299">
        <v>2605</v>
      </c>
      <c r="L299">
        <v>43</v>
      </c>
      <c r="M299">
        <v>77.5</v>
      </c>
      <c r="O299" t="s">
        <v>272</v>
      </c>
      <c r="P299" s="1">
        <v>40687</v>
      </c>
      <c r="Q299" s="36">
        <f t="shared" si="17"/>
        <v>131.80000000000001</v>
      </c>
      <c r="R299">
        <v>2605</v>
      </c>
      <c r="S299">
        <v>31.8</v>
      </c>
      <c r="T299">
        <v>68.86</v>
      </c>
      <c r="V299" t="s">
        <v>272</v>
      </c>
      <c r="W299" s="1">
        <v>41218</v>
      </c>
      <c r="X299">
        <f t="shared" si="18"/>
        <v>141</v>
      </c>
      <c r="Y299">
        <v>2500</v>
      </c>
      <c r="Z299">
        <v>41</v>
      </c>
      <c r="AA299">
        <v>75.95</v>
      </c>
    </row>
    <row r="300" spans="8:27" x14ac:dyDescent="0.2">
      <c r="H300" t="s">
        <v>272</v>
      </c>
      <c r="I300" s="1">
        <v>40887</v>
      </c>
      <c r="J300">
        <f t="shared" si="16"/>
        <v>140</v>
      </c>
      <c r="K300">
        <v>2605</v>
      </c>
      <c r="L300">
        <v>40</v>
      </c>
      <c r="M300">
        <v>75</v>
      </c>
      <c r="O300" t="s">
        <v>272</v>
      </c>
      <c r="P300" s="1">
        <v>40727</v>
      </c>
      <c r="Q300" s="36">
        <f t="shared" si="17"/>
        <v>132</v>
      </c>
      <c r="R300">
        <v>2605</v>
      </c>
      <c r="S300">
        <v>32</v>
      </c>
      <c r="T300">
        <v>71.430000000000007</v>
      </c>
      <c r="V300" t="s">
        <v>272</v>
      </c>
      <c r="W300" s="1">
        <v>41250</v>
      </c>
      <c r="X300">
        <f t="shared" si="18"/>
        <v>142</v>
      </c>
      <c r="Y300">
        <v>1500</v>
      </c>
      <c r="Z300">
        <v>42</v>
      </c>
      <c r="AA300">
        <v>75</v>
      </c>
    </row>
    <row r="301" spans="8:27" x14ac:dyDescent="0.2">
      <c r="H301" t="s">
        <v>272</v>
      </c>
      <c r="I301" s="1">
        <v>40929</v>
      </c>
      <c r="J301">
        <f t="shared" si="16"/>
        <v>142</v>
      </c>
      <c r="K301">
        <v>2605</v>
      </c>
      <c r="L301">
        <v>42</v>
      </c>
      <c r="M301">
        <v>76.25</v>
      </c>
      <c r="O301" t="s">
        <v>272</v>
      </c>
      <c r="P301" s="1">
        <v>40784</v>
      </c>
      <c r="Q301" s="36">
        <f t="shared" si="17"/>
        <v>141</v>
      </c>
      <c r="R301">
        <v>2605</v>
      </c>
      <c r="S301">
        <v>41</v>
      </c>
      <c r="T301">
        <v>72.84</v>
      </c>
      <c r="V301" t="s">
        <v>272</v>
      </c>
      <c r="W301" s="1">
        <v>41297</v>
      </c>
      <c r="X301">
        <f t="shared" si="18"/>
        <v>156</v>
      </c>
      <c r="Y301">
        <v>2500</v>
      </c>
      <c r="Z301">
        <v>56</v>
      </c>
      <c r="AA301">
        <v>82.35</v>
      </c>
    </row>
    <row r="302" spans="8:27" x14ac:dyDescent="0.2">
      <c r="H302" t="s">
        <v>272</v>
      </c>
      <c r="I302" s="1">
        <v>40973</v>
      </c>
      <c r="J302">
        <f t="shared" si="16"/>
        <v>146</v>
      </c>
      <c r="K302">
        <v>2605</v>
      </c>
      <c r="L302">
        <v>46</v>
      </c>
      <c r="M302">
        <v>76.83</v>
      </c>
      <c r="O302" t="s">
        <v>272</v>
      </c>
      <c r="P302" s="1">
        <v>40813</v>
      </c>
      <c r="Q302" s="36">
        <f t="shared" si="17"/>
        <v>142</v>
      </c>
      <c r="R302">
        <v>2605</v>
      </c>
      <c r="S302">
        <v>42</v>
      </c>
      <c r="T302">
        <v>75.31</v>
      </c>
      <c r="V302" t="s">
        <v>7</v>
      </c>
      <c r="W302" s="1">
        <v>40235</v>
      </c>
      <c r="X302">
        <f t="shared" si="18"/>
        <v>96</v>
      </c>
      <c r="Y302">
        <v>1300</v>
      </c>
      <c r="Z302">
        <v>-4</v>
      </c>
      <c r="AA302">
        <v>47.78</v>
      </c>
    </row>
    <row r="303" spans="8:27" x14ac:dyDescent="0.2">
      <c r="H303" t="s">
        <v>272</v>
      </c>
      <c r="I303" s="1">
        <v>41034</v>
      </c>
      <c r="J303">
        <f t="shared" si="16"/>
        <v>151</v>
      </c>
      <c r="K303">
        <v>2605</v>
      </c>
      <c r="L303">
        <v>51</v>
      </c>
      <c r="M303">
        <v>78.569999999999993</v>
      </c>
      <c r="O303" t="s">
        <v>272</v>
      </c>
      <c r="P303" s="1">
        <v>40852</v>
      </c>
      <c r="Q303" s="36">
        <f t="shared" si="17"/>
        <v>143</v>
      </c>
      <c r="R303">
        <v>2605</v>
      </c>
      <c r="S303">
        <v>43</v>
      </c>
      <c r="T303">
        <v>77.5</v>
      </c>
      <c r="V303" t="s">
        <v>7</v>
      </c>
      <c r="W303" s="1">
        <v>40326</v>
      </c>
      <c r="X303">
        <f t="shared" si="18"/>
        <v>99</v>
      </c>
      <c r="Y303">
        <v>1300</v>
      </c>
      <c r="Z303">
        <v>-1</v>
      </c>
      <c r="AA303">
        <v>49.46</v>
      </c>
    </row>
    <row r="304" spans="8:27" x14ac:dyDescent="0.2">
      <c r="H304" t="s">
        <v>272</v>
      </c>
      <c r="I304" s="1">
        <v>41065</v>
      </c>
      <c r="J304">
        <f t="shared" si="16"/>
        <v>144</v>
      </c>
      <c r="K304">
        <v>2605</v>
      </c>
      <c r="L304">
        <v>44</v>
      </c>
      <c r="M304">
        <v>78.75</v>
      </c>
      <c r="O304" t="s">
        <v>272</v>
      </c>
      <c r="P304" s="1">
        <v>40887</v>
      </c>
      <c r="Q304" s="36">
        <f t="shared" si="17"/>
        <v>140</v>
      </c>
      <c r="R304">
        <v>2605</v>
      </c>
      <c r="S304">
        <v>40</v>
      </c>
      <c r="T304">
        <v>75</v>
      </c>
      <c r="V304" t="s">
        <v>7</v>
      </c>
      <c r="W304" s="1">
        <v>40595</v>
      </c>
      <c r="X304">
        <f t="shared" si="18"/>
        <v>93</v>
      </c>
      <c r="Y304">
        <v>1474</v>
      </c>
      <c r="Z304">
        <v>-7</v>
      </c>
      <c r="AA304">
        <v>46.46</v>
      </c>
    </row>
    <row r="305" spans="8:27" x14ac:dyDescent="0.2">
      <c r="H305" t="s">
        <v>272</v>
      </c>
      <c r="I305" s="1">
        <v>41123</v>
      </c>
      <c r="J305">
        <f t="shared" si="16"/>
        <v>144</v>
      </c>
      <c r="K305">
        <v>2605</v>
      </c>
      <c r="L305">
        <v>44</v>
      </c>
      <c r="M305">
        <v>82.05</v>
      </c>
      <c r="O305" t="s">
        <v>272</v>
      </c>
      <c r="P305" s="1">
        <v>40929</v>
      </c>
      <c r="Q305" s="36">
        <f t="shared" si="17"/>
        <v>142</v>
      </c>
      <c r="R305">
        <v>2605</v>
      </c>
      <c r="S305">
        <v>42</v>
      </c>
      <c r="T305">
        <v>76.25</v>
      </c>
      <c r="V305" t="s">
        <v>7</v>
      </c>
      <c r="W305" s="1">
        <v>41348</v>
      </c>
      <c r="X305">
        <f t="shared" si="18"/>
        <v>109</v>
      </c>
      <c r="Y305">
        <v>1960</v>
      </c>
      <c r="Z305">
        <v>9</v>
      </c>
      <c r="AA305">
        <v>54.84</v>
      </c>
    </row>
    <row r="306" spans="8:27" x14ac:dyDescent="0.2">
      <c r="H306" t="s">
        <v>272</v>
      </c>
      <c r="I306" s="1">
        <v>41218</v>
      </c>
      <c r="J306">
        <f t="shared" si="16"/>
        <v>141</v>
      </c>
      <c r="K306">
        <v>2605</v>
      </c>
      <c r="L306">
        <v>41</v>
      </c>
      <c r="M306">
        <v>75.95</v>
      </c>
      <c r="O306" t="s">
        <v>272</v>
      </c>
      <c r="P306" s="1">
        <v>40973</v>
      </c>
      <c r="Q306" s="36">
        <f t="shared" si="17"/>
        <v>146</v>
      </c>
      <c r="R306">
        <v>2605</v>
      </c>
      <c r="S306">
        <v>46</v>
      </c>
      <c r="T306">
        <v>76.83</v>
      </c>
      <c r="V306" t="s">
        <v>7</v>
      </c>
      <c r="W306" s="1">
        <v>41410</v>
      </c>
      <c r="X306">
        <f t="shared" si="18"/>
        <v>98</v>
      </c>
      <c r="Y306">
        <v>2000</v>
      </c>
      <c r="Z306">
        <v>-2</v>
      </c>
      <c r="AA306">
        <v>48.95</v>
      </c>
    </row>
    <row r="307" spans="8:27" x14ac:dyDescent="0.2">
      <c r="H307" t="s">
        <v>272</v>
      </c>
      <c r="I307" s="1">
        <v>41250</v>
      </c>
      <c r="J307">
        <f t="shared" si="16"/>
        <v>142</v>
      </c>
      <c r="K307">
        <v>2605</v>
      </c>
      <c r="L307">
        <v>42</v>
      </c>
      <c r="M307">
        <v>75</v>
      </c>
      <c r="O307" t="s">
        <v>272</v>
      </c>
      <c r="P307" s="1">
        <v>41034</v>
      </c>
      <c r="Q307" s="36">
        <f t="shared" si="17"/>
        <v>151</v>
      </c>
      <c r="R307">
        <v>2605</v>
      </c>
      <c r="S307">
        <v>51</v>
      </c>
      <c r="T307">
        <v>78.569999999999993</v>
      </c>
      <c r="V307" t="s">
        <v>7</v>
      </c>
      <c r="W307" s="1">
        <v>41461</v>
      </c>
      <c r="X307">
        <f t="shared" si="18"/>
        <v>96.6</v>
      </c>
      <c r="Y307">
        <v>2000</v>
      </c>
      <c r="Z307">
        <v>-3.4</v>
      </c>
      <c r="AA307">
        <v>48.18</v>
      </c>
    </row>
    <row r="308" spans="8:27" x14ac:dyDescent="0.2">
      <c r="H308" t="s">
        <v>272</v>
      </c>
      <c r="I308" s="1">
        <v>41297</v>
      </c>
      <c r="J308">
        <f t="shared" si="16"/>
        <v>156</v>
      </c>
      <c r="K308">
        <v>2605</v>
      </c>
      <c r="L308">
        <v>56</v>
      </c>
      <c r="M308">
        <v>82.35</v>
      </c>
      <c r="O308" t="s">
        <v>272</v>
      </c>
      <c r="P308" s="1">
        <v>41065</v>
      </c>
      <c r="Q308" s="36">
        <f t="shared" si="17"/>
        <v>144</v>
      </c>
      <c r="R308">
        <v>2605</v>
      </c>
      <c r="S308">
        <v>44</v>
      </c>
      <c r="T308">
        <v>78.75</v>
      </c>
      <c r="V308" t="s">
        <v>4</v>
      </c>
      <c r="W308" s="1">
        <v>40235</v>
      </c>
      <c r="X308">
        <f t="shared" si="18"/>
        <v>94</v>
      </c>
      <c r="Y308">
        <v>1300</v>
      </c>
      <c r="Z308">
        <v>-6</v>
      </c>
      <c r="AA308">
        <v>46.51</v>
      </c>
    </row>
    <row r="309" spans="8:27" x14ac:dyDescent="0.2">
      <c r="H309" t="s">
        <v>7</v>
      </c>
      <c r="I309" s="1">
        <v>40235</v>
      </c>
      <c r="J309">
        <f t="shared" si="16"/>
        <v>96</v>
      </c>
      <c r="K309">
        <v>1686</v>
      </c>
      <c r="L309">
        <v>-4</v>
      </c>
      <c r="M309">
        <v>47.78</v>
      </c>
      <c r="O309" t="s">
        <v>272</v>
      </c>
      <c r="P309" s="1">
        <v>41123</v>
      </c>
      <c r="Q309" s="36">
        <f t="shared" si="17"/>
        <v>144</v>
      </c>
      <c r="R309">
        <v>2605</v>
      </c>
      <c r="S309">
        <v>44</v>
      </c>
      <c r="T309">
        <v>82.05</v>
      </c>
      <c r="V309" t="s">
        <v>4</v>
      </c>
      <c r="W309" s="1">
        <v>40326</v>
      </c>
      <c r="X309">
        <f t="shared" si="18"/>
        <v>94</v>
      </c>
      <c r="Y309">
        <v>1300</v>
      </c>
      <c r="Z309">
        <v>-6</v>
      </c>
      <c r="AA309">
        <v>46.59</v>
      </c>
    </row>
    <row r="310" spans="8:27" x14ac:dyDescent="0.2">
      <c r="H310" t="s">
        <v>7</v>
      </c>
      <c r="I310" s="1">
        <v>40326</v>
      </c>
      <c r="J310">
        <f t="shared" si="16"/>
        <v>99</v>
      </c>
      <c r="K310">
        <v>1686</v>
      </c>
      <c r="L310">
        <v>-1</v>
      </c>
      <c r="M310">
        <v>49.46</v>
      </c>
      <c r="O310" t="s">
        <v>272</v>
      </c>
      <c r="P310" s="1">
        <v>41218</v>
      </c>
      <c r="Q310" s="36">
        <f t="shared" si="17"/>
        <v>141</v>
      </c>
      <c r="R310">
        <v>2605</v>
      </c>
      <c r="S310">
        <v>41</v>
      </c>
      <c r="T310">
        <v>75.95</v>
      </c>
      <c r="V310" t="s">
        <v>4</v>
      </c>
      <c r="W310" s="1">
        <v>40594</v>
      </c>
      <c r="X310">
        <f t="shared" si="18"/>
        <v>94</v>
      </c>
      <c r="Y310">
        <v>1538</v>
      </c>
      <c r="Z310">
        <v>-6</v>
      </c>
      <c r="AA310">
        <v>46.74</v>
      </c>
    </row>
    <row r="311" spans="8:27" x14ac:dyDescent="0.2">
      <c r="H311" t="s">
        <v>7</v>
      </c>
      <c r="I311" s="1">
        <v>40595</v>
      </c>
      <c r="J311">
        <f t="shared" si="16"/>
        <v>93</v>
      </c>
      <c r="K311">
        <v>1686</v>
      </c>
      <c r="L311">
        <v>-7</v>
      </c>
      <c r="M311">
        <v>46.46</v>
      </c>
      <c r="O311" t="s">
        <v>272</v>
      </c>
      <c r="P311" s="1">
        <v>41250</v>
      </c>
      <c r="Q311" s="36">
        <f t="shared" si="17"/>
        <v>142</v>
      </c>
      <c r="R311">
        <v>2605</v>
      </c>
      <c r="S311">
        <v>42</v>
      </c>
      <c r="T311">
        <v>75</v>
      </c>
      <c r="V311" t="s">
        <v>4</v>
      </c>
      <c r="W311" s="1">
        <v>41002</v>
      </c>
      <c r="X311">
        <f t="shared" si="18"/>
        <v>101.5</v>
      </c>
      <c r="Y311">
        <v>1900</v>
      </c>
      <c r="Z311">
        <v>1.5</v>
      </c>
      <c r="AA311">
        <v>50.83</v>
      </c>
    </row>
    <row r="312" spans="8:27" x14ac:dyDescent="0.2">
      <c r="H312" t="s">
        <v>7</v>
      </c>
      <c r="I312" s="1">
        <v>41348</v>
      </c>
      <c r="J312">
        <f t="shared" si="16"/>
        <v>109</v>
      </c>
      <c r="K312">
        <v>1686</v>
      </c>
      <c r="L312">
        <v>9</v>
      </c>
      <c r="M312">
        <v>54.84</v>
      </c>
      <c r="O312" t="s">
        <v>272</v>
      </c>
      <c r="P312" s="1">
        <v>41297</v>
      </c>
      <c r="Q312" s="36">
        <f t="shared" si="17"/>
        <v>156</v>
      </c>
      <c r="R312">
        <v>2605</v>
      </c>
      <c r="S312">
        <v>56</v>
      </c>
      <c r="T312">
        <v>82.35</v>
      </c>
      <c r="V312" t="s">
        <v>4</v>
      </c>
      <c r="W312" s="1">
        <v>41348</v>
      </c>
      <c r="X312">
        <f t="shared" si="18"/>
        <v>109</v>
      </c>
      <c r="Y312">
        <v>1975</v>
      </c>
      <c r="Z312">
        <v>9</v>
      </c>
      <c r="AA312">
        <v>54.95</v>
      </c>
    </row>
    <row r="313" spans="8:27" x14ac:dyDescent="0.2">
      <c r="H313" t="s">
        <v>7</v>
      </c>
      <c r="I313" s="1">
        <v>41410</v>
      </c>
      <c r="J313">
        <f t="shared" si="16"/>
        <v>98</v>
      </c>
      <c r="K313">
        <v>1686</v>
      </c>
      <c r="L313">
        <v>-2</v>
      </c>
      <c r="M313">
        <v>48.95</v>
      </c>
      <c r="O313" t="s">
        <v>7</v>
      </c>
      <c r="P313" s="1">
        <v>40235</v>
      </c>
      <c r="Q313" s="36">
        <f t="shared" si="17"/>
        <v>96</v>
      </c>
      <c r="R313">
        <v>1686</v>
      </c>
      <c r="S313">
        <v>-4</v>
      </c>
      <c r="T313">
        <v>47.78</v>
      </c>
      <c r="V313" t="s">
        <v>4</v>
      </c>
      <c r="W313" s="1">
        <v>41461</v>
      </c>
      <c r="X313">
        <f t="shared" si="18"/>
        <v>91.3</v>
      </c>
      <c r="Y313">
        <v>2000</v>
      </c>
      <c r="Z313">
        <v>-8.6999999999999993</v>
      </c>
      <c r="AA313">
        <v>45.16</v>
      </c>
    </row>
    <row r="314" spans="8:27" x14ac:dyDescent="0.2">
      <c r="H314" t="s">
        <v>7</v>
      </c>
      <c r="I314" s="1">
        <v>41461</v>
      </c>
      <c r="J314">
        <f t="shared" si="16"/>
        <v>96.6</v>
      </c>
      <c r="K314">
        <v>1686</v>
      </c>
      <c r="L314">
        <v>-3.4</v>
      </c>
      <c r="M314">
        <v>48.18</v>
      </c>
      <c r="O314" t="s">
        <v>7</v>
      </c>
      <c r="P314" s="1">
        <v>40326</v>
      </c>
      <c r="Q314" s="36">
        <f t="shared" si="17"/>
        <v>99</v>
      </c>
      <c r="R314">
        <v>1686</v>
      </c>
      <c r="S314">
        <v>-1</v>
      </c>
      <c r="T314">
        <v>49.46</v>
      </c>
      <c r="V314" t="s">
        <v>8</v>
      </c>
      <c r="W314" s="1">
        <v>39706</v>
      </c>
      <c r="X314">
        <f t="shared" si="18"/>
        <v>100</v>
      </c>
      <c r="Y314">
        <v>1000</v>
      </c>
      <c r="Z314">
        <v>0</v>
      </c>
      <c r="AA314">
        <v>50</v>
      </c>
    </row>
    <row r="315" spans="8:27" x14ac:dyDescent="0.2">
      <c r="H315" t="s">
        <v>4</v>
      </c>
      <c r="I315" s="1">
        <v>40235</v>
      </c>
      <c r="J315">
        <f t="shared" si="16"/>
        <v>94</v>
      </c>
      <c r="K315">
        <v>1686</v>
      </c>
      <c r="L315">
        <v>-6</v>
      </c>
      <c r="M315">
        <v>46.51</v>
      </c>
      <c r="O315" t="s">
        <v>7</v>
      </c>
      <c r="P315" s="1">
        <v>40595</v>
      </c>
      <c r="Q315" s="36">
        <f t="shared" si="17"/>
        <v>93</v>
      </c>
      <c r="R315">
        <v>1686</v>
      </c>
      <c r="S315">
        <v>-7</v>
      </c>
      <c r="T315">
        <v>46.46</v>
      </c>
      <c r="V315" t="s">
        <v>8</v>
      </c>
      <c r="W315" s="1">
        <v>39850</v>
      </c>
      <c r="X315">
        <f t="shared" si="18"/>
        <v>84</v>
      </c>
      <c r="Y315">
        <v>1000</v>
      </c>
      <c r="Z315">
        <v>-16</v>
      </c>
      <c r="AA315">
        <v>40</v>
      </c>
    </row>
    <row r="316" spans="8:27" x14ac:dyDescent="0.2">
      <c r="H316" t="s">
        <v>4</v>
      </c>
      <c r="I316" s="1">
        <v>40326</v>
      </c>
      <c r="J316">
        <f t="shared" si="16"/>
        <v>94</v>
      </c>
      <c r="K316">
        <v>1686</v>
      </c>
      <c r="L316">
        <v>-6</v>
      </c>
      <c r="M316">
        <v>46.59</v>
      </c>
      <c r="O316" t="s">
        <v>7</v>
      </c>
      <c r="P316" s="1">
        <v>41348</v>
      </c>
      <c r="Q316" s="36">
        <f t="shared" si="17"/>
        <v>109</v>
      </c>
      <c r="R316">
        <v>1686</v>
      </c>
      <c r="S316">
        <v>9</v>
      </c>
      <c r="T316">
        <v>54.84</v>
      </c>
      <c r="V316" t="s">
        <v>120</v>
      </c>
      <c r="W316" s="1">
        <v>37909</v>
      </c>
      <c r="X316">
        <f t="shared" si="18"/>
        <v>93</v>
      </c>
      <c r="Y316">
        <v>1000</v>
      </c>
      <c r="Z316">
        <v>-7</v>
      </c>
      <c r="AA316">
        <v>46.32</v>
      </c>
    </row>
    <row r="317" spans="8:27" x14ac:dyDescent="0.2">
      <c r="H317" t="s">
        <v>4</v>
      </c>
      <c r="I317" s="1">
        <v>40594</v>
      </c>
      <c r="J317">
        <f t="shared" si="16"/>
        <v>94</v>
      </c>
      <c r="K317">
        <v>1686</v>
      </c>
      <c r="L317">
        <v>-6</v>
      </c>
      <c r="M317">
        <v>46.74</v>
      </c>
      <c r="O317" t="s">
        <v>7</v>
      </c>
      <c r="P317" s="1">
        <v>41410</v>
      </c>
      <c r="Q317" s="36">
        <f t="shared" si="17"/>
        <v>98</v>
      </c>
      <c r="R317">
        <v>1686</v>
      </c>
      <c r="S317">
        <v>-2</v>
      </c>
      <c r="T317">
        <v>48.95</v>
      </c>
      <c r="V317" t="s">
        <v>120</v>
      </c>
      <c r="W317" s="1">
        <v>38068</v>
      </c>
      <c r="X317">
        <f t="shared" si="18"/>
        <v>76</v>
      </c>
      <c r="Y317">
        <v>1000</v>
      </c>
      <c r="Z317">
        <v>-24</v>
      </c>
      <c r="AA317">
        <v>37.5</v>
      </c>
    </row>
    <row r="318" spans="8:27" x14ac:dyDescent="0.2">
      <c r="H318" t="s">
        <v>4</v>
      </c>
      <c r="I318" s="1">
        <v>41002</v>
      </c>
      <c r="J318">
        <f t="shared" si="16"/>
        <v>101.5</v>
      </c>
      <c r="K318">
        <v>1686</v>
      </c>
      <c r="L318">
        <v>1.5</v>
      </c>
      <c r="M318">
        <v>50.83</v>
      </c>
      <c r="O318" t="s">
        <v>7</v>
      </c>
      <c r="P318" s="1">
        <v>41461</v>
      </c>
      <c r="Q318" s="36">
        <f t="shared" si="17"/>
        <v>96.6</v>
      </c>
      <c r="R318">
        <v>1686</v>
      </c>
      <c r="S318">
        <v>-3.4</v>
      </c>
      <c r="T318">
        <v>48.18</v>
      </c>
      <c r="V318" t="s">
        <v>94</v>
      </c>
      <c r="W318" s="1">
        <v>38190</v>
      </c>
      <c r="X318">
        <f t="shared" si="18"/>
        <v>107</v>
      </c>
      <c r="Y318">
        <v>2000</v>
      </c>
      <c r="Z318">
        <v>7</v>
      </c>
      <c r="AA318">
        <v>54.22</v>
      </c>
    </row>
    <row r="319" spans="8:27" x14ac:dyDescent="0.2">
      <c r="H319" t="s">
        <v>4</v>
      </c>
      <c r="I319" s="1">
        <v>41348</v>
      </c>
      <c r="J319">
        <f t="shared" si="16"/>
        <v>109</v>
      </c>
      <c r="K319">
        <v>1686</v>
      </c>
      <c r="L319">
        <v>9</v>
      </c>
      <c r="M319">
        <v>54.95</v>
      </c>
      <c r="O319" t="s">
        <v>4</v>
      </c>
      <c r="P319" s="1">
        <v>40235</v>
      </c>
      <c r="Q319" s="36">
        <f t="shared" si="17"/>
        <v>94</v>
      </c>
      <c r="R319">
        <v>1686</v>
      </c>
      <c r="S319">
        <v>-6</v>
      </c>
      <c r="T319">
        <v>46.51</v>
      </c>
      <c r="V319" t="s">
        <v>94</v>
      </c>
      <c r="W319" s="1">
        <v>39024</v>
      </c>
      <c r="X319">
        <f t="shared" si="18"/>
        <v>116</v>
      </c>
      <c r="Y319">
        <v>2000</v>
      </c>
      <c r="Z319">
        <v>16</v>
      </c>
      <c r="AA319">
        <v>58.89</v>
      </c>
    </row>
    <row r="320" spans="8:27" x14ac:dyDescent="0.2">
      <c r="H320" t="s">
        <v>4</v>
      </c>
      <c r="I320" s="1">
        <v>41461</v>
      </c>
      <c r="J320">
        <f t="shared" si="16"/>
        <v>91.3</v>
      </c>
      <c r="K320">
        <v>1686</v>
      </c>
      <c r="L320">
        <v>-8.6999999999999993</v>
      </c>
      <c r="M320">
        <v>45.16</v>
      </c>
      <c r="O320" t="s">
        <v>4</v>
      </c>
      <c r="P320" s="1">
        <v>40326</v>
      </c>
      <c r="Q320" s="36">
        <f t="shared" si="17"/>
        <v>94</v>
      </c>
      <c r="R320">
        <v>1686</v>
      </c>
      <c r="S320">
        <v>-6</v>
      </c>
      <c r="T320">
        <v>46.59</v>
      </c>
      <c r="V320" t="s">
        <v>115</v>
      </c>
      <c r="W320" s="1">
        <v>37892</v>
      </c>
      <c r="X320">
        <f t="shared" si="18"/>
        <v>80</v>
      </c>
      <c r="Y320">
        <v>1000</v>
      </c>
      <c r="Z320">
        <v>-20</v>
      </c>
      <c r="AA320">
        <v>39.799999999999997</v>
      </c>
    </row>
    <row r="321" spans="8:27" x14ac:dyDescent="0.2">
      <c r="H321" t="s">
        <v>8</v>
      </c>
      <c r="I321" s="1">
        <v>39706</v>
      </c>
      <c r="J321">
        <f t="shared" si="16"/>
        <v>100</v>
      </c>
      <c r="K321">
        <v>1197</v>
      </c>
      <c r="L321">
        <v>0</v>
      </c>
      <c r="M321">
        <v>50</v>
      </c>
      <c r="O321" t="s">
        <v>4</v>
      </c>
      <c r="P321" s="1">
        <v>40594</v>
      </c>
      <c r="Q321" s="36">
        <f t="shared" si="17"/>
        <v>94</v>
      </c>
      <c r="R321">
        <v>1686</v>
      </c>
      <c r="S321">
        <v>-6</v>
      </c>
      <c r="T321">
        <v>46.74</v>
      </c>
      <c r="V321" t="s">
        <v>227</v>
      </c>
      <c r="W321" s="1">
        <v>41685</v>
      </c>
      <c r="X321">
        <f t="shared" si="18"/>
        <v>75</v>
      </c>
      <c r="Y321">
        <v>1304</v>
      </c>
      <c r="Z321">
        <v>-25</v>
      </c>
      <c r="AA321">
        <v>36.840000000000003</v>
      </c>
    </row>
    <row r="322" spans="8:27" x14ac:dyDescent="0.2">
      <c r="H322" t="s">
        <v>8</v>
      </c>
      <c r="I322" s="1">
        <v>39850</v>
      </c>
      <c r="J322">
        <f t="shared" si="16"/>
        <v>84</v>
      </c>
      <c r="K322">
        <v>1197</v>
      </c>
      <c r="L322">
        <v>-16</v>
      </c>
      <c r="M322">
        <v>40</v>
      </c>
      <c r="O322" t="s">
        <v>4</v>
      </c>
      <c r="P322" s="1">
        <v>41002</v>
      </c>
      <c r="Q322" s="36">
        <f t="shared" si="17"/>
        <v>101.5</v>
      </c>
      <c r="R322">
        <v>1686</v>
      </c>
      <c r="S322">
        <v>1.5</v>
      </c>
      <c r="T322">
        <v>50.83</v>
      </c>
      <c r="V322" t="s">
        <v>227</v>
      </c>
      <c r="W322" s="1">
        <v>41744</v>
      </c>
      <c r="X322">
        <f t="shared" si="18"/>
        <v>67</v>
      </c>
      <c r="Y322">
        <v>1304</v>
      </c>
      <c r="Z322">
        <v>-33</v>
      </c>
      <c r="AA322">
        <v>33.33</v>
      </c>
    </row>
    <row r="323" spans="8:27" x14ac:dyDescent="0.2">
      <c r="H323" t="s">
        <v>120</v>
      </c>
      <c r="I323" s="1">
        <v>37909</v>
      </c>
      <c r="J323">
        <f t="shared" ref="J323:J350" si="19">L323+100</f>
        <v>93</v>
      </c>
      <c r="K323">
        <v>1000</v>
      </c>
      <c r="L323">
        <v>-7</v>
      </c>
      <c r="M323">
        <v>46.32</v>
      </c>
      <c r="O323" t="s">
        <v>4</v>
      </c>
      <c r="P323" s="1">
        <v>41348</v>
      </c>
      <c r="Q323" s="36">
        <f t="shared" ref="Q323:Q355" si="20">S323+100</f>
        <v>109</v>
      </c>
      <c r="R323">
        <v>1686</v>
      </c>
      <c r="S323">
        <v>9</v>
      </c>
      <c r="T323">
        <v>54.95</v>
      </c>
      <c r="V323" t="s">
        <v>227</v>
      </c>
      <c r="W323" s="1">
        <v>41883</v>
      </c>
      <c r="X323">
        <f t="shared" ref="X323:X355" si="21">100+Z323</f>
        <v>63</v>
      </c>
      <c r="Y323">
        <v>1304</v>
      </c>
      <c r="Z323">
        <v>-37</v>
      </c>
      <c r="AA323">
        <v>31.31</v>
      </c>
    </row>
    <row r="324" spans="8:27" x14ac:dyDescent="0.2">
      <c r="H324" t="s">
        <v>120</v>
      </c>
      <c r="I324" s="1">
        <v>38068</v>
      </c>
      <c r="J324">
        <f t="shared" si="19"/>
        <v>76</v>
      </c>
      <c r="K324">
        <v>1000</v>
      </c>
      <c r="L324">
        <v>-24</v>
      </c>
      <c r="M324">
        <v>37.5</v>
      </c>
      <c r="O324" t="s">
        <v>4</v>
      </c>
      <c r="P324" s="1">
        <v>41461</v>
      </c>
      <c r="Q324" s="36">
        <f t="shared" si="20"/>
        <v>91.3</v>
      </c>
      <c r="R324">
        <v>1686</v>
      </c>
      <c r="S324">
        <v>-8.6999999999999993</v>
      </c>
      <c r="T324">
        <v>45.16</v>
      </c>
      <c r="V324" t="s">
        <v>227</v>
      </c>
      <c r="W324" s="1">
        <v>42050</v>
      </c>
      <c r="X324">
        <f t="shared" si="21"/>
        <v>50</v>
      </c>
      <c r="Y324">
        <v>1236</v>
      </c>
      <c r="Z324">
        <v>-50</v>
      </c>
      <c r="AA324">
        <v>24.49</v>
      </c>
    </row>
    <row r="325" spans="8:27" x14ac:dyDescent="0.2">
      <c r="H325" t="s">
        <v>94</v>
      </c>
      <c r="I325" s="1">
        <v>38190</v>
      </c>
      <c r="J325">
        <f t="shared" si="19"/>
        <v>107</v>
      </c>
      <c r="K325">
        <v>2000</v>
      </c>
      <c r="L325">
        <v>7</v>
      </c>
      <c r="M325">
        <v>54.22</v>
      </c>
      <c r="O325" t="s">
        <v>8</v>
      </c>
      <c r="P325" s="1">
        <v>39706</v>
      </c>
      <c r="Q325" s="36">
        <f t="shared" si="20"/>
        <v>100</v>
      </c>
      <c r="R325">
        <v>1197</v>
      </c>
      <c r="S325">
        <v>0</v>
      </c>
      <c r="T325">
        <v>50</v>
      </c>
      <c r="V325" t="s">
        <v>227</v>
      </c>
      <c r="W325" s="1">
        <v>42139</v>
      </c>
      <c r="X325">
        <f t="shared" si="21"/>
        <v>46</v>
      </c>
      <c r="Y325">
        <v>1200</v>
      </c>
      <c r="Z325">
        <v>-54</v>
      </c>
      <c r="AA325">
        <v>22.45</v>
      </c>
    </row>
    <row r="326" spans="8:27" x14ac:dyDescent="0.2">
      <c r="H326" t="s">
        <v>94</v>
      </c>
      <c r="I326" s="1">
        <v>39024</v>
      </c>
      <c r="J326">
        <f t="shared" si="19"/>
        <v>116</v>
      </c>
      <c r="K326">
        <v>2000</v>
      </c>
      <c r="L326">
        <v>16</v>
      </c>
      <c r="M326">
        <v>58.89</v>
      </c>
      <c r="O326" t="s">
        <v>8</v>
      </c>
      <c r="P326" s="1">
        <v>39850</v>
      </c>
      <c r="Q326" s="36">
        <f t="shared" si="20"/>
        <v>84</v>
      </c>
      <c r="R326">
        <v>1197</v>
      </c>
      <c r="S326">
        <v>-16</v>
      </c>
      <c r="T326">
        <v>40</v>
      </c>
      <c r="V326" t="s">
        <v>227</v>
      </c>
      <c r="W326" s="1">
        <v>42211</v>
      </c>
      <c r="X326">
        <f t="shared" si="21"/>
        <v>44</v>
      </c>
      <c r="Y326">
        <v>1200</v>
      </c>
      <c r="Z326">
        <v>-56</v>
      </c>
      <c r="AA326">
        <v>21.43</v>
      </c>
    </row>
    <row r="327" spans="8:27" x14ac:dyDescent="0.2">
      <c r="H327" t="s">
        <v>227</v>
      </c>
      <c r="I327" s="1">
        <v>41685</v>
      </c>
      <c r="J327">
        <f t="shared" si="19"/>
        <v>75</v>
      </c>
      <c r="K327">
        <v>1235</v>
      </c>
      <c r="L327">
        <v>-25</v>
      </c>
      <c r="M327">
        <v>36.840000000000003</v>
      </c>
      <c r="O327" t="s">
        <v>120</v>
      </c>
      <c r="P327" s="1">
        <v>37909</v>
      </c>
      <c r="Q327" s="36">
        <f t="shared" si="20"/>
        <v>93</v>
      </c>
      <c r="R327">
        <v>1000</v>
      </c>
      <c r="S327">
        <v>-7</v>
      </c>
      <c r="T327">
        <v>46.32</v>
      </c>
      <c r="V327" t="s">
        <v>238</v>
      </c>
      <c r="W327" s="1">
        <v>41379</v>
      </c>
      <c r="X327">
        <f t="shared" si="21"/>
        <v>79.400000000000006</v>
      </c>
      <c r="Y327">
        <v>1300</v>
      </c>
      <c r="Z327">
        <v>-20.6</v>
      </c>
      <c r="AA327">
        <v>39.32</v>
      </c>
    </row>
    <row r="328" spans="8:27" x14ac:dyDescent="0.2">
      <c r="H328" t="s">
        <v>227</v>
      </c>
      <c r="I328" s="1">
        <v>41744</v>
      </c>
      <c r="J328">
        <f t="shared" si="19"/>
        <v>67</v>
      </c>
      <c r="K328">
        <v>1235</v>
      </c>
      <c r="L328">
        <v>-33</v>
      </c>
      <c r="M328">
        <v>33.33</v>
      </c>
      <c r="O328" t="s">
        <v>120</v>
      </c>
      <c r="P328" s="1">
        <v>38068</v>
      </c>
      <c r="Q328" s="36">
        <f t="shared" si="20"/>
        <v>76</v>
      </c>
      <c r="R328">
        <v>1000</v>
      </c>
      <c r="S328">
        <v>-24</v>
      </c>
      <c r="T328">
        <v>37.5</v>
      </c>
      <c r="V328" t="s">
        <v>238</v>
      </c>
      <c r="W328" s="1">
        <v>41405</v>
      </c>
      <c r="X328">
        <f t="shared" si="21"/>
        <v>94.9</v>
      </c>
      <c r="Y328">
        <v>1300</v>
      </c>
      <c r="Z328">
        <v>-5.0999999999999996</v>
      </c>
      <c r="AA328">
        <v>47.29</v>
      </c>
    </row>
    <row r="329" spans="8:27" x14ac:dyDescent="0.2">
      <c r="H329" t="s">
        <v>227</v>
      </c>
      <c r="I329" s="1">
        <v>41883</v>
      </c>
      <c r="J329">
        <f t="shared" si="19"/>
        <v>63</v>
      </c>
      <c r="K329">
        <v>1235</v>
      </c>
      <c r="L329">
        <v>-37</v>
      </c>
      <c r="M329">
        <v>31.31</v>
      </c>
      <c r="O329" t="s">
        <v>94</v>
      </c>
      <c r="P329" s="1">
        <v>38190</v>
      </c>
      <c r="Q329" s="36">
        <f t="shared" si="20"/>
        <v>107</v>
      </c>
      <c r="R329">
        <v>2000</v>
      </c>
      <c r="S329">
        <v>7</v>
      </c>
      <c r="T329">
        <v>54.22</v>
      </c>
      <c r="V329" t="s">
        <v>238</v>
      </c>
      <c r="W329" s="1">
        <v>41440</v>
      </c>
      <c r="X329">
        <f t="shared" si="21"/>
        <v>94.3</v>
      </c>
      <c r="Y329">
        <v>1253</v>
      </c>
      <c r="Z329">
        <v>-5.7</v>
      </c>
      <c r="AA329">
        <v>46.95</v>
      </c>
    </row>
    <row r="330" spans="8:27" x14ac:dyDescent="0.2">
      <c r="H330" t="s">
        <v>227</v>
      </c>
      <c r="I330" s="1">
        <v>42050</v>
      </c>
      <c r="J330">
        <f t="shared" si="19"/>
        <v>50</v>
      </c>
      <c r="K330">
        <v>1235</v>
      </c>
      <c r="L330">
        <v>-50</v>
      </c>
      <c r="M330">
        <v>24.49</v>
      </c>
      <c r="O330" t="s">
        <v>94</v>
      </c>
      <c r="P330" s="1">
        <v>39024</v>
      </c>
      <c r="Q330" s="36">
        <f t="shared" si="20"/>
        <v>116</v>
      </c>
      <c r="R330">
        <v>2000</v>
      </c>
      <c r="S330">
        <v>16</v>
      </c>
      <c r="T330">
        <v>58.89</v>
      </c>
      <c r="V330" t="s">
        <v>238</v>
      </c>
      <c r="W330" s="1">
        <v>41480</v>
      </c>
      <c r="X330">
        <f t="shared" si="21"/>
        <v>74.599999999999994</v>
      </c>
      <c r="Y330">
        <v>1200</v>
      </c>
      <c r="Z330">
        <v>-25.4</v>
      </c>
      <c r="AA330">
        <v>36.83</v>
      </c>
    </row>
    <row r="331" spans="8:27" x14ac:dyDescent="0.2">
      <c r="H331" t="s">
        <v>227</v>
      </c>
      <c r="I331" s="1">
        <v>42139</v>
      </c>
      <c r="J331">
        <f t="shared" si="19"/>
        <v>46</v>
      </c>
      <c r="K331">
        <v>1235</v>
      </c>
      <c r="L331">
        <v>-54</v>
      </c>
      <c r="M331">
        <v>22.45</v>
      </c>
      <c r="O331" t="s">
        <v>115</v>
      </c>
      <c r="P331" s="1">
        <v>37892</v>
      </c>
      <c r="Q331" s="36">
        <f t="shared" si="20"/>
        <v>80</v>
      </c>
      <c r="R331">
        <v>1010</v>
      </c>
      <c r="S331">
        <v>-20</v>
      </c>
      <c r="T331">
        <v>39.799999999999997</v>
      </c>
      <c r="V331" t="s">
        <v>238</v>
      </c>
      <c r="W331" s="1">
        <v>41537</v>
      </c>
      <c r="X331">
        <f t="shared" si="21"/>
        <v>66</v>
      </c>
      <c r="Y331">
        <v>1200</v>
      </c>
      <c r="Z331">
        <v>-34</v>
      </c>
      <c r="AA331">
        <v>32.29</v>
      </c>
    </row>
    <row r="332" spans="8:27" x14ac:dyDescent="0.2">
      <c r="H332" t="s">
        <v>227</v>
      </c>
      <c r="I332" s="1">
        <v>42211</v>
      </c>
      <c r="J332">
        <f t="shared" si="19"/>
        <v>44</v>
      </c>
      <c r="K332">
        <v>1235</v>
      </c>
      <c r="L332">
        <v>-56</v>
      </c>
      <c r="M332">
        <v>21.43</v>
      </c>
      <c r="O332" t="s">
        <v>227</v>
      </c>
      <c r="P332" s="1">
        <v>41685</v>
      </c>
      <c r="Q332" s="36">
        <f t="shared" si="20"/>
        <v>75</v>
      </c>
      <c r="R332">
        <v>1235</v>
      </c>
      <c r="S332">
        <v>-25</v>
      </c>
      <c r="T332">
        <v>36.840000000000003</v>
      </c>
      <c r="V332" t="s">
        <v>238</v>
      </c>
      <c r="W332" s="1">
        <v>41576</v>
      </c>
      <c r="X332">
        <f t="shared" si="21"/>
        <v>69.599999999999994</v>
      </c>
      <c r="Y332">
        <v>1000</v>
      </c>
      <c r="Z332">
        <v>-30.4</v>
      </c>
      <c r="AA332">
        <v>33.659999999999997</v>
      </c>
    </row>
    <row r="333" spans="8:27" x14ac:dyDescent="0.2">
      <c r="H333" t="s">
        <v>238</v>
      </c>
      <c r="I333" s="1">
        <v>41379</v>
      </c>
      <c r="J333">
        <f t="shared" si="19"/>
        <v>79.400000000000006</v>
      </c>
      <c r="K333">
        <v>1238</v>
      </c>
      <c r="L333">
        <v>-20.6</v>
      </c>
      <c r="M333">
        <v>39.32</v>
      </c>
      <c r="O333" t="s">
        <v>227</v>
      </c>
      <c r="P333" s="1">
        <v>41744</v>
      </c>
      <c r="Q333" s="36">
        <f t="shared" si="20"/>
        <v>67</v>
      </c>
      <c r="R333">
        <v>1235</v>
      </c>
      <c r="S333">
        <v>-33</v>
      </c>
      <c r="T333">
        <v>33.33</v>
      </c>
      <c r="V333" t="s">
        <v>238</v>
      </c>
      <c r="W333" s="1">
        <v>41623</v>
      </c>
      <c r="X333">
        <f t="shared" si="21"/>
        <v>77</v>
      </c>
      <c r="Y333">
        <v>1063</v>
      </c>
      <c r="Z333">
        <v>-23</v>
      </c>
      <c r="AA333">
        <v>38.14</v>
      </c>
    </row>
    <row r="334" spans="8:27" x14ac:dyDescent="0.2">
      <c r="H334" t="s">
        <v>238</v>
      </c>
      <c r="I334" s="1">
        <v>41405</v>
      </c>
      <c r="J334">
        <f t="shared" si="19"/>
        <v>94.9</v>
      </c>
      <c r="K334">
        <v>1238</v>
      </c>
      <c r="L334">
        <v>-5.0999999999999996</v>
      </c>
      <c r="M334">
        <v>47.29</v>
      </c>
      <c r="O334" t="s">
        <v>227</v>
      </c>
      <c r="P334" s="1">
        <v>41883</v>
      </c>
      <c r="Q334" s="36">
        <f t="shared" si="20"/>
        <v>63</v>
      </c>
      <c r="R334">
        <v>1235</v>
      </c>
      <c r="S334">
        <v>-37</v>
      </c>
      <c r="T334">
        <v>31.31</v>
      </c>
      <c r="V334" t="s">
        <v>238</v>
      </c>
      <c r="W334" s="1">
        <v>41654</v>
      </c>
      <c r="X334">
        <f t="shared" si="21"/>
        <v>75.400000000000006</v>
      </c>
      <c r="Y334">
        <v>1105</v>
      </c>
      <c r="Z334">
        <v>-24.6</v>
      </c>
      <c r="AA334">
        <v>37.42</v>
      </c>
    </row>
    <row r="335" spans="8:27" x14ac:dyDescent="0.2">
      <c r="H335" t="s">
        <v>238</v>
      </c>
      <c r="I335" s="1">
        <v>41440</v>
      </c>
      <c r="J335">
        <f t="shared" si="19"/>
        <v>94.3</v>
      </c>
      <c r="K335">
        <v>1238</v>
      </c>
      <c r="L335">
        <v>-5.7</v>
      </c>
      <c r="M335">
        <v>46.95</v>
      </c>
      <c r="O335" t="s">
        <v>227</v>
      </c>
      <c r="P335" s="1">
        <v>42050</v>
      </c>
      <c r="Q335" s="36">
        <f t="shared" si="20"/>
        <v>50</v>
      </c>
      <c r="R335">
        <v>1235</v>
      </c>
      <c r="S335">
        <v>-50</v>
      </c>
      <c r="T335">
        <v>24.49</v>
      </c>
      <c r="V335" t="s">
        <v>238</v>
      </c>
      <c r="W335" s="1">
        <v>41725</v>
      </c>
      <c r="X335">
        <f t="shared" si="21"/>
        <v>62.3</v>
      </c>
      <c r="Y335">
        <v>1200</v>
      </c>
      <c r="Z335">
        <v>-37.700000000000003</v>
      </c>
      <c r="AA335">
        <v>30.63</v>
      </c>
    </row>
    <row r="336" spans="8:27" x14ac:dyDescent="0.2">
      <c r="H336" t="s">
        <v>238</v>
      </c>
      <c r="I336" s="1">
        <v>41480</v>
      </c>
      <c r="J336">
        <f t="shared" si="19"/>
        <v>74.599999999999994</v>
      </c>
      <c r="K336">
        <v>1238</v>
      </c>
      <c r="L336">
        <v>-25.4</v>
      </c>
      <c r="M336">
        <v>36.83</v>
      </c>
      <c r="O336" t="s">
        <v>227</v>
      </c>
      <c r="P336" s="1">
        <v>42139</v>
      </c>
      <c r="Q336" s="36">
        <f t="shared" si="20"/>
        <v>46</v>
      </c>
      <c r="R336">
        <v>1235</v>
      </c>
      <c r="S336">
        <v>-54</v>
      </c>
      <c r="T336">
        <v>22.45</v>
      </c>
      <c r="V336" t="s">
        <v>238</v>
      </c>
      <c r="W336" s="1">
        <v>41802</v>
      </c>
      <c r="X336">
        <f t="shared" si="21"/>
        <v>55.4</v>
      </c>
      <c r="Y336">
        <v>1200</v>
      </c>
      <c r="Z336">
        <v>-44.6</v>
      </c>
      <c r="AA336">
        <v>27.15</v>
      </c>
    </row>
    <row r="337" spans="8:27" x14ac:dyDescent="0.2">
      <c r="H337" t="s">
        <v>238</v>
      </c>
      <c r="I337" s="1">
        <v>41537</v>
      </c>
      <c r="J337">
        <f t="shared" si="19"/>
        <v>66</v>
      </c>
      <c r="K337">
        <v>1238</v>
      </c>
      <c r="L337">
        <v>-34</v>
      </c>
      <c r="M337">
        <v>32.29</v>
      </c>
      <c r="O337" t="s">
        <v>227</v>
      </c>
      <c r="P337" s="1">
        <v>42211</v>
      </c>
      <c r="Q337" s="36">
        <f t="shared" si="20"/>
        <v>44</v>
      </c>
      <c r="R337">
        <v>1235</v>
      </c>
      <c r="S337">
        <v>-56</v>
      </c>
      <c r="T337">
        <v>21.43</v>
      </c>
      <c r="V337" t="s">
        <v>238</v>
      </c>
      <c r="W337" s="1">
        <v>41858</v>
      </c>
      <c r="X337">
        <f t="shared" si="21"/>
        <v>53</v>
      </c>
      <c r="Y337">
        <v>1200</v>
      </c>
      <c r="Z337">
        <v>-47</v>
      </c>
      <c r="AA337">
        <v>25.97</v>
      </c>
    </row>
    <row r="338" spans="8:27" x14ac:dyDescent="0.2">
      <c r="H338" t="s">
        <v>238</v>
      </c>
      <c r="I338" s="1">
        <v>41576</v>
      </c>
      <c r="J338">
        <f t="shared" si="19"/>
        <v>69.599999999999994</v>
      </c>
      <c r="K338">
        <v>1238</v>
      </c>
      <c r="L338">
        <v>-30.4</v>
      </c>
      <c r="M338">
        <v>33.659999999999997</v>
      </c>
      <c r="O338" t="s">
        <v>238</v>
      </c>
      <c r="P338" s="1">
        <v>41379</v>
      </c>
      <c r="Q338" s="36">
        <f t="shared" si="20"/>
        <v>79.400000000000006</v>
      </c>
      <c r="R338">
        <v>1238</v>
      </c>
      <c r="S338">
        <v>-20.6</v>
      </c>
      <c r="T338">
        <v>39.32</v>
      </c>
      <c r="V338" t="s">
        <v>238</v>
      </c>
      <c r="W338" s="1">
        <v>41968</v>
      </c>
      <c r="X338">
        <f t="shared" si="21"/>
        <v>46.5</v>
      </c>
      <c r="Y338">
        <v>1200</v>
      </c>
      <c r="Z338">
        <v>-53.5</v>
      </c>
      <c r="AA338">
        <v>22.62</v>
      </c>
    </row>
    <row r="339" spans="8:27" x14ac:dyDescent="0.2">
      <c r="H339" t="s">
        <v>238</v>
      </c>
      <c r="I339" s="1">
        <v>41623</v>
      </c>
      <c r="J339">
        <f t="shared" si="19"/>
        <v>77</v>
      </c>
      <c r="K339">
        <v>1238</v>
      </c>
      <c r="L339">
        <v>-23</v>
      </c>
      <c r="M339">
        <v>38.14</v>
      </c>
      <c r="O339" t="s">
        <v>238</v>
      </c>
      <c r="P339" s="1">
        <v>41405</v>
      </c>
      <c r="Q339" s="36">
        <f t="shared" si="20"/>
        <v>94.9</v>
      </c>
      <c r="R339">
        <v>1238</v>
      </c>
      <c r="S339">
        <v>-5.0999999999999996</v>
      </c>
      <c r="T339">
        <v>47.29</v>
      </c>
      <c r="V339" t="s">
        <v>238</v>
      </c>
      <c r="W339" s="1">
        <v>42019</v>
      </c>
      <c r="X339">
        <f t="shared" si="21"/>
        <v>43.8</v>
      </c>
      <c r="Y339">
        <v>1200</v>
      </c>
      <c r="Z339">
        <v>-56.2</v>
      </c>
      <c r="AA339">
        <v>21.33</v>
      </c>
    </row>
    <row r="340" spans="8:27" x14ac:dyDescent="0.2">
      <c r="H340" t="s">
        <v>238</v>
      </c>
      <c r="I340" s="1">
        <v>41654</v>
      </c>
      <c r="J340">
        <f t="shared" si="19"/>
        <v>75.400000000000006</v>
      </c>
      <c r="K340">
        <v>1238</v>
      </c>
      <c r="L340">
        <v>-24.6</v>
      </c>
      <c r="M340">
        <v>37.42</v>
      </c>
      <c r="O340" t="s">
        <v>238</v>
      </c>
      <c r="P340" s="1">
        <v>41440</v>
      </c>
      <c r="Q340" s="36">
        <f t="shared" si="20"/>
        <v>94.3</v>
      </c>
      <c r="R340">
        <v>1238</v>
      </c>
      <c r="S340">
        <v>-5.7</v>
      </c>
      <c r="T340">
        <v>46.95</v>
      </c>
      <c r="V340" t="s">
        <v>238</v>
      </c>
      <c r="W340" s="1">
        <v>42078</v>
      </c>
      <c r="X340">
        <f t="shared" si="21"/>
        <v>50</v>
      </c>
      <c r="Y340">
        <v>1200</v>
      </c>
      <c r="Z340">
        <v>-50</v>
      </c>
      <c r="AA340">
        <v>24.54</v>
      </c>
    </row>
    <row r="341" spans="8:27" x14ac:dyDescent="0.2">
      <c r="H341" t="s">
        <v>238</v>
      </c>
      <c r="I341" s="1">
        <v>41725</v>
      </c>
      <c r="J341">
        <f t="shared" si="19"/>
        <v>62.3</v>
      </c>
      <c r="K341">
        <v>1238</v>
      </c>
      <c r="L341">
        <v>-37.700000000000003</v>
      </c>
      <c r="M341">
        <v>30.63</v>
      </c>
      <c r="O341" t="s">
        <v>238</v>
      </c>
      <c r="P341" s="1">
        <v>41480</v>
      </c>
      <c r="Q341" s="36">
        <f t="shared" si="20"/>
        <v>74.599999999999994</v>
      </c>
      <c r="R341">
        <v>1238</v>
      </c>
      <c r="S341">
        <v>-25.4</v>
      </c>
      <c r="T341">
        <v>36.83</v>
      </c>
      <c r="V341" t="s">
        <v>238</v>
      </c>
      <c r="W341" s="1">
        <v>42182</v>
      </c>
      <c r="X341">
        <f t="shared" si="21"/>
        <v>37.5</v>
      </c>
      <c r="Y341">
        <v>1200</v>
      </c>
      <c r="Z341">
        <v>-62.5</v>
      </c>
      <c r="AA341">
        <v>18.27</v>
      </c>
    </row>
    <row r="342" spans="8:27" x14ac:dyDescent="0.2">
      <c r="H342" t="s">
        <v>238</v>
      </c>
      <c r="I342" s="1">
        <v>41802</v>
      </c>
      <c r="J342">
        <f t="shared" si="19"/>
        <v>55.4</v>
      </c>
      <c r="K342">
        <v>1238</v>
      </c>
      <c r="L342">
        <v>-44.6</v>
      </c>
      <c r="M342">
        <v>27.15</v>
      </c>
      <c r="O342" t="s">
        <v>238</v>
      </c>
      <c r="P342" s="1">
        <v>41537</v>
      </c>
      <c r="Q342" s="36">
        <f t="shared" si="20"/>
        <v>66</v>
      </c>
      <c r="R342">
        <v>1238</v>
      </c>
      <c r="S342">
        <v>-34</v>
      </c>
      <c r="T342">
        <v>32.29</v>
      </c>
      <c r="V342" t="s">
        <v>238</v>
      </c>
      <c r="W342" s="1">
        <v>42267</v>
      </c>
      <c r="X342">
        <f t="shared" si="21"/>
        <v>34</v>
      </c>
      <c r="Y342">
        <v>1200</v>
      </c>
      <c r="Z342">
        <v>-66</v>
      </c>
      <c r="AA342">
        <v>16.8</v>
      </c>
    </row>
    <row r="343" spans="8:27" x14ac:dyDescent="0.2">
      <c r="H343" t="s">
        <v>238</v>
      </c>
      <c r="I343" s="1">
        <v>41858</v>
      </c>
      <c r="J343">
        <f t="shared" si="19"/>
        <v>53</v>
      </c>
      <c r="K343">
        <v>1238</v>
      </c>
      <c r="L343">
        <v>-47</v>
      </c>
      <c r="M343">
        <v>25.97</v>
      </c>
      <c r="O343" t="s">
        <v>238</v>
      </c>
      <c r="P343" s="1">
        <v>41576</v>
      </c>
      <c r="Q343" s="36">
        <f t="shared" si="20"/>
        <v>69.599999999999994</v>
      </c>
      <c r="R343">
        <v>1238</v>
      </c>
      <c r="S343">
        <v>-30.4</v>
      </c>
      <c r="T343">
        <v>33.659999999999997</v>
      </c>
      <c r="V343" t="s">
        <v>238</v>
      </c>
      <c r="W343" s="1">
        <v>42333</v>
      </c>
      <c r="X343">
        <f t="shared" si="21"/>
        <v>29.799999999999997</v>
      </c>
      <c r="Y343">
        <v>1385</v>
      </c>
      <c r="Z343">
        <v>-70.2</v>
      </c>
      <c r="AA343">
        <v>14.26</v>
      </c>
    </row>
    <row r="344" spans="8:27" x14ac:dyDescent="0.2">
      <c r="H344" t="s">
        <v>238</v>
      </c>
      <c r="I344" s="1">
        <v>41968</v>
      </c>
      <c r="J344">
        <f t="shared" si="19"/>
        <v>46.5</v>
      </c>
      <c r="K344">
        <v>1238</v>
      </c>
      <c r="L344">
        <v>-53.5</v>
      </c>
      <c r="M344">
        <v>22.62</v>
      </c>
      <c r="O344" t="s">
        <v>238</v>
      </c>
      <c r="P344" s="1">
        <v>41623</v>
      </c>
      <c r="Q344" s="36">
        <f t="shared" si="20"/>
        <v>77</v>
      </c>
      <c r="R344">
        <v>1238</v>
      </c>
      <c r="S344">
        <v>-23</v>
      </c>
      <c r="T344">
        <v>38.14</v>
      </c>
      <c r="V344" t="s">
        <v>238</v>
      </c>
      <c r="W344" s="1">
        <v>42410</v>
      </c>
      <c r="X344">
        <f t="shared" si="21"/>
        <v>29.599999999999994</v>
      </c>
      <c r="Y344">
        <v>1600</v>
      </c>
      <c r="Z344">
        <v>-70.400000000000006</v>
      </c>
      <c r="AA344">
        <v>14.23</v>
      </c>
    </row>
    <row r="345" spans="8:27" x14ac:dyDescent="0.2">
      <c r="H345" t="s">
        <v>238</v>
      </c>
      <c r="I345" s="1">
        <v>42019</v>
      </c>
      <c r="J345">
        <f t="shared" si="19"/>
        <v>43.8</v>
      </c>
      <c r="K345">
        <v>1238</v>
      </c>
      <c r="L345">
        <v>-56.2</v>
      </c>
      <c r="M345">
        <v>21.33</v>
      </c>
      <c r="O345" t="s">
        <v>238</v>
      </c>
      <c r="P345" s="1">
        <v>41654</v>
      </c>
      <c r="Q345" s="36">
        <f t="shared" si="20"/>
        <v>75.400000000000006</v>
      </c>
      <c r="R345">
        <v>1238</v>
      </c>
      <c r="S345">
        <v>-24.6</v>
      </c>
      <c r="T345">
        <v>37.42</v>
      </c>
      <c r="V345" t="s">
        <v>85</v>
      </c>
      <c r="W345" s="1">
        <v>32523</v>
      </c>
      <c r="X345">
        <f t="shared" si="21"/>
        <v>140</v>
      </c>
      <c r="Y345">
        <v>1500</v>
      </c>
      <c r="Z345">
        <v>40</v>
      </c>
      <c r="AA345">
        <v>70</v>
      </c>
    </row>
    <row r="346" spans="8:27" x14ac:dyDescent="0.2">
      <c r="H346" t="s">
        <v>238</v>
      </c>
      <c r="I346" s="1">
        <v>42078</v>
      </c>
      <c r="J346">
        <f t="shared" si="19"/>
        <v>50</v>
      </c>
      <c r="K346">
        <v>1238</v>
      </c>
      <c r="L346">
        <v>-50</v>
      </c>
      <c r="M346">
        <v>24.54</v>
      </c>
      <c r="O346" t="s">
        <v>238</v>
      </c>
      <c r="P346" s="1">
        <v>41725</v>
      </c>
      <c r="Q346" s="36">
        <f t="shared" si="20"/>
        <v>62.3</v>
      </c>
      <c r="R346">
        <v>1238</v>
      </c>
      <c r="S346">
        <v>-37.700000000000003</v>
      </c>
      <c r="T346">
        <v>30.63</v>
      </c>
      <c r="V346" t="s">
        <v>85</v>
      </c>
      <c r="W346" s="1">
        <v>33939</v>
      </c>
      <c r="X346">
        <f t="shared" si="21"/>
        <v>40</v>
      </c>
      <c r="Y346">
        <v>1500</v>
      </c>
      <c r="Z346">
        <v>-60</v>
      </c>
      <c r="AA346">
        <v>20</v>
      </c>
    </row>
    <row r="347" spans="8:27" x14ac:dyDescent="0.2">
      <c r="H347" t="s">
        <v>238</v>
      </c>
      <c r="I347" s="1">
        <v>42182</v>
      </c>
      <c r="J347">
        <f t="shared" si="19"/>
        <v>37.5</v>
      </c>
      <c r="K347">
        <v>1238</v>
      </c>
      <c r="L347">
        <v>-62.5</v>
      </c>
      <c r="M347">
        <v>18.27</v>
      </c>
      <c r="O347" t="s">
        <v>238</v>
      </c>
      <c r="P347" s="1">
        <v>41802</v>
      </c>
      <c r="Q347" s="36">
        <f t="shared" si="20"/>
        <v>55.4</v>
      </c>
      <c r="R347">
        <v>1238</v>
      </c>
      <c r="S347">
        <v>-44.6</v>
      </c>
      <c r="T347">
        <v>27.15</v>
      </c>
      <c r="V347" t="s">
        <v>85</v>
      </c>
      <c r="W347" s="1">
        <v>34029</v>
      </c>
      <c r="X347">
        <f t="shared" si="21"/>
        <v>38</v>
      </c>
      <c r="Y347">
        <v>1500</v>
      </c>
      <c r="Z347">
        <v>-62</v>
      </c>
      <c r="AA347">
        <v>19</v>
      </c>
    </row>
    <row r="348" spans="8:27" x14ac:dyDescent="0.2">
      <c r="H348" t="s">
        <v>238</v>
      </c>
      <c r="I348" s="1">
        <v>42267</v>
      </c>
      <c r="J348">
        <f t="shared" si="19"/>
        <v>34</v>
      </c>
      <c r="K348">
        <v>1238</v>
      </c>
      <c r="L348">
        <v>-66</v>
      </c>
      <c r="M348">
        <v>16.8</v>
      </c>
      <c r="O348" t="s">
        <v>238</v>
      </c>
      <c r="P348" s="1">
        <v>41858</v>
      </c>
      <c r="Q348" s="36">
        <f t="shared" si="20"/>
        <v>53</v>
      </c>
      <c r="R348">
        <v>1238</v>
      </c>
      <c r="S348">
        <v>-47</v>
      </c>
      <c r="T348">
        <v>25.97</v>
      </c>
      <c r="V348" t="s">
        <v>85</v>
      </c>
      <c r="W348" s="1">
        <v>40224</v>
      </c>
      <c r="X348">
        <f t="shared" si="21"/>
        <v>92</v>
      </c>
      <c r="Y348">
        <v>1500</v>
      </c>
      <c r="Z348">
        <v>-8</v>
      </c>
      <c r="AA348">
        <v>46</v>
      </c>
    </row>
    <row r="349" spans="8:27" x14ac:dyDescent="0.2">
      <c r="H349" t="s">
        <v>238</v>
      </c>
      <c r="I349" s="1">
        <v>42333</v>
      </c>
      <c r="J349">
        <f t="shared" si="19"/>
        <v>29.799999999999997</v>
      </c>
      <c r="K349">
        <v>1238</v>
      </c>
      <c r="L349">
        <v>-70.2</v>
      </c>
      <c r="M349">
        <v>14.26</v>
      </c>
      <c r="O349" t="s">
        <v>238</v>
      </c>
      <c r="P349" s="1">
        <v>41968</v>
      </c>
      <c r="Q349" s="36">
        <f t="shared" si="20"/>
        <v>46.5</v>
      </c>
      <c r="R349">
        <v>1238</v>
      </c>
      <c r="S349">
        <v>-53.5</v>
      </c>
      <c r="T349">
        <v>22.62</v>
      </c>
      <c r="V349" t="s">
        <v>85</v>
      </c>
      <c r="W349" s="1">
        <v>40428</v>
      </c>
      <c r="X349">
        <f t="shared" si="21"/>
        <v>91</v>
      </c>
      <c r="Y349">
        <v>2000</v>
      </c>
      <c r="Z349">
        <v>-9</v>
      </c>
      <c r="AA349">
        <v>45.45</v>
      </c>
    </row>
    <row r="350" spans="8:27" x14ac:dyDescent="0.2">
      <c r="H350" t="s">
        <v>238</v>
      </c>
      <c r="I350" s="1">
        <v>42410</v>
      </c>
      <c r="J350">
        <f t="shared" si="19"/>
        <v>29.599999999999994</v>
      </c>
      <c r="K350">
        <v>1238</v>
      </c>
      <c r="L350">
        <v>-70.400000000000006</v>
      </c>
      <c r="M350">
        <v>14.23</v>
      </c>
      <c r="O350" t="s">
        <v>238</v>
      </c>
      <c r="P350" s="1">
        <v>42019</v>
      </c>
      <c r="Q350" s="36">
        <f t="shared" si="20"/>
        <v>43.8</v>
      </c>
      <c r="R350">
        <v>1238</v>
      </c>
      <c r="S350">
        <v>-56.2</v>
      </c>
      <c r="T350">
        <v>21.33</v>
      </c>
      <c r="V350" t="s">
        <v>85</v>
      </c>
      <c r="W350" s="1">
        <v>40518</v>
      </c>
      <c r="X350">
        <f t="shared" si="21"/>
        <v>86.7</v>
      </c>
      <c r="Y350">
        <v>1500</v>
      </c>
      <c r="Z350">
        <v>-13.3</v>
      </c>
      <c r="AA350">
        <v>43.33</v>
      </c>
    </row>
    <row r="351" spans="8:27" x14ac:dyDescent="0.2">
      <c r="O351" t="s">
        <v>238</v>
      </c>
      <c r="P351" s="1">
        <v>42078</v>
      </c>
      <c r="Q351" s="36">
        <f t="shared" si="20"/>
        <v>50</v>
      </c>
      <c r="R351">
        <v>1238</v>
      </c>
      <c r="S351">
        <v>-50</v>
      </c>
      <c r="T351">
        <v>24.54</v>
      </c>
      <c r="V351" t="s">
        <v>85</v>
      </c>
      <c r="W351" s="1">
        <v>40627</v>
      </c>
      <c r="X351">
        <f t="shared" si="21"/>
        <v>94</v>
      </c>
      <c r="Y351">
        <v>2000</v>
      </c>
      <c r="Z351">
        <v>-6</v>
      </c>
      <c r="AA351">
        <v>47</v>
      </c>
    </row>
    <row r="352" spans="8:27" x14ac:dyDescent="0.2">
      <c r="O352" t="s">
        <v>238</v>
      </c>
      <c r="P352" s="1">
        <v>42182</v>
      </c>
      <c r="Q352" s="36">
        <f t="shared" si="20"/>
        <v>37.5</v>
      </c>
      <c r="R352">
        <v>1238</v>
      </c>
      <c r="S352">
        <v>-62.5</v>
      </c>
      <c r="T352">
        <v>18.27</v>
      </c>
      <c r="V352" t="s">
        <v>85</v>
      </c>
      <c r="W352" s="1">
        <v>40821</v>
      </c>
      <c r="X352">
        <f t="shared" si="21"/>
        <v>116</v>
      </c>
      <c r="Y352">
        <v>1288</v>
      </c>
      <c r="Z352">
        <v>16</v>
      </c>
      <c r="AA352">
        <v>58.33</v>
      </c>
    </row>
    <row r="353" spans="15:27" x14ac:dyDescent="0.2">
      <c r="O353" t="s">
        <v>238</v>
      </c>
      <c r="P353" s="1">
        <v>42267</v>
      </c>
      <c r="Q353" s="36">
        <f t="shared" si="20"/>
        <v>34</v>
      </c>
      <c r="R353">
        <v>1238</v>
      </c>
      <c r="S353">
        <v>-66</v>
      </c>
      <c r="T353">
        <v>16.8</v>
      </c>
      <c r="V353" t="s">
        <v>85</v>
      </c>
      <c r="W353" s="1">
        <v>41455</v>
      </c>
      <c r="X353">
        <f t="shared" si="21"/>
        <v>92.4</v>
      </c>
      <c r="Y353">
        <v>2000</v>
      </c>
      <c r="Z353">
        <v>-7.6</v>
      </c>
      <c r="AA353">
        <v>46.17</v>
      </c>
    </row>
    <row r="354" spans="15:27" x14ac:dyDescent="0.2">
      <c r="O354" t="s">
        <v>238</v>
      </c>
      <c r="P354" s="1">
        <v>42333</v>
      </c>
      <c r="Q354" s="36">
        <f t="shared" si="20"/>
        <v>29.799999999999997</v>
      </c>
      <c r="R354">
        <v>1238</v>
      </c>
      <c r="S354">
        <v>-70.2</v>
      </c>
      <c r="T354">
        <v>14.26</v>
      </c>
      <c r="V354" t="s">
        <v>85</v>
      </c>
      <c r="W354" s="1">
        <v>41812</v>
      </c>
      <c r="X354">
        <f t="shared" si="21"/>
        <v>83</v>
      </c>
      <c r="Y354">
        <v>2000</v>
      </c>
      <c r="Z354">
        <v>-17</v>
      </c>
      <c r="AA354">
        <v>41.48</v>
      </c>
    </row>
    <row r="355" spans="15:27" x14ac:dyDescent="0.2">
      <c r="O355" t="s">
        <v>238</v>
      </c>
      <c r="P355" s="1">
        <v>42410</v>
      </c>
      <c r="Q355" s="36">
        <f t="shared" si="20"/>
        <v>29.599999999999994</v>
      </c>
      <c r="R355">
        <v>1238</v>
      </c>
      <c r="S355">
        <v>-70.400000000000006</v>
      </c>
      <c r="T355">
        <v>14.23</v>
      </c>
      <c r="V355" t="s">
        <v>85</v>
      </c>
      <c r="W355" s="1">
        <v>42267</v>
      </c>
      <c r="X355">
        <f t="shared" si="21"/>
        <v>67</v>
      </c>
      <c r="Y355">
        <v>2000</v>
      </c>
      <c r="Z355">
        <v>-33</v>
      </c>
      <c r="AA355">
        <v>33.33</v>
      </c>
    </row>
  </sheetData>
  <phoneticPr fontId="15" type="noConversion"/>
  <pageMargins left="0.75" right="0.75" top="1" bottom="1" header="0.5" footer="0.5"/>
  <pageSetup paperSize="0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5"/>
  <sheetViews>
    <sheetView topLeftCell="I337" workbookViewId="0">
      <selection activeCell="T2" sqref="Q2:T355"/>
    </sheetView>
  </sheetViews>
  <sheetFormatPr defaultColWidth="11.42578125" defaultRowHeight="12.75" x14ac:dyDescent="0.2"/>
  <sheetData>
    <row r="1" spans="1:20" x14ac:dyDescent="0.2">
      <c r="A1" s="6">
        <v>41502</v>
      </c>
      <c r="F1" s="6">
        <v>42522</v>
      </c>
      <c r="G1" t="s">
        <v>273</v>
      </c>
      <c r="H1" t="s">
        <v>274</v>
      </c>
      <c r="I1" t="s">
        <v>277</v>
      </c>
      <c r="J1" t="s">
        <v>275</v>
      </c>
      <c r="L1" s="6">
        <v>42522</v>
      </c>
      <c r="M1" t="s">
        <v>273</v>
      </c>
      <c r="N1" t="s">
        <v>277</v>
      </c>
      <c r="O1" t="s">
        <v>275</v>
      </c>
      <c r="Q1" t="s">
        <v>282</v>
      </c>
      <c r="R1" t="s">
        <v>273</v>
      </c>
      <c r="S1" t="s">
        <v>277</v>
      </c>
      <c r="T1" t="s">
        <v>275</v>
      </c>
    </row>
    <row r="2" spans="1:20" x14ac:dyDescent="0.2">
      <c r="A2" t="s">
        <v>96</v>
      </c>
      <c r="B2" s="1">
        <v>38317</v>
      </c>
      <c r="C2" s="24">
        <v>46.031746031746032</v>
      </c>
      <c r="D2">
        <v>403</v>
      </c>
      <c r="F2" t="s">
        <v>85</v>
      </c>
      <c r="G2" s="1">
        <v>32523</v>
      </c>
      <c r="H2">
        <v>70</v>
      </c>
      <c r="I2">
        <v>70</v>
      </c>
      <c r="J2">
        <v>1534</v>
      </c>
      <c r="L2" t="s">
        <v>85</v>
      </c>
      <c r="M2" s="1">
        <v>32523</v>
      </c>
      <c r="N2">
        <v>70</v>
      </c>
      <c r="O2">
        <v>1534</v>
      </c>
      <c r="Q2" t="s">
        <v>193</v>
      </c>
      <c r="R2" s="1">
        <v>31824</v>
      </c>
      <c r="S2">
        <v>25.13</v>
      </c>
      <c r="T2">
        <v>3000</v>
      </c>
    </row>
    <row r="3" spans="1:20" x14ac:dyDescent="0.2">
      <c r="A3" t="s">
        <v>94</v>
      </c>
      <c r="B3" s="1">
        <v>38190</v>
      </c>
      <c r="C3" s="24">
        <v>54.22</v>
      </c>
      <c r="D3">
        <v>2000</v>
      </c>
      <c r="F3" t="s">
        <v>85</v>
      </c>
      <c r="G3" s="1">
        <v>33939</v>
      </c>
      <c r="H3">
        <v>20</v>
      </c>
      <c r="I3">
        <v>20</v>
      </c>
      <c r="J3">
        <v>1534</v>
      </c>
      <c r="L3" t="s">
        <v>85</v>
      </c>
      <c r="M3" s="1">
        <v>33939</v>
      </c>
      <c r="N3">
        <v>20</v>
      </c>
      <c r="O3">
        <v>1534</v>
      </c>
      <c r="Q3" t="s">
        <v>193</v>
      </c>
      <c r="R3" s="1">
        <v>32066</v>
      </c>
      <c r="S3">
        <v>27.69</v>
      </c>
      <c r="T3">
        <v>2999</v>
      </c>
    </row>
    <row r="4" spans="1:20" x14ac:dyDescent="0.2">
      <c r="A4" t="s">
        <v>94</v>
      </c>
      <c r="B4" s="1">
        <v>39024</v>
      </c>
      <c r="C4" s="24">
        <v>58.89</v>
      </c>
      <c r="D4">
        <v>2000</v>
      </c>
      <c r="F4" t="s">
        <v>85</v>
      </c>
      <c r="G4" s="1">
        <v>34029</v>
      </c>
      <c r="H4">
        <v>19</v>
      </c>
      <c r="I4">
        <v>19</v>
      </c>
      <c r="J4">
        <v>1534</v>
      </c>
      <c r="L4" t="s">
        <v>85</v>
      </c>
      <c r="M4" s="1">
        <v>34029</v>
      </c>
      <c r="N4">
        <v>19</v>
      </c>
      <c r="O4">
        <v>1534</v>
      </c>
      <c r="Q4" t="s">
        <v>193</v>
      </c>
      <c r="R4" s="1">
        <v>32127</v>
      </c>
      <c r="S4">
        <v>29.47</v>
      </c>
      <c r="T4">
        <v>3000</v>
      </c>
    </row>
    <row r="5" spans="1:20" x14ac:dyDescent="0.2">
      <c r="A5" t="s">
        <v>79</v>
      </c>
      <c r="B5" s="1">
        <v>36234</v>
      </c>
      <c r="C5" s="24">
        <v>88.421052631578945</v>
      </c>
      <c r="D5">
        <v>1200</v>
      </c>
      <c r="F5" t="s">
        <v>85</v>
      </c>
      <c r="G5" s="1">
        <v>40224</v>
      </c>
      <c r="H5">
        <v>46</v>
      </c>
      <c r="I5">
        <v>46</v>
      </c>
      <c r="J5">
        <v>1534</v>
      </c>
      <c r="L5" t="s">
        <v>85</v>
      </c>
      <c r="M5" s="1">
        <v>40224</v>
      </c>
      <c r="N5">
        <v>46</v>
      </c>
      <c r="O5">
        <v>1534</v>
      </c>
      <c r="Q5" t="s">
        <v>193</v>
      </c>
      <c r="R5" s="1">
        <v>32218</v>
      </c>
      <c r="S5">
        <v>37.6</v>
      </c>
      <c r="T5">
        <v>1929</v>
      </c>
    </row>
    <row r="6" spans="1:20" x14ac:dyDescent="0.2">
      <c r="A6" t="s">
        <v>79</v>
      </c>
      <c r="B6" s="11">
        <v>36326</v>
      </c>
      <c r="C6" s="24">
        <v>82.10526315789474</v>
      </c>
      <c r="D6">
        <v>1200</v>
      </c>
      <c r="F6" t="s">
        <v>85</v>
      </c>
      <c r="G6" s="1">
        <v>40428</v>
      </c>
      <c r="H6">
        <v>45</v>
      </c>
      <c r="I6">
        <v>45.45</v>
      </c>
      <c r="J6">
        <v>1534</v>
      </c>
      <c r="L6" t="s">
        <v>85</v>
      </c>
      <c r="M6" s="1">
        <v>40428</v>
      </c>
      <c r="N6">
        <v>45.45</v>
      </c>
      <c r="O6">
        <v>1534</v>
      </c>
      <c r="Q6" t="s">
        <v>193</v>
      </c>
      <c r="R6" s="1">
        <v>32310</v>
      </c>
      <c r="S6">
        <v>47.22</v>
      </c>
      <c r="T6">
        <v>340</v>
      </c>
    </row>
    <row r="7" spans="1:20" x14ac:dyDescent="0.2">
      <c r="A7" t="s">
        <v>79</v>
      </c>
      <c r="B7" s="1">
        <v>36509</v>
      </c>
      <c r="C7" s="24">
        <v>75.531914893617028</v>
      </c>
      <c r="D7">
        <v>1200</v>
      </c>
      <c r="F7" t="s">
        <v>85</v>
      </c>
      <c r="G7" s="1">
        <v>40518</v>
      </c>
      <c r="H7">
        <v>43.2</v>
      </c>
      <c r="I7">
        <v>43.33</v>
      </c>
      <c r="J7">
        <v>1534</v>
      </c>
      <c r="L7" t="s">
        <v>85</v>
      </c>
      <c r="M7" s="1">
        <v>40518</v>
      </c>
      <c r="N7">
        <v>43.33</v>
      </c>
      <c r="O7">
        <v>1534</v>
      </c>
      <c r="Q7" t="s">
        <v>193</v>
      </c>
      <c r="R7" s="1">
        <v>32371</v>
      </c>
      <c r="S7">
        <v>33.479999999999997</v>
      </c>
      <c r="T7">
        <v>2000</v>
      </c>
    </row>
    <row r="8" spans="1:20" x14ac:dyDescent="0.2">
      <c r="A8" t="s">
        <v>79</v>
      </c>
      <c r="B8" s="1">
        <v>36692</v>
      </c>
      <c r="C8" s="24">
        <v>65.625</v>
      </c>
      <c r="D8">
        <v>1200</v>
      </c>
      <c r="F8" t="s">
        <v>85</v>
      </c>
      <c r="G8" s="1">
        <v>40627</v>
      </c>
      <c r="H8">
        <v>47</v>
      </c>
      <c r="I8">
        <v>47</v>
      </c>
      <c r="J8">
        <v>1534</v>
      </c>
      <c r="L8" t="s">
        <v>85</v>
      </c>
      <c r="M8" s="1">
        <v>40627</v>
      </c>
      <c r="N8">
        <v>47</v>
      </c>
      <c r="O8">
        <v>1534</v>
      </c>
      <c r="Q8" t="s">
        <v>193</v>
      </c>
      <c r="R8" s="1">
        <v>32463</v>
      </c>
      <c r="S8">
        <v>32.43</v>
      </c>
      <c r="T8">
        <v>1991</v>
      </c>
    </row>
    <row r="9" spans="1:20" x14ac:dyDescent="0.2">
      <c r="A9" t="s">
        <v>79</v>
      </c>
      <c r="B9" s="1">
        <v>36784</v>
      </c>
      <c r="C9" s="24">
        <v>64.516129032258064</v>
      </c>
      <c r="D9">
        <v>1200</v>
      </c>
      <c r="F9" t="s">
        <v>85</v>
      </c>
      <c r="G9" s="1">
        <v>40821</v>
      </c>
      <c r="H9">
        <v>56</v>
      </c>
      <c r="I9">
        <v>58.33</v>
      </c>
      <c r="J9">
        <v>1534</v>
      </c>
      <c r="L9" t="s">
        <v>85</v>
      </c>
      <c r="M9" s="1">
        <v>40821</v>
      </c>
      <c r="N9">
        <v>58.33</v>
      </c>
      <c r="O9">
        <v>1534</v>
      </c>
      <c r="Q9" t="s">
        <v>193</v>
      </c>
      <c r="R9" s="1">
        <v>32524</v>
      </c>
      <c r="S9">
        <v>35.15</v>
      </c>
      <c r="T9">
        <v>2000</v>
      </c>
    </row>
    <row r="10" spans="1:20" x14ac:dyDescent="0.2">
      <c r="A10" t="s">
        <v>79</v>
      </c>
      <c r="B10" s="1">
        <v>36965</v>
      </c>
      <c r="C10" s="24">
        <v>73.118279569892479</v>
      </c>
      <c r="D10">
        <v>1200</v>
      </c>
      <c r="F10" t="s">
        <v>85</v>
      </c>
      <c r="G10" s="1">
        <v>41455</v>
      </c>
      <c r="H10">
        <v>45.8</v>
      </c>
      <c r="I10">
        <v>46.17</v>
      </c>
      <c r="J10">
        <v>1534</v>
      </c>
      <c r="L10" t="s">
        <v>85</v>
      </c>
      <c r="M10" s="1">
        <v>41455</v>
      </c>
      <c r="N10">
        <v>46.17</v>
      </c>
      <c r="O10">
        <v>1534</v>
      </c>
      <c r="Q10" t="s">
        <v>193</v>
      </c>
      <c r="R10" s="1">
        <v>32614</v>
      </c>
      <c r="S10">
        <v>34.94</v>
      </c>
      <c r="T10">
        <v>2000</v>
      </c>
    </row>
    <row r="11" spans="1:20" x14ac:dyDescent="0.2">
      <c r="A11" t="s">
        <v>79</v>
      </c>
      <c r="B11" s="1">
        <v>37149</v>
      </c>
      <c r="C11" s="24">
        <v>50</v>
      </c>
      <c r="D11">
        <v>1200</v>
      </c>
      <c r="F11" t="s">
        <v>85</v>
      </c>
      <c r="G11" s="1">
        <v>41812</v>
      </c>
      <c r="H11">
        <v>41.4</v>
      </c>
      <c r="I11">
        <v>41.48</v>
      </c>
      <c r="J11">
        <v>1534</v>
      </c>
      <c r="L11" t="s">
        <v>85</v>
      </c>
      <c r="M11" s="1">
        <v>41812</v>
      </c>
      <c r="N11">
        <v>41.48</v>
      </c>
      <c r="O11">
        <v>1534</v>
      </c>
      <c r="Q11" t="s">
        <v>193</v>
      </c>
      <c r="R11" s="1">
        <v>32828</v>
      </c>
      <c r="S11">
        <v>27.16</v>
      </c>
      <c r="T11">
        <v>2000</v>
      </c>
    </row>
    <row r="12" spans="1:20" x14ac:dyDescent="0.2">
      <c r="A12" t="s">
        <v>79</v>
      </c>
      <c r="B12" s="1">
        <v>37240</v>
      </c>
      <c r="C12" s="24">
        <v>36.263736263736263</v>
      </c>
      <c r="D12">
        <v>1200</v>
      </c>
      <c r="F12" t="s">
        <v>85</v>
      </c>
      <c r="G12" s="1">
        <v>42267</v>
      </c>
      <c r="H12">
        <v>33</v>
      </c>
      <c r="I12">
        <v>33.33</v>
      </c>
      <c r="J12">
        <v>1534</v>
      </c>
      <c r="L12" t="s">
        <v>85</v>
      </c>
      <c r="M12" s="1">
        <v>42267</v>
      </c>
      <c r="N12">
        <v>33.33</v>
      </c>
      <c r="O12">
        <v>1534</v>
      </c>
      <c r="Q12" t="s">
        <v>193</v>
      </c>
      <c r="R12" s="1">
        <v>33009</v>
      </c>
      <c r="S12">
        <v>30.1</v>
      </c>
      <c r="T12">
        <v>2000</v>
      </c>
    </row>
    <row r="13" spans="1:20" x14ac:dyDescent="0.2">
      <c r="A13" t="s">
        <v>79</v>
      </c>
      <c r="B13" s="1">
        <v>37330</v>
      </c>
      <c r="C13" s="24">
        <v>35.227272727272727</v>
      </c>
      <c r="D13">
        <v>1200</v>
      </c>
      <c r="F13" t="s">
        <v>193</v>
      </c>
      <c r="G13" s="1">
        <v>31824</v>
      </c>
      <c r="H13">
        <v>15.57</v>
      </c>
      <c r="I13">
        <v>25.13</v>
      </c>
      <c r="J13">
        <v>2032</v>
      </c>
      <c r="L13" t="s">
        <v>193</v>
      </c>
      <c r="M13" s="1">
        <v>31824</v>
      </c>
      <c r="N13">
        <v>25.13</v>
      </c>
      <c r="O13">
        <v>2032</v>
      </c>
      <c r="Q13" t="s">
        <v>193</v>
      </c>
      <c r="R13" s="1">
        <v>33101</v>
      </c>
      <c r="S13">
        <v>29.31</v>
      </c>
      <c r="T13">
        <v>2000</v>
      </c>
    </row>
    <row r="14" spans="1:20" x14ac:dyDescent="0.2">
      <c r="A14" t="s">
        <v>79</v>
      </c>
      <c r="B14" s="1">
        <v>37422</v>
      </c>
      <c r="C14" s="24">
        <v>41.17647058823529</v>
      </c>
      <c r="D14">
        <v>1200</v>
      </c>
      <c r="F14" t="s">
        <v>193</v>
      </c>
      <c r="G14" s="1">
        <v>32066</v>
      </c>
      <c r="H14">
        <v>15.71</v>
      </c>
      <c r="I14">
        <v>27.69</v>
      </c>
      <c r="J14">
        <v>2032</v>
      </c>
      <c r="L14" t="s">
        <v>193</v>
      </c>
      <c r="M14" s="1">
        <v>32066</v>
      </c>
      <c r="N14">
        <v>27.69</v>
      </c>
      <c r="O14">
        <v>2032</v>
      </c>
      <c r="Q14" t="s">
        <v>193</v>
      </c>
      <c r="R14" s="1">
        <v>33162</v>
      </c>
      <c r="S14">
        <v>29.81</v>
      </c>
      <c r="T14">
        <v>2000</v>
      </c>
    </row>
    <row r="15" spans="1:20" x14ac:dyDescent="0.2">
      <c r="A15" t="s">
        <v>79</v>
      </c>
      <c r="B15" s="1">
        <v>37514</v>
      </c>
      <c r="C15" s="24">
        <v>38.372093023255815</v>
      </c>
      <c r="D15">
        <v>1200</v>
      </c>
      <c r="F15" t="s">
        <v>193</v>
      </c>
      <c r="G15" s="1">
        <v>32127</v>
      </c>
      <c r="H15">
        <v>16.93</v>
      </c>
      <c r="I15">
        <v>29.47</v>
      </c>
      <c r="J15">
        <v>2032</v>
      </c>
      <c r="L15" t="s">
        <v>193</v>
      </c>
      <c r="M15" s="1">
        <v>32127</v>
      </c>
      <c r="N15">
        <v>29.47</v>
      </c>
      <c r="O15">
        <v>2032</v>
      </c>
      <c r="Q15" t="s">
        <v>193</v>
      </c>
      <c r="R15" s="1">
        <v>33313</v>
      </c>
      <c r="S15">
        <v>37.61</v>
      </c>
      <c r="T15">
        <v>2000</v>
      </c>
    </row>
    <row r="16" spans="1:20" x14ac:dyDescent="0.2">
      <c r="A16" t="s">
        <v>79</v>
      </c>
      <c r="B16" s="1">
        <v>37605</v>
      </c>
      <c r="C16" s="24">
        <v>40</v>
      </c>
      <c r="D16">
        <v>1200</v>
      </c>
      <c r="F16" t="s">
        <v>193</v>
      </c>
      <c r="G16" s="1">
        <v>32218</v>
      </c>
      <c r="H16">
        <v>27.58</v>
      </c>
      <c r="I16">
        <v>37.6</v>
      </c>
      <c r="J16">
        <v>2032</v>
      </c>
      <c r="L16" t="s">
        <v>193</v>
      </c>
      <c r="M16" s="1">
        <v>32218</v>
      </c>
      <c r="N16">
        <v>37.6</v>
      </c>
      <c r="O16">
        <v>2032</v>
      </c>
      <c r="Q16" t="s">
        <v>193</v>
      </c>
      <c r="R16" s="1">
        <v>33466</v>
      </c>
      <c r="S16">
        <v>29.31</v>
      </c>
      <c r="T16">
        <v>2000</v>
      </c>
    </row>
    <row r="17" spans="1:20" x14ac:dyDescent="0.2">
      <c r="A17" t="s">
        <v>79</v>
      </c>
      <c r="B17" s="1">
        <v>37787</v>
      </c>
      <c r="C17" s="24">
        <v>44.791666666666671</v>
      </c>
      <c r="D17">
        <v>1200</v>
      </c>
      <c r="F17" t="s">
        <v>193</v>
      </c>
      <c r="G17" s="1">
        <v>32310</v>
      </c>
      <c r="H17">
        <v>41.8</v>
      </c>
      <c r="I17">
        <v>47.22</v>
      </c>
      <c r="J17">
        <v>2032</v>
      </c>
      <c r="L17" t="s">
        <v>193</v>
      </c>
      <c r="M17" s="1">
        <v>32310</v>
      </c>
      <c r="N17">
        <v>47.22</v>
      </c>
      <c r="O17">
        <v>2032</v>
      </c>
      <c r="Q17" t="s">
        <v>193</v>
      </c>
      <c r="R17" s="1">
        <v>33558</v>
      </c>
      <c r="S17">
        <v>37.869999999999997</v>
      </c>
      <c r="T17">
        <v>2000</v>
      </c>
    </row>
    <row r="18" spans="1:20" x14ac:dyDescent="0.2">
      <c r="A18" t="s">
        <v>79</v>
      </c>
      <c r="B18" s="1">
        <v>37879</v>
      </c>
      <c r="C18" s="24">
        <v>33.695652173913047</v>
      </c>
      <c r="D18">
        <v>1200</v>
      </c>
      <c r="F18" t="s">
        <v>193</v>
      </c>
      <c r="G18" s="1">
        <v>32371</v>
      </c>
      <c r="H18">
        <v>23.05</v>
      </c>
      <c r="I18">
        <v>33.479999999999997</v>
      </c>
      <c r="J18">
        <v>2032</v>
      </c>
      <c r="L18" t="s">
        <v>193</v>
      </c>
      <c r="M18" s="1">
        <v>32371</v>
      </c>
      <c r="N18">
        <v>33.479999999999997</v>
      </c>
      <c r="O18">
        <v>2032</v>
      </c>
      <c r="Q18" t="s">
        <v>193</v>
      </c>
      <c r="R18" s="1">
        <v>33650</v>
      </c>
      <c r="S18">
        <v>42.55</v>
      </c>
      <c r="T18">
        <v>2000</v>
      </c>
    </row>
    <row r="19" spans="1:20" x14ac:dyDescent="0.2">
      <c r="A19" t="s">
        <v>79</v>
      </c>
      <c r="B19" s="1">
        <v>37970</v>
      </c>
      <c r="C19" s="24">
        <v>44.943820224719097</v>
      </c>
      <c r="D19">
        <v>1200</v>
      </c>
      <c r="F19" t="s">
        <v>193</v>
      </c>
      <c r="G19" s="1">
        <v>32463</v>
      </c>
      <c r="H19">
        <v>21.7</v>
      </c>
      <c r="I19">
        <v>32.43</v>
      </c>
      <c r="J19">
        <v>2032</v>
      </c>
      <c r="L19" t="s">
        <v>193</v>
      </c>
      <c r="M19" s="1">
        <v>32463</v>
      </c>
      <c r="N19">
        <v>32.43</v>
      </c>
      <c r="O19">
        <v>2032</v>
      </c>
      <c r="Q19" t="s">
        <v>193</v>
      </c>
      <c r="R19" s="1">
        <v>33740</v>
      </c>
      <c r="S19">
        <v>40.47</v>
      </c>
      <c r="T19">
        <v>2000</v>
      </c>
    </row>
    <row r="20" spans="1:20" x14ac:dyDescent="0.2">
      <c r="A20" t="s">
        <v>79</v>
      </c>
      <c r="B20" s="1">
        <v>38153</v>
      </c>
      <c r="C20" s="24">
        <v>51.68539325842697</v>
      </c>
      <c r="D20">
        <v>1200</v>
      </c>
      <c r="F20" t="s">
        <v>193</v>
      </c>
      <c r="G20" s="1">
        <v>32524</v>
      </c>
      <c r="H20">
        <v>25.2</v>
      </c>
      <c r="I20">
        <v>35.15</v>
      </c>
      <c r="J20">
        <v>2032</v>
      </c>
      <c r="L20" t="s">
        <v>193</v>
      </c>
      <c r="M20" s="1">
        <v>32524</v>
      </c>
      <c r="N20">
        <v>35.15</v>
      </c>
      <c r="O20">
        <v>2032</v>
      </c>
      <c r="Q20" t="s">
        <v>193</v>
      </c>
      <c r="R20" s="1">
        <v>33801</v>
      </c>
      <c r="S20">
        <v>38.200000000000003</v>
      </c>
      <c r="T20">
        <v>2000</v>
      </c>
    </row>
    <row r="21" spans="1:20" x14ac:dyDescent="0.2">
      <c r="A21" t="s">
        <v>79</v>
      </c>
      <c r="B21" s="1">
        <v>38245</v>
      </c>
      <c r="C21" s="24">
        <v>57.47126436781609</v>
      </c>
      <c r="D21">
        <v>1200</v>
      </c>
      <c r="F21" t="s">
        <v>193</v>
      </c>
      <c r="G21" s="1">
        <v>32614</v>
      </c>
      <c r="H21">
        <v>23.6</v>
      </c>
      <c r="I21">
        <v>34.94</v>
      </c>
      <c r="J21">
        <v>2032</v>
      </c>
      <c r="L21" t="s">
        <v>193</v>
      </c>
      <c r="M21" s="1">
        <v>32614</v>
      </c>
      <c r="N21">
        <v>34.94</v>
      </c>
      <c r="O21">
        <v>2032</v>
      </c>
      <c r="Q21" t="s">
        <v>193</v>
      </c>
      <c r="R21" s="1">
        <v>33893</v>
      </c>
      <c r="S21">
        <v>45.1</v>
      </c>
      <c r="T21">
        <v>2000</v>
      </c>
    </row>
    <row r="22" spans="1:20" x14ac:dyDescent="0.2">
      <c r="A22" t="s">
        <v>79</v>
      </c>
      <c r="B22" s="1">
        <v>38426</v>
      </c>
      <c r="C22" s="24">
        <v>75.824175824175825</v>
      </c>
      <c r="D22">
        <v>1200</v>
      </c>
      <c r="F22" t="s">
        <v>193</v>
      </c>
      <c r="G22" s="1">
        <v>32828</v>
      </c>
      <c r="H22">
        <v>18.2</v>
      </c>
      <c r="I22">
        <v>27.16</v>
      </c>
      <c r="J22">
        <v>2032</v>
      </c>
      <c r="L22" t="s">
        <v>193</v>
      </c>
      <c r="M22" s="1">
        <v>32828</v>
      </c>
      <c r="N22">
        <v>27.16</v>
      </c>
      <c r="O22">
        <v>2032</v>
      </c>
      <c r="Q22" t="s">
        <v>193</v>
      </c>
      <c r="R22" s="1">
        <v>34136</v>
      </c>
      <c r="S22">
        <v>33.21</v>
      </c>
      <c r="T22">
        <v>2001</v>
      </c>
    </row>
    <row r="23" spans="1:20" x14ac:dyDescent="0.2">
      <c r="A23" t="s">
        <v>79</v>
      </c>
      <c r="B23" s="1">
        <v>38518</v>
      </c>
      <c r="C23" s="24">
        <v>68.539325842696627</v>
      </c>
      <c r="D23">
        <v>1200</v>
      </c>
      <c r="F23" t="s">
        <v>193</v>
      </c>
      <c r="G23" s="1">
        <v>33009</v>
      </c>
      <c r="H23">
        <v>19.55</v>
      </c>
      <c r="I23">
        <v>30.1</v>
      </c>
      <c r="J23">
        <v>2032</v>
      </c>
      <c r="L23" t="s">
        <v>193</v>
      </c>
      <c r="M23" s="1">
        <v>33009</v>
      </c>
      <c r="N23">
        <v>30.1</v>
      </c>
      <c r="O23">
        <v>2032</v>
      </c>
      <c r="Q23" t="s">
        <v>193</v>
      </c>
      <c r="R23" s="1">
        <v>34197</v>
      </c>
      <c r="S23">
        <v>28.75</v>
      </c>
      <c r="T23">
        <v>2000</v>
      </c>
    </row>
    <row r="24" spans="1:20" x14ac:dyDescent="0.2">
      <c r="A24" t="s">
        <v>79</v>
      </c>
      <c r="B24" s="1">
        <v>38610</v>
      </c>
      <c r="C24" s="24">
        <v>67.032967032967022</v>
      </c>
      <c r="D24">
        <v>1200</v>
      </c>
      <c r="F24" t="s">
        <v>193</v>
      </c>
      <c r="G24" s="1">
        <v>33101</v>
      </c>
      <c r="H24">
        <v>20.399999999999999</v>
      </c>
      <c r="I24">
        <v>29.31</v>
      </c>
      <c r="J24">
        <v>2032</v>
      </c>
      <c r="L24" t="s">
        <v>193</v>
      </c>
      <c r="M24" s="1">
        <v>33101</v>
      </c>
      <c r="N24">
        <v>29.31</v>
      </c>
      <c r="O24">
        <v>2032</v>
      </c>
      <c r="Q24" t="s">
        <v>193</v>
      </c>
      <c r="R24" s="1">
        <v>34258</v>
      </c>
      <c r="S24">
        <v>24.45</v>
      </c>
      <c r="T24">
        <v>2000</v>
      </c>
    </row>
    <row r="25" spans="1:20" x14ac:dyDescent="0.2">
      <c r="A25" t="s">
        <v>79</v>
      </c>
      <c r="B25" s="1">
        <v>38701</v>
      </c>
      <c r="C25" s="24">
        <v>71.739130434782609</v>
      </c>
      <c r="D25">
        <v>1200</v>
      </c>
      <c r="F25" t="s">
        <v>193</v>
      </c>
      <c r="G25" s="1">
        <v>33162</v>
      </c>
      <c r="H25">
        <v>19.899999999999999</v>
      </c>
      <c r="I25">
        <v>29.81</v>
      </c>
      <c r="J25">
        <v>2032</v>
      </c>
      <c r="L25" t="s">
        <v>193</v>
      </c>
      <c r="M25" s="1">
        <v>33162</v>
      </c>
      <c r="N25">
        <v>29.81</v>
      </c>
      <c r="O25">
        <v>2032</v>
      </c>
      <c r="Q25" t="s">
        <v>193</v>
      </c>
      <c r="R25" s="1">
        <v>34381</v>
      </c>
      <c r="S25">
        <v>36.39</v>
      </c>
      <c r="T25">
        <v>2000</v>
      </c>
    </row>
    <row r="26" spans="1:20" x14ac:dyDescent="0.2">
      <c r="A26" t="s">
        <v>79</v>
      </c>
      <c r="B26" s="1">
        <v>38791</v>
      </c>
      <c r="C26" s="24">
        <v>69.892473118279568</v>
      </c>
      <c r="D26">
        <v>1200</v>
      </c>
      <c r="F26" t="s">
        <v>193</v>
      </c>
      <c r="G26" s="1">
        <v>33313</v>
      </c>
      <c r="H26">
        <v>25.8</v>
      </c>
      <c r="I26">
        <v>37.61</v>
      </c>
      <c r="J26">
        <v>2032</v>
      </c>
      <c r="L26" t="s">
        <v>193</v>
      </c>
      <c r="M26" s="1">
        <v>33313</v>
      </c>
      <c r="N26">
        <v>37.61</v>
      </c>
      <c r="O26">
        <v>2032</v>
      </c>
      <c r="Q26" t="s">
        <v>193</v>
      </c>
      <c r="R26" s="1">
        <v>34501</v>
      </c>
      <c r="S26">
        <v>27.24</v>
      </c>
      <c r="T26">
        <v>2000</v>
      </c>
    </row>
    <row r="27" spans="1:20" x14ac:dyDescent="0.2">
      <c r="A27" t="s">
        <v>79</v>
      </c>
      <c r="B27" s="1">
        <v>38883</v>
      </c>
      <c r="C27" s="24">
        <v>68.085106382978722</v>
      </c>
      <c r="D27">
        <v>1200</v>
      </c>
      <c r="F27" t="s">
        <v>193</v>
      </c>
      <c r="G27" s="1">
        <v>33466</v>
      </c>
      <c r="H27">
        <v>20.399999999999999</v>
      </c>
      <c r="I27">
        <v>29.31</v>
      </c>
      <c r="J27">
        <v>2032</v>
      </c>
      <c r="L27" t="s">
        <v>193</v>
      </c>
      <c r="M27" s="1">
        <v>33466</v>
      </c>
      <c r="N27">
        <v>29.31</v>
      </c>
      <c r="O27">
        <v>2032</v>
      </c>
      <c r="Q27" t="s">
        <v>193</v>
      </c>
      <c r="R27" s="1">
        <v>34623</v>
      </c>
      <c r="S27">
        <v>33.01</v>
      </c>
      <c r="T27">
        <v>2000</v>
      </c>
    </row>
    <row r="28" spans="1:20" x14ac:dyDescent="0.2">
      <c r="A28" t="s">
        <v>79</v>
      </c>
      <c r="B28" s="1">
        <v>38975</v>
      </c>
      <c r="C28" s="24">
        <v>63.541666666666664</v>
      </c>
      <c r="D28">
        <v>1200</v>
      </c>
      <c r="F28" t="s">
        <v>193</v>
      </c>
      <c r="G28" s="1">
        <v>33558</v>
      </c>
      <c r="H28">
        <v>26.55</v>
      </c>
      <c r="I28">
        <v>37.869999999999997</v>
      </c>
      <c r="J28">
        <v>2032</v>
      </c>
      <c r="L28" t="s">
        <v>193</v>
      </c>
      <c r="M28" s="1">
        <v>33558</v>
      </c>
      <c r="N28">
        <v>37.869999999999997</v>
      </c>
      <c r="O28">
        <v>2032</v>
      </c>
      <c r="Q28" t="s">
        <v>193</v>
      </c>
      <c r="R28" s="1">
        <v>34749</v>
      </c>
      <c r="S28">
        <v>36.61</v>
      </c>
      <c r="T28">
        <v>2000</v>
      </c>
    </row>
    <row r="29" spans="1:20" x14ac:dyDescent="0.2">
      <c r="A29" t="s">
        <v>79</v>
      </c>
      <c r="B29" s="1">
        <v>39066</v>
      </c>
      <c r="C29" s="24">
        <v>61.855670103092784</v>
      </c>
      <c r="D29">
        <v>1200</v>
      </c>
      <c r="F29" t="s">
        <v>193</v>
      </c>
      <c r="G29" s="1">
        <v>33650</v>
      </c>
      <c r="H29">
        <v>32.549999999999997</v>
      </c>
      <c r="I29">
        <v>42.55</v>
      </c>
      <c r="J29">
        <v>2032</v>
      </c>
      <c r="L29" t="s">
        <v>193</v>
      </c>
      <c r="M29" s="1">
        <v>33650</v>
      </c>
      <c r="N29">
        <v>42.55</v>
      </c>
      <c r="O29">
        <v>2032</v>
      </c>
      <c r="Q29" t="s">
        <v>193</v>
      </c>
      <c r="R29" s="1">
        <v>34878</v>
      </c>
      <c r="S29">
        <v>29.18</v>
      </c>
      <c r="T29">
        <v>2000</v>
      </c>
    </row>
    <row r="30" spans="1:20" x14ac:dyDescent="0.2">
      <c r="A30" t="s">
        <v>79</v>
      </c>
      <c r="B30" s="1">
        <v>39156</v>
      </c>
      <c r="C30" s="24">
        <v>63.157894736842103</v>
      </c>
      <c r="D30">
        <v>1200</v>
      </c>
      <c r="F30" t="s">
        <v>193</v>
      </c>
      <c r="G30" s="1">
        <v>33740</v>
      </c>
      <c r="H30">
        <v>30.8</v>
      </c>
      <c r="I30">
        <v>40.47</v>
      </c>
      <c r="J30">
        <v>2032</v>
      </c>
      <c r="L30" t="s">
        <v>193</v>
      </c>
      <c r="M30" s="1">
        <v>33740</v>
      </c>
      <c r="N30">
        <v>40.47</v>
      </c>
      <c r="O30">
        <v>2032</v>
      </c>
      <c r="Q30" t="s">
        <v>193</v>
      </c>
      <c r="R30" s="1">
        <v>35142</v>
      </c>
      <c r="S30">
        <v>23.41</v>
      </c>
      <c r="T30">
        <v>2000</v>
      </c>
    </row>
    <row r="31" spans="1:20" x14ac:dyDescent="0.2">
      <c r="A31" t="s">
        <v>79</v>
      </c>
      <c r="B31" s="1">
        <v>39248</v>
      </c>
      <c r="C31" s="24">
        <v>63.44086021505376</v>
      </c>
      <c r="D31">
        <v>1200</v>
      </c>
      <c r="F31" t="s">
        <v>193</v>
      </c>
      <c r="G31" s="1">
        <v>33801</v>
      </c>
      <c r="H31">
        <v>30.2</v>
      </c>
      <c r="I31">
        <v>38.200000000000003</v>
      </c>
      <c r="J31">
        <v>2032</v>
      </c>
      <c r="L31" t="s">
        <v>193</v>
      </c>
      <c r="M31" s="1">
        <v>33801</v>
      </c>
      <c r="N31">
        <v>38.200000000000003</v>
      </c>
      <c r="O31">
        <v>2032</v>
      </c>
      <c r="Q31" t="s">
        <v>193</v>
      </c>
      <c r="R31" s="1">
        <v>35306</v>
      </c>
      <c r="S31">
        <v>21.61</v>
      </c>
      <c r="T31">
        <v>2000</v>
      </c>
    </row>
    <row r="32" spans="1:20" x14ac:dyDescent="0.2">
      <c r="A32" t="s">
        <v>79</v>
      </c>
      <c r="B32" s="1">
        <v>39345</v>
      </c>
      <c r="C32" s="24">
        <v>61.95652173913043</v>
      </c>
      <c r="D32">
        <v>1200</v>
      </c>
      <c r="F32" t="s">
        <v>193</v>
      </c>
      <c r="G32" s="1">
        <v>33893</v>
      </c>
      <c r="H32">
        <v>36.35</v>
      </c>
      <c r="I32">
        <v>45.1</v>
      </c>
      <c r="J32">
        <v>2032</v>
      </c>
      <c r="L32" t="s">
        <v>193</v>
      </c>
      <c r="M32" s="1">
        <v>33893</v>
      </c>
      <c r="N32">
        <v>45.1</v>
      </c>
      <c r="O32">
        <v>2032</v>
      </c>
      <c r="Q32" t="s">
        <v>193</v>
      </c>
      <c r="R32" s="1">
        <v>35473</v>
      </c>
      <c r="S32">
        <v>28.68</v>
      </c>
      <c r="T32">
        <v>2000</v>
      </c>
    </row>
    <row r="33" spans="1:20" x14ac:dyDescent="0.2">
      <c r="A33" t="s">
        <v>79</v>
      </c>
      <c r="B33" s="1">
        <v>39431</v>
      </c>
      <c r="C33" s="24">
        <v>53.260869565217398</v>
      </c>
      <c r="D33">
        <v>1200</v>
      </c>
      <c r="F33" t="s">
        <v>193</v>
      </c>
      <c r="G33" s="1">
        <v>34136</v>
      </c>
      <c r="H33">
        <v>22.1</v>
      </c>
      <c r="I33">
        <v>33.21</v>
      </c>
      <c r="J33">
        <v>2032</v>
      </c>
      <c r="L33" t="s">
        <v>193</v>
      </c>
      <c r="M33" s="1">
        <v>34136</v>
      </c>
      <c r="N33">
        <v>33.21</v>
      </c>
      <c r="O33">
        <v>2032</v>
      </c>
      <c r="Q33" t="s">
        <v>193</v>
      </c>
      <c r="R33" s="1">
        <v>35668</v>
      </c>
      <c r="S33">
        <v>27.68</v>
      </c>
      <c r="T33">
        <v>2000</v>
      </c>
    </row>
    <row r="34" spans="1:20" x14ac:dyDescent="0.2">
      <c r="A34" t="s">
        <v>79</v>
      </c>
      <c r="B34" s="1">
        <v>39522</v>
      </c>
      <c r="C34" s="24">
        <v>51.648351648351657</v>
      </c>
      <c r="D34">
        <v>1200</v>
      </c>
      <c r="F34" t="s">
        <v>193</v>
      </c>
      <c r="G34" s="1">
        <v>34197</v>
      </c>
      <c r="H34">
        <v>19.25</v>
      </c>
      <c r="I34">
        <v>28.75</v>
      </c>
      <c r="J34">
        <v>2032</v>
      </c>
      <c r="L34" t="s">
        <v>193</v>
      </c>
      <c r="M34" s="1">
        <v>34197</v>
      </c>
      <c r="N34">
        <v>28.75</v>
      </c>
      <c r="O34">
        <v>2032</v>
      </c>
      <c r="Q34" t="s">
        <v>193</v>
      </c>
      <c r="R34" s="1">
        <v>35731</v>
      </c>
      <c r="S34">
        <v>24.54</v>
      </c>
      <c r="T34">
        <v>2000</v>
      </c>
    </row>
    <row r="35" spans="1:20" x14ac:dyDescent="0.2">
      <c r="A35" t="s">
        <v>79</v>
      </c>
      <c r="B35" s="1">
        <v>39603</v>
      </c>
      <c r="C35" s="24">
        <v>51.086956521739133</v>
      </c>
      <c r="D35">
        <v>1200</v>
      </c>
      <c r="F35" t="s">
        <v>193</v>
      </c>
      <c r="G35" s="1">
        <v>34258</v>
      </c>
      <c r="H35">
        <v>14.45</v>
      </c>
      <c r="I35">
        <v>24.45</v>
      </c>
      <c r="J35">
        <v>2032</v>
      </c>
      <c r="L35" t="s">
        <v>193</v>
      </c>
      <c r="M35" s="1">
        <v>34258</v>
      </c>
      <c r="N35">
        <v>24.45</v>
      </c>
      <c r="O35">
        <v>2032</v>
      </c>
      <c r="Q35" t="s">
        <v>193</v>
      </c>
      <c r="R35" s="1">
        <v>35907</v>
      </c>
      <c r="S35">
        <v>37.520000000000003</v>
      </c>
      <c r="T35">
        <v>2000</v>
      </c>
    </row>
    <row r="36" spans="1:20" x14ac:dyDescent="0.2">
      <c r="A36" t="s">
        <v>79</v>
      </c>
      <c r="B36" s="1">
        <v>39706</v>
      </c>
      <c r="C36" s="24">
        <v>53.409090909090907</v>
      </c>
      <c r="D36">
        <v>1200</v>
      </c>
      <c r="F36" t="s">
        <v>193</v>
      </c>
      <c r="G36" s="1">
        <v>34381</v>
      </c>
      <c r="H36">
        <v>25</v>
      </c>
      <c r="I36">
        <v>36.39</v>
      </c>
      <c r="J36">
        <v>2032</v>
      </c>
      <c r="L36" t="s">
        <v>193</v>
      </c>
      <c r="M36" s="1">
        <v>34381</v>
      </c>
      <c r="N36">
        <v>36.39</v>
      </c>
      <c r="O36">
        <v>2032</v>
      </c>
      <c r="Q36" t="s">
        <v>193</v>
      </c>
      <c r="R36" s="1">
        <v>36023</v>
      </c>
      <c r="S36">
        <v>36.86</v>
      </c>
      <c r="T36">
        <v>2000</v>
      </c>
    </row>
    <row r="37" spans="1:20" x14ac:dyDescent="0.2">
      <c r="A37" t="s">
        <v>79</v>
      </c>
      <c r="B37" s="1">
        <v>39797</v>
      </c>
      <c r="C37" s="24">
        <v>55.913978494623649</v>
      </c>
      <c r="D37">
        <v>1200</v>
      </c>
      <c r="F37" t="s">
        <v>193</v>
      </c>
      <c r="G37" s="1">
        <v>34501</v>
      </c>
      <c r="H37">
        <v>17.3</v>
      </c>
      <c r="I37">
        <v>27.24</v>
      </c>
      <c r="J37">
        <v>2032</v>
      </c>
      <c r="L37" t="s">
        <v>193</v>
      </c>
      <c r="M37" s="1">
        <v>34501</v>
      </c>
      <c r="N37">
        <v>27.24</v>
      </c>
      <c r="O37">
        <v>2032</v>
      </c>
      <c r="Q37" t="s">
        <v>193</v>
      </c>
      <c r="R37" s="1">
        <v>36101</v>
      </c>
      <c r="S37">
        <v>28.97</v>
      </c>
      <c r="T37">
        <v>2000</v>
      </c>
    </row>
    <row r="38" spans="1:20" x14ac:dyDescent="0.2">
      <c r="A38" t="s">
        <v>79</v>
      </c>
      <c r="B38" s="1">
        <v>39887</v>
      </c>
      <c r="C38" s="24">
        <v>60.869565217391312</v>
      </c>
      <c r="D38">
        <v>1200</v>
      </c>
      <c r="F38" t="s">
        <v>193</v>
      </c>
      <c r="G38" s="1">
        <v>34623</v>
      </c>
      <c r="H38">
        <v>22.15</v>
      </c>
      <c r="I38">
        <v>33.01</v>
      </c>
      <c r="J38">
        <v>2032</v>
      </c>
      <c r="L38" t="s">
        <v>193</v>
      </c>
      <c r="M38" s="1">
        <v>34623</v>
      </c>
      <c r="N38">
        <v>33.01</v>
      </c>
      <c r="O38">
        <v>2032</v>
      </c>
      <c r="Q38" t="s">
        <v>193</v>
      </c>
      <c r="R38" s="1">
        <v>36226</v>
      </c>
      <c r="S38">
        <v>27.67</v>
      </c>
      <c r="T38">
        <v>2000</v>
      </c>
    </row>
    <row r="39" spans="1:20" x14ac:dyDescent="0.2">
      <c r="A39" t="s">
        <v>79</v>
      </c>
      <c r="B39" s="1">
        <v>39979</v>
      </c>
      <c r="C39" s="24">
        <v>54.347826086956516</v>
      </c>
      <c r="D39">
        <v>1200</v>
      </c>
      <c r="F39" t="s">
        <v>193</v>
      </c>
      <c r="G39" s="1">
        <v>34749</v>
      </c>
      <c r="H39">
        <v>24</v>
      </c>
      <c r="I39">
        <v>36.61</v>
      </c>
      <c r="J39">
        <v>2032</v>
      </c>
      <c r="L39" t="s">
        <v>193</v>
      </c>
      <c r="M39" s="1">
        <v>34749</v>
      </c>
      <c r="N39">
        <v>36.61</v>
      </c>
      <c r="O39">
        <v>2032</v>
      </c>
      <c r="Q39" t="s">
        <v>193</v>
      </c>
      <c r="R39" s="1">
        <v>36410</v>
      </c>
      <c r="S39">
        <v>16.440000000000001</v>
      </c>
      <c r="T39">
        <v>2000</v>
      </c>
    </row>
    <row r="40" spans="1:20" x14ac:dyDescent="0.2">
      <c r="A40" t="s">
        <v>79</v>
      </c>
      <c r="B40" s="1">
        <v>40071</v>
      </c>
      <c r="C40" s="24">
        <v>50</v>
      </c>
      <c r="D40">
        <v>1200</v>
      </c>
      <c r="F40" t="s">
        <v>193</v>
      </c>
      <c r="G40" s="1">
        <v>34878</v>
      </c>
      <c r="H40">
        <v>20.350000000000001</v>
      </c>
      <c r="I40">
        <v>29.18</v>
      </c>
      <c r="J40">
        <v>2032</v>
      </c>
      <c r="L40" t="s">
        <v>193</v>
      </c>
      <c r="M40" s="1">
        <v>34878</v>
      </c>
      <c r="N40">
        <v>29.18</v>
      </c>
      <c r="O40">
        <v>2032</v>
      </c>
      <c r="Q40" t="s">
        <v>193</v>
      </c>
      <c r="R40" s="1">
        <v>36487</v>
      </c>
      <c r="S40">
        <v>18.39</v>
      </c>
      <c r="T40">
        <v>2000</v>
      </c>
    </row>
    <row r="41" spans="1:20" x14ac:dyDescent="0.2">
      <c r="A41" t="s">
        <v>79</v>
      </c>
      <c r="B41" s="1">
        <v>40162</v>
      </c>
      <c r="C41" s="24">
        <v>54.444444444444443</v>
      </c>
      <c r="D41">
        <v>1200</v>
      </c>
      <c r="F41" t="s">
        <v>193</v>
      </c>
      <c r="G41" s="1">
        <v>35142</v>
      </c>
      <c r="H41">
        <v>14.15</v>
      </c>
      <c r="I41">
        <v>23.41</v>
      </c>
      <c r="J41">
        <v>2032</v>
      </c>
      <c r="L41" t="s">
        <v>193</v>
      </c>
      <c r="M41" s="1">
        <v>35142</v>
      </c>
      <c r="N41">
        <v>23.41</v>
      </c>
      <c r="O41">
        <v>2032</v>
      </c>
      <c r="Q41" t="s">
        <v>279</v>
      </c>
      <c r="R41" s="1">
        <v>39473</v>
      </c>
      <c r="S41">
        <v>59.39</v>
      </c>
      <c r="T41">
        <v>1444</v>
      </c>
    </row>
    <row r="42" spans="1:20" x14ac:dyDescent="0.2">
      <c r="A42" t="s">
        <v>79</v>
      </c>
      <c r="B42" s="1">
        <v>40250</v>
      </c>
      <c r="C42" s="24">
        <v>46.739130434782609</v>
      </c>
      <c r="D42">
        <v>1200</v>
      </c>
      <c r="F42" t="s">
        <v>193</v>
      </c>
      <c r="G42" s="1">
        <v>35306</v>
      </c>
      <c r="H42">
        <v>12.6</v>
      </c>
      <c r="I42">
        <v>21.61</v>
      </c>
      <c r="J42">
        <v>2032</v>
      </c>
      <c r="L42" t="s">
        <v>193</v>
      </c>
      <c r="M42" s="1">
        <v>35306</v>
      </c>
      <c r="N42">
        <v>21.61</v>
      </c>
      <c r="O42">
        <v>2032</v>
      </c>
      <c r="Q42" t="s">
        <v>279</v>
      </c>
      <c r="R42" s="1">
        <v>40223</v>
      </c>
      <c r="S42">
        <v>49.35</v>
      </c>
      <c r="T42">
        <v>1476</v>
      </c>
    </row>
    <row r="43" spans="1:20" x14ac:dyDescent="0.2">
      <c r="A43" t="s">
        <v>79</v>
      </c>
      <c r="B43" s="1">
        <v>40798</v>
      </c>
      <c r="C43" s="24">
        <v>60.638297872340431</v>
      </c>
      <c r="D43">
        <v>1200</v>
      </c>
      <c r="F43" t="s">
        <v>193</v>
      </c>
      <c r="G43" s="1">
        <v>35473</v>
      </c>
      <c r="H43">
        <v>17.25</v>
      </c>
      <c r="I43">
        <v>28.68</v>
      </c>
      <c r="J43">
        <v>2032</v>
      </c>
      <c r="L43" t="s">
        <v>193</v>
      </c>
      <c r="M43" s="1">
        <v>35473</v>
      </c>
      <c r="N43">
        <v>28.68</v>
      </c>
      <c r="O43">
        <v>2032</v>
      </c>
      <c r="Q43" t="s">
        <v>279</v>
      </c>
      <c r="R43" s="1">
        <v>40997</v>
      </c>
      <c r="S43">
        <v>72.3</v>
      </c>
      <c r="T43">
        <v>1477</v>
      </c>
    </row>
    <row r="44" spans="1:20" x14ac:dyDescent="0.2">
      <c r="A44" t="s">
        <v>79</v>
      </c>
      <c r="B44" s="1">
        <v>40866</v>
      </c>
      <c r="C44" s="24">
        <v>53.191489361702125</v>
      </c>
      <c r="D44">
        <v>1200</v>
      </c>
      <c r="F44" t="s">
        <v>193</v>
      </c>
      <c r="G44" s="1">
        <v>35668</v>
      </c>
      <c r="H44">
        <v>18.07</v>
      </c>
      <c r="I44">
        <v>27.68</v>
      </c>
      <c r="J44">
        <v>2032</v>
      </c>
      <c r="L44" t="s">
        <v>193</v>
      </c>
      <c r="M44" s="1">
        <v>35668</v>
      </c>
      <c r="N44">
        <v>27.68</v>
      </c>
      <c r="O44">
        <v>2032</v>
      </c>
      <c r="Q44" t="s">
        <v>279</v>
      </c>
      <c r="R44" s="1">
        <v>41755</v>
      </c>
      <c r="S44">
        <v>25.97</v>
      </c>
      <c r="T44">
        <v>1463</v>
      </c>
    </row>
    <row r="45" spans="1:20" x14ac:dyDescent="0.2">
      <c r="A45" s="10" t="s">
        <v>34</v>
      </c>
      <c r="B45" s="1">
        <v>38424</v>
      </c>
      <c r="C45" s="24">
        <v>58.241758241758248</v>
      </c>
      <c r="D45">
        <v>1500</v>
      </c>
      <c r="F45" t="s">
        <v>193</v>
      </c>
      <c r="G45" s="1">
        <v>35731</v>
      </c>
      <c r="H45">
        <v>15.22</v>
      </c>
      <c r="I45">
        <v>24.54</v>
      </c>
      <c r="J45">
        <v>2032</v>
      </c>
      <c r="L45" t="s">
        <v>193</v>
      </c>
      <c r="M45" s="1">
        <v>35731</v>
      </c>
      <c r="N45">
        <v>24.54</v>
      </c>
      <c r="O45">
        <v>2032</v>
      </c>
      <c r="Q45" t="s">
        <v>71</v>
      </c>
      <c r="R45" s="1">
        <v>37408</v>
      </c>
      <c r="S45">
        <v>56.67</v>
      </c>
      <c r="T45">
        <v>1200</v>
      </c>
    </row>
    <row r="46" spans="1:20" x14ac:dyDescent="0.2">
      <c r="A46" s="10" t="s">
        <v>34</v>
      </c>
      <c r="B46" s="1">
        <v>39036</v>
      </c>
      <c r="C46" s="24">
        <v>60</v>
      </c>
      <c r="D46">
        <v>1000</v>
      </c>
      <c r="F46" t="s">
        <v>193</v>
      </c>
      <c r="G46" s="1">
        <v>35907</v>
      </c>
      <c r="H46">
        <v>30.35</v>
      </c>
      <c r="I46">
        <v>37.520000000000003</v>
      </c>
      <c r="J46">
        <v>2032</v>
      </c>
      <c r="L46" t="s">
        <v>193</v>
      </c>
      <c r="M46" s="1">
        <v>35907</v>
      </c>
      <c r="N46">
        <v>37.520000000000003</v>
      </c>
      <c r="O46">
        <v>2032</v>
      </c>
      <c r="Q46" t="s">
        <v>71</v>
      </c>
      <c r="R46" s="1">
        <v>37861</v>
      </c>
      <c r="S46">
        <v>36.840000000000003</v>
      </c>
      <c r="T46">
        <v>1200</v>
      </c>
    </row>
    <row r="47" spans="1:20" x14ac:dyDescent="0.2">
      <c r="A47" s="10" t="s">
        <v>34</v>
      </c>
      <c r="B47" s="1">
        <v>39128</v>
      </c>
      <c r="C47" s="24">
        <v>52.325581395348841</v>
      </c>
      <c r="D47">
        <v>1000</v>
      </c>
      <c r="F47" t="s">
        <v>193</v>
      </c>
      <c r="G47" s="1">
        <v>36023</v>
      </c>
      <c r="H47">
        <v>29.28</v>
      </c>
      <c r="I47">
        <v>36.86</v>
      </c>
      <c r="J47">
        <v>2032</v>
      </c>
      <c r="L47" t="s">
        <v>193</v>
      </c>
      <c r="M47" s="1">
        <v>36023</v>
      </c>
      <c r="N47">
        <v>36.86</v>
      </c>
      <c r="O47">
        <v>2032</v>
      </c>
      <c r="Q47" t="s">
        <v>71</v>
      </c>
      <c r="R47" s="1">
        <v>38167</v>
      </c>
      <c r="S47">
        <v>49.43</v>
      </c>
      <c r="T47">
        <v>1200</v>
      </c>
    </row>
    <row r="48" spans="1:20" x14ac:dyDescent="0.2">
      <c r="A48" s="10" t="s">
        <v>34</v>
      </c>
      <c r="B48" s="1">
        <v>39217</v>
      </c>
      <c r="C48" s="24">
        <v>41.17647058823529</v>
      </c>
      <c r="D48">
        <v>1000</v>
      </c>
      <c r="F48" t="s">
        <v>193</v>
      </c>
      <c r="G48" s="1">
        <v>36101</v>
      </c>
      <c r="H48">
        <v>21.4</v>
      </c>
      <c r="I48">
        <v>28.97</v>
      </c>
      <c r="J48">
        <v>2032</v>
      </c>
      <c r="L48" t="s">
        <v>193</v>
      </c>
      <c r="M48" s="1">
        <v>36101</v>
      </c>
      <c r="N48">
        <v>28.97</v>
      </c>
      <c r="O48">
        <v>2032</v>
      </c>
      <c r="Q48" t="s">
        <v>71</v>
      </c>
      <c r="R48" s="1">
        <v>38604</v>
      </c>
      <c r="S48">
        <v>70.650000000000006</v>
      </c>
      <c r="T48">
        <v>1200</v>
      </c>
    </row>
    <row r="49" spans="1:20" x14ac:dyDescent="0.2">
      <c r="A49" s="10" t="s">
        <v>34</v>
      </c>
      <c r="B49" s="1">
        <v>39257</v>
      </c>
      <c r="C49" s="24">
        <v>46.25</v>
      </c>
      <c r="D49">
        <v>1000</v>
      </c>
      <c r="F49" t="s">
        <v>193</v>
      </c>
      <c r="G49" s="1">
        <v>36226</v>
      </c>
      <c r="H49">
        <v>21.66</v>
      </c>
      <c r="I49">
        <v>27.67</v>
      </c>
      <c r="J49">
        <v>2032</v>
      </c>
      <c r="L49" t="s">
        <v>193</v>
      </c>
      <c r="M49" s="1">
        <v>36226</v>
      </c>
      <c r="N49">
        <v>27.67</v>
      </c>
      <c r="O49">
        <v>2032</v>
      </c>
      <c r="Q49" t="s">
        <v>71</v>
      </c>
      <c r="R49" s="1">
        <v>39036</v>
      </c>
      <c r="S49">
        <v>72.22</v>
      </c>
      <c r="T49">
        <v>1200</v>
      </c>
    </row>
    <row r="50" spans="1:20" x14ac:dyDescent="0.2">
      <c r="A50" s="10" t="s">
        <v>34</v>
      </c>
      <c r="B50" s="11">
        <v>39287</v>
      </c>
      <c r="C50" s="24">
        <v>54.216867469879517</v>
      </c>
      <c r="D50">
        <v>1148</v>
      </c>
      <c r="F50" t="s">
        <v>193</v>
      </c>
      <c r="G50" s="1">
        <v>36410</v>
      </c>
      <c r="H50">
        <v>11.58</v>
      </c>
      <c r="I50">
        <v>16.440000000000001</v>
      </c>
      <c r="J50">
        <v>2032</v>
      </c>
      <c r="L50" t="s">
        <v>193</v>
      </c>
      <c r="M50" s="1">
        <v>36410</v>
      </c>
      <c r="N50">
        <v>16.440000000000001</v>
      </c>
      <c r="O50">
        <v>2032</v>
      </c>
      <c r="Q50" t="s">
        <v>71</v>
      </c>
      <c r="R50" s="1">
        <v>39364</v>
      </c>
      <c r="S50">
        <v>64.89</v>
      </c>
      <c r="T50">
        <v>1200</v>
      </c>
    </row>
    <row r="51" spans="1:20" x14ac:dyDescent="0.2">
      <c r="A51" s="18" t="s">
        <v>34</v>
      </c>
      <c r="B51" s="11">
        <v>41136</v>
      </c>
      <c r="C51" s="24">
        <v>68.367346938775512</v>
      </c>
      <c r="D51">
        <v>1000</v>
      </c>
      <c r="F51" t="s">
        <v>193</v>
      </c>
      <c r="G51" s="1">
        <v>36487</v>
      </c>
      <c r="H51">
        <v>12.93</v>
      </c>
      <c r="I51">
        <v>18.39</v>
      </c>
      <c r="J51">
        <v>2032</v>
      </c>
      <c r="L51" t="s">
        <v>193</v>
      </c>
      <c r="M51" s="1">
        <v>36487</v>
      </c>
      <c r="N51">
        <v>18.39</v>
      </c>
      <c r="O51">
        <v>2032</v>
      </c>
      <c r="Q51" t="s">
        <v>71</v>
      </c>
      <c r="R51" s="1">
        <v>39732</v>
      </c>
      <c r="S51">
        <v>51.61</v>
      </c>
      <c r="T51">
        <v>1200</v>
      </c>
    </row>
    <row r="52" spans="1:20" x14ac:dyDescent="0.2">
      <c r="A52" t="s">
        <v>82</v>
      </c>
      <c r="B52" s="1">
        <v>40057</v>
      </c>
      <c r="C52" s="24">
        <v>46.031746031746032</v>
      </c>
      <c r="D52">
        <v>1300</v>
      </c>
      <c r="F52" t="s">
        <v>71</v>
      </c>
      <c r="G52" s="1">
        <v>37408</v>
      </c>
      <c r="H52">
        <v>51</v>
      </c>
      <c r="I52">
        <v>56.67</v>
      </c>
      <c r="J52">
        <v>1200</v>
      </c>
      <c r="L52" t="s">
        <v>279</v>
      </c>
      <c r="M52" s="1">
        <v>39473</v>
      </c>
      <c r="N52">
        <v>59.39</v>
      </c>
      <c r="O52">
        <v>1465</v>
      </c>
      <c r="Q52" t="s">
        <v>71</v>
      </c>
      <c r="R52" s="1">
        <v>40112</v>
      </c>
      <c r="S52">
        <v>50.56</v>
      </c>
      <c r="T52">
        <v>1200</v>
      </c>
    </row>
    <row r="53" spans="1:20" x14ac:dyDescent="0.2">
      <c r="A53" t="s">
        <v>82</v>
      </c>
      <c r="B53" s="1">
        <v>40101</v>
      </c>
      <c r="C53" s="24">
        <v>44.444444444444443</v>
      </c>
      <c r="D53">
        <v>1300</v>
      </c>
      <c r="F53" t="s">
        <v>71</v>
      </c>
      <c r="G53" s="1">
        <v>37861</v>
      </c>
      <c r="H53">
        <v>35</v>
      </c>
      <c r="I53">
        <v>36.840000000000003</v>
      </c>
      <c r="J53">
        <v>1200</v>
      </c>
      <c r="L53" t="s">
        <v>279</v>
      </c>
      <c r="M53" s="1">
        <v>40223</v>
      </c>
      <c r="N53">
        <v>49.35</v>
      </c>
      <c r="O53">
        <v>1465</v>
      </c>
      <c r="Q53" t="s">
        <v>71</v>
      </c>
      <c r="R53" s="1">
        <v>40457</v>
      </c>
      <c r="S53">
        <v>51.65</v>
      </c>
      <c r="T53">
        <v>1200</v>
      </c>
    </row>
    <row r="54" spans="1:20" x14ac:dyDescent="0.2">
      <c r="A54" t="s">
        <v>82</v>
      </c>
      <c r="B54" s="1">
        <v>40139</v>
      </c>
      <c r="C54" s="24">
        <v>41.48936170212766</v>
      </c>
      <c r="D54">
        <v>1396</v>
      </c>
      <c r="F54" t="s">
        <v>71</v>
      </c>
      <c r="G54" s="1">
        <v>38167</v>
      </c>
      <c r="H54">
        <v>43</v>
      </c>
      <c r="I54">
        <v>49.43</v>
      </c>
      <c r="J54">
        <v>1200</v>
      </c>
      <c r="L54" t="s">
        <v>279</v>
      </c>
      <c r="M54" s="1">
        <v>40997</v>
      </c>
      <c r="N54">
        <v>72.3</v>
      </c>
      <c r="O54">
        <v>1465</v>
      </c>
      <c r="Q54" t="s">
        <v>71</v>
      </c>
      <c r="R54" s="1">
        <v>40771</v>
      </c>
      <c r="S54">
        <v>55.68</v>
      </c>
      <c r="T54">
        <v>1200</v>
      </c>
    </row>
    <row r="55" spans="1:20" x14ac:dyDescent="0.2">
      <c r="A55" t="s">
        <v>82</v>
      </c>
      <c r="B55" s="1">
        <v>40342</v>
      </c>
      <c r="C55" s="24">
        <v>42.708333333333329</v>
      </c>
      <c r="D55">
        <v>1269</v>
      </c>
      <c r="F55" t="s">
        <v>71</v>
      </c>
      <c r="G55" s="1">
        <v>38604</v>
      </c>
      <c r="H55">
        <v>65</v>
      </c>
      <c r="I55">
        <v>70.650000000000006</v>
      </c>
      <c r="J55">
        <v>1200</v>
      </c>
      <c r="L55" t="s">
        <v>279</v>
      </c>
      <c r="M55" s="1">
        <v>41755</v>
      </c>
      <c r="N55">
        <v>25.97</v>
      </c>
      <c r="O55">
        <v>1465</v>
      </c>
      <c r="Q55" t="s">
        <v>71</v>
      </c>
      <c r="R55" s="1">
        <v>41455</v>
      </c>
      <c r="S55">
        <v>50.54</v>
      </c>
      <c r="T55">
        <v>1200</v>
      </c>
    </row>
    <row r="56" spans="1:20" x14ac:dyDescent="0.2">
      <c r="A56" t="s">
        <v>82</v>
      </c>
      <c r="B56" s="1">
        <v>40422</v>
      </c>
      <c r="C56" s="24">
        <v>47.422680412371129</v>
      </c>
      <c r="D56">
        <v>1000</v>
      </c>
      <c r="F56" t="s">
        <v>71</v>
      </c>
      <c r="G56" s="1">
        <v>39036</v>
      </c>
      <c r="H56">
        <v>65</v>
      </c>
      <c r="I56">
        <v>72.22</v>
      </c>
      <c r="J56">
        <v>1200</v>
      </c>
      <c r="L56" t="s">
        <v>71</v>
      </c>
      <c r="M56" s="1">
        <v>37408</v>
      </c>
      <c r="N56">
        <v>56.67</v>
      </c>
      <c r="O56">
        <v>1200</v>
      </c>
      <c r="Q56" t="s">
        <v>71</v>
      </c>
      <c r="R56" s="1">
        <v>42050</v>
      </c>
      <c r="S56">
        <v>31.91</v>
      </c>
      <c r="T56">
        <v>1200</v>
      </c>
    </row>
    <row r="57" spans="1:20" x14ac:dyDescent="0.2">
      <c r="A57" t="s">
        <v>82</v>
      </c>
      <c r="B57" s="1">
        <v>39736</v>
      </c>
      <c r="C57" s="24">
        <v>66.304347826086953</v>
      </c>
      <c r="D57">
        <v>1000</v>
      </c>
      <c r="F57" t="s">
        <v>71</v>
      </c>
      <c r="G57" s="1">
        <v>39364</v>
      </c>
      <c r="H57">
        <v>61</v>
      </c>
      <c r="I57">
        <v>64.89</v>
      </c>
      <c r="J57">
        <v>1200</v>
      </c>
      <c r="L57" t="s">
        <v>71</v>
      </c>
      <c r="M57" s="1">
        <v>37861</v>
      </c>
      <c r="N57">
        <v>36.840000000000003</v>
      </c>
      <c r="O57">
        <v>1200</v>
      </c>
      <c r="Q57" t="s">
        <v>102</v>
      </c>
      <c r="R57" s="1">
        <v>38793</v>
      </c>
      <c r="S57">
        <v>85.63</v>
      </c>
      <c r="T57">
        <v>1200</v>
      </c>
    </row>
    <row r="58" spans="1:20" x14ac:dyDescent="0.2">
      <c r="A58" t="s">
        <v>82</v>
      </c>
      <c r="B58" s="1">
        <v>40313</v>
      </c>
      <c r="C58" s="24">
        <v>65.306122448979593</v>
      </c>
      <c r="D58">
        <v>1000</v>
      </c>
      <c r="F58" t="s">
        <v>71</v>
      </c>
      <c r="G58" s="1">
        <v>39732</v>
      </c>
      <c r="H58">
        <v>48</v>
      </c>
      <c r="I58">
        <v>51.61</v>
      </c>
      <c r="J58">
        <v>1200</v>
      </c>
      <c r="L58" t="s">
        <v>71</v>
      </c>
      <c r="M58" s="1">
        <v>38167</v>
      </c>
      <c r="N58">
        <v>49.43</v>
      </c>
      <c r="O58">
        <v>1200</v>
      </c>
      <c r="Q58" t="s">
        <v>102</v>
      </c>
      <c r="R58" s="1">
        <v>39399</v>
      </c>
      <c r="S58">
        <v>75.13</v>
      </c>
      <c r="T58">
        <v>600</v>
      </c>
    </row>
    <row r="59" spans="1:20" x14ac:dyDescent="0.2">
      <c r="A59" t="s">
        <v>120</v>
      </c>
      <c r="B59" s="1">
        <v>37909</v>
      </c>
      <c r="C59" s="24">
        <v>46.32</v>
      </c>
      <c r="D59">
        <v>1000</v>
      </c>
      <c r="F59" t="s">
        <v>71</v>
      </c>
      <c r="G59" s="1">
        <v>40112</v>
      </c>
      <c r="H59">
        <v>45</v>
      </c>
      <c r="I59">
        <v>50.56</v>
      </c>
      <c r="J59">
        <v>1200</v>
      </c>
      <c r="L59" t="s">
        <v>71</v>
      </c>
      <c r="M59" s="1">
        <v>38604</v>
      </c>
      <c r="N59">
        <v>70.650000000000006</v>
      </c>
      <c r="O59">
        <v>1200</v>
      </c>
      <c r="Q59" t="s">
        <v>102</v>
      </c>
      <c r="R59" s="1">
        <v>39540</v>
      </c>
      <c r="S59">
        <v>68.58</v>
      </c>
      <c r="T59">
        <v>1200</v>
      </c>
    </row>
    <row r="60" spans="1:20" x14ac:dyDescent="0.2">
      <c r="A60" t="s">
        <v>120</v>
      </c>
      <c r="B60" s="1">
        <v>38068</v>
      </c>
      <c r="C60" s="24">
        <v>37.5</v>
      </c>
      <c r="D60">
        <v>1000</v>
      </c>
      <c r="F60" t="s">
        <v>71</v>
      </c>
      <c r="G60" s="1">
        <v>40457</v>
      </c>
      <c r="H60">
        <v>47</v>
      </c>
      <c r="I60">
        <v>51.65</v>
      </c>
      <c r="J60">
        <v>1200</v>
      </c>
      <c r="L60" t="s">
        <v>71</v>
      </c>
      <c r="M60" s="1">
        <v>39036</v>
      </c>
      <c r="N60">
        <v>72.22</v>
      </c>
      <c r="O60">
        <v>1200</v>
      </c>
      <c r="Q60" t="s">
        <v>102</v>
      </c>
      <c r="R60" s="1">
        <v>40193</v>
      </c>
      <c r="S60">
        <v>60.91</v>
      </c>
      <c r="T60">
        <v>1200</v>
      </c>
    </row>
    <row r="61" spans="1:20" x14ac:dyDescent="0.2">
      <c r="A61" t="s">
        <v>115</v>
      </c>
      <c r="B61" s="1">
        <v>37892</v>
      </c>
      <c r="C61" s="24">
        <v>39.799999999999997</v>
      </c>
      <c r="D61">
        <v>1010</v>
      </c>
      <c r="F61" t="s">
        <v>71</v>
      </c>
      <c r="G61" s="1">
        <v>40771</v>
      </c>
      <c r="H61">
        <v>49</v>
      </c>
      <c r="I61">
        <v>55.68</v>
      </c>
      <c r="J61">
        <v>1200</v>
      </c>
      <c r="L61" t="s">
        <v>71</v>
      </c>
      <c r="M61" s="1">
        <v>39364</v>
      </c>
      <c r="N61">
        <v>64.89</v>
      </c>
      <c r="O61">
        <v>1200</v>
      </c>
      <c r="Q61" t="s">
        <v>102</v>
      </c>
      <c r="R61" s="1">
        <v>40875</v>
      </c>
      <c r="S61">
        <v>73.709999999999994</v>
      </c>
      <c r="T61">
        <v>1200</v>
      </c>
    </row>
    <row r="62" spans="1:20" x14ac:dyDescent="0.2">
      <c r="A62" s="10" t="s">
        <v>30</v>
      </c>
      <c r="B62" s="1">
        <v>39614</v>
      </c>
      <c r="C62" s="24">
        <v>75.098296199213635</v>
      </c>
      <c r="D62">
        <v>1000</v>
      </c>
      <c r="F62" t="s">
        <v>71</v>
      </c>
      <c r="G62" s="1">
        <v>41455</v>
      </c>
      <c r="H62">
        <v>47</v>
      </c>
      <c r="I62">
        <v>50.54</v>
      </c>
      <c r="J62">
        <v>1200</v>
      </c>
      <c r="L62" t="s">
        <v>71</v>
      </c>
      <c r="M62" s="1">
        <v>39732</v>
      </c>
      <c r="N62">
        <v>51.61</v>
      </c>
      <c r="O62">
        <v>1200</v>
      </c>
      <c r="Q62" t="s">
        <v>243</v>
      </c>
      <c r="R62" s="1">
        <v>41336</v>
      </c>
      <c r="S62">
        <v>62.24</v>
      </c>
      <c r="T62">
        <v>1200</v>
      </c>
    </row>
    <row r="63" spans="1:20" x14ac:dyDescent="0.2">
      <c r="A63" s="10" t="s">
        <v>30</v>
      </c>
      <c r="B63" s="1">
        <v>39644</v>
      </c>
      <c r="C63" s="24">
        <v>71.520618556701038</v>
      </c>
      <c r="D63">
        <v>1000</v>
      </c>
      <c r="F63" t="s">
        <v>71</v>
      </c>
      <c r="G63" s="1">
        <v>42050</v>
      </c>
      <c r="H63">
        <v>30</v>
      </c>
      <c r="I63">
        <v>31.91</v>
      </c>
      <c r="J63">
        <v>1200</v>
      </c>
      <c r="L63" t="s">
        <v>71</v>
      </c>
      <c r="M63" s="1">
        <v>40112</v>
      </c>
      <c r="N63">
        <v>50.56</v>
      </c>
      <c r="O63">
        <v>1200</v>
      </c>
      <c r="Q63" t="s">
        <v>243</v>
      </c>
      <c r="R63" s="1">
        <v>41379</v>
      </c>
      <c r="S63">
        <v>47.77</v>
      </c>
      <c r="T63">
        <v>1200</v>
      </c>
    </row>
    <row r="64" spans="1:20" x14ac:dyDescent="0.2">
      <c r="A64" s="10" t="s">
        <v>30</v>
      </c>
      <c r="B64" s="1">
        <v>39701</v>
      </c>
      <c r="C64" s="24">
        <v>71.780821917808211</v>
      </c>
      <c r="D64">
        <v>1000</v>
      </c>
      <c r="F64" t="s">
        <v>102</v>
      </c>
      <c r="G64" s="1">
        <v>38793</v>
      </c>
      <c r="H64">
        <v>60.2</v>
      </c>
      <c r="I64">
        <v>85.63</v>
      </c>
      <c r="J64">
        <v>1044</v>
      </c>
      <c r="L64" t="s">
        <v>71</v>
      </c>
      <c r="M64" s="1">
        <v>40457</v>
      </c>
      <c r="N64">
        <v>51.65</v>
      </c>
      <c r="O64">
        <v>1200</v>
      </c>
      <c r="Q64" t="s">
        <v>243</v>
      </c>
      <c r="R64" s="1">
        <v>41409</v>
      </c>
      <c r="S64">
        <v>52.35</v>
      </c>
      <c r="T64">
        <v>1200</v>
      </c>
    </row>
    <row r="65" spans="1:20" x14ac:dyDescent="0.2">
      <c r="A65" s="10" t="s">
        <v>30</v>
      </c>
      <c r="B65" s="1">
        <v>39731</v>
      </c>
      <c r="C65" s="24">
        <v>76.101468624833103</v>
      </c>
      <c r="D65">
        <v>1000</v>
      </c>
      <c r="F65" t="s">
        <v>102</v>
      </c>
      <c r="G65" s="1">
        <v>39399</v>
      </c>
      <c r="H65">
        <v>43.5</v>
      </c>
      <c r="I65">
        <v>75.13</v>
      </c>
      <c r="J65">
        <v>1044</v>
      </c>
      <c r="L65" t="s">
        <v>71</v>
      </c>
      <c r="M65" s="1">
        <v>40771</v>
      </c>
      <c r="N65">
        <v>55.68</v>
      </c>
      <c r="O65">
        <v>1200</v>
      </c>
      <c r="Q65" t="s">
        <v>243</v>
      </c>
      <c r="R65" s="1">
        <v>41440</v>
      </c>
      <c r="S65">
        <v>55.76</v>
      </c>
      <c r="T65">
        <v>1200</v>
      </c>
    </row>
    <row r="66" spans="1:20" x14ac:dyDescent="0.2">
      <c r="A66" s="10" t="s">
        <v>30</v>
      </c>
      <c r="B66" s="1">
        <v>39797</v>
      </c>
      <c r="C66" s="24">
        <v>73.947368421052644</v>
      </c>
      <c r="D66">
        <v>1000</v>
      </c>
      <c r="F66" t="s">
        <v>102</v>
      </c>
      <c r="G66" s="1">
        <v>39540</v>
      </c>
      <c r="H66">
        <v>44.1</v>
      </c>
      <c r="I66">
        <v>68.58</v>
      </c>
      <c r="J66">
        <v>1044</v>
      </c>
      <c r="L66" t="s">
        <v>71</v>
      </c>
      <c r="M66" s="1">
        <v>41455</v>
      </c>
      <c r="N66">
        <v>50.54</v>
      </c>
      <c r="O66">
        <v>1200</v>
      </c>
      <c r="Q66" t="s">
        <v>243</v>
      </c>
      <c r="R66" s="1">
        <v>41481</v>
      </c>
      <c r="S66">
        <v>47.99</v>
      </c>
      <c r="T66">
        <v>1200</v>
      </c>
    </row>
    <row r="67" spans="1:20" x14ac:dyDescent="0.2">
      <c r="A67" s="10" t="s">
        <v>30</v>
      </c>
      <c r="B67" s="1">
        <v>39828</v>
      </c>
      <c r="C67" s="24">
        <v>72.899728997289969</v>
      </c>
      <c r="D67">
        <v>1000</v>
      </c>
      <c r="F67" t="s">
        <v>102</v>
      </c>
      <c r="G67" s="1">
        <v>40193</v>
      </c>
      <c r="H67">
        <v>60.3</v>
      </c>
      <c r="I67">
        <v>60.91</v>
      </c>
      <c r="J67">
        <v>1044</v>
      </c>
      <c r="L67" t="s">
        <v>71</v>
      </c>
      <c r="M67" s="1">
        <v>42050</v>
      </c>
      <c r="N67">
        <v>31.91</v>
      </c>
      <c r="O67">
        <v>1200</v>
      </c>
      <c r="Q67" t="s">
        <v>243</v>
      </c>
      <c r="R67" s="1">
        <v>41514</v>
      </c>
      <c r="S67">
        <v>50.94</v>
      </c>
      <c r="T67">
        <v>1200</v>
      </c>
    </row>
    <row r="68" spans="1:20" x14ac:dyDescent="0.2">
      <c r="A68" s="10" t="s">
        <v>30</v>
      </c>
      <c r="B68" s="1">
        <v>40071</v>
      </c>
      <c r="C68" s="24">
        <v>75.236806495263863</v>
      </c>
      <c r="D68">
        <v>1000</v>
      </c>
      <c r="F68" t="s">
        <v>102</v>
      </c>
      <c r="G68" s="1">
        <v>40875</v>
      </c>
      <c r="H68">
        <v>71.5</v>
      </c>
      <c r="I68">
        <v>73.709999999999994</v>
      </c>
      <c r="J68">
        <v>1044</v>
      </c>
      <c r="L68" t="s">
        <v>102</v>
      </c>
      <c r="M68" s="1">
        <v>38793</v>
      </c>
      <c r="N68">
        <v>85.63</v>
      </c>
      <c r="O68">
        <v>1044</v>
      </c>
      <c r="Q68" t="s">
        <v>243</v>
      </c>
      <c r="R68" s="1">
        <v>41532</v>
      </c>
      <c r="S68">
        <v>51.44</v>
      </c>
      <c r="T68">
        <v>1200</v>
      </c>
    </row>
    <row r="69" spans="1:20" x14ac:dyDescent="0.2">
      <c r="A69" s="10" t="s">
        <v>30</v>
      </c>
      <c r="B69" s="1">
        <v>40132</v>
      </c>
      <c r="C69" s="24">
        <v>66.616314199395759</v>
      </c>
      <c r="D69">
        <v>1000</v>
      </c>
      <c r="F69" t="s">
        <v>243</v>
      </c>
      <c r="G69" s="1">
        <v>41336</v>
      </c>
      <c r="H69">
        <v>56.7</v>
      </c>
      <c r="I69">
        <v>62.24</v>
      </c>
      <c r="J69">
        <v>1044</v>
      </c>
      <c r="L69" t="s">
        <v>102</v>
      </c>
      <c r="M69" s="1">
        <v>39399</v>
      </c>
      <c r="N69">
        <v>75.13</v>
      </c>
      <c r="O69">
        <v>1044</v>
      </c>
      <c r="Q69" t="s">
        <v>243</v>
      </c>
      <c r="R69" s="1">
        <v>41562</v>
      </c>
      <c r="S69">
        <v>51.98</v>
      </c>
      <c r="T69">
        <v>1200</v>
      </c>
    </row>
    <row r="70" spans="1:20" x14ac:dyDescent="0.2">
      <c r="A70" s="10" t="s">
        <v>30</v>
      </c>
      <c r="B70" s="1">
        <v>40162</v>
      </c>
      <c r="C70" s="24">
        <v>69.719350073855253</v>
      </c>
      <c r="D70">
        <v>1000</v>
      </c>
      <c r="F70" t="s">
        <v>243</v>
      </c>
      <c r="G70" s="1">
        <v>41379</v>
      </c>
      <c r="H70">
        <v>47.2</v>
      </c>
      <c r="I70">
        <v>47.77</v>
      </c>
      <c r="J70">
        <v>1044</v>
      </c>
      <c r="L70" t="s">
        <v>102</v>
      </c>
      <c r="M70" s="1">
        <v>39540</v>
      </c>
      <c r="N70">
        <v>68.58</v>
      </c>
      <c r="O70">
        <v>1044</v>
      </c>
      <c r="Q70" t="s">
        <v>243</v>
      </c>
      <c r="R70" s="1">
        <v>41589</v>
      </c>
      <c r="S70">
        <v>45.71</v>
      </c>
      <c r="T70">
        <v>1200</v>
      </c>
    </row>
    <row r="71" spans="1:20" x14ac:dyDescent="0.2">
      <c r="A71" s="10" t="s">
        <v>30</v>
      </c>
      <c r="B71" s="1">
        <v>40219</v>
      </c>
      <c r="C71" s="24">
        <v>64.776632302405503</v>
      </c>
      <c r="D71">
        <v>1000</v>
      </c>
      <c r="F71" t="s">
        <v>243</v>
      </c>
      <c r="G71" s="1">
        <v>41409</v>
      </c>
      <c r="H71">
        <v>51.3</v>
      </c>
      <c r="I71">
        <v>52.35</v>
      </c>
      <c r="J71">
        <v>1044</v>
      </c>
      <c r="L71" t="s">
        <v>102</v>
      </c>
      <c r="M71" s="1">
        <v>40193</v>
      </c>
      <c r="N71">
        <v>60.91</v>
      </c>
      <c r="O71">
        <v>1044</v>
      </c>
      <c r="Q71" t="s">
        <v>243</v>
      </c>
      <c r="R71" s="1">
        <v>41623</v>
      </c>
      <c r="S71">
        <v>50.56</v>
      </c>
      <c r="T71">
        <v>1090</v>
      </c>
    </row>
    <row r="72" spans="1:20" x14ac:dyDescent="0.2">
      <c r="A72" s="10" t="s">
        <v>30</v>
      </c>
      <c r="B72" s="1">
        <v>40252</v>
      </c>
      <c r="C72" s="24">
        <v>66.770186335403722</v>
      </c>
      <c r="D72">
        <v>1000</v>
      </c>
      <c r="F72" t="s">
        <v>243</v>
      </c>
      <c r="G72" s="1">
        <v>41440</v>
      </c>
      <c r="H72">
        <v>54.2</v>
      </c>
      <c r="I72">
        <v>55.76</v>
      </c>
      <c r="J72">
        <v>1044</v>
      </c>
      <c r="L72" t="s">
        <v>102</v>
      </c>
      <c r="M72" s="1">
        <v>40875</v>
      </c>
      <c r="N72">
        <v>73.709999999999994</v>
      </c>
      <c r="O72">
        <v>1044</v>
      </c>
      <c r="Q72" t="s">
        <v>243</v>
      </c>
      <c r="R72" s="1">
        <v>41713</v>
      </c>
      <c r="S72">
        <v>44.52</v>
      </c>
      <c r="T72">
        <v>800</v>
      </c>
    </row>
    <row r="73" spans="1:20" x14ac:dyDescent="0.2">
      <c r="A73" s="10" t="s">
        <v>30</v>
      </c>
      <c r="B73" s="11">
        <v>40313</v>
      </c>
      <c r="C73" s="24">
        <v>63.951734539969841</v>
      </c>
      <c r="D73">
        <v>2500</v>
      </c>
      <c r="F73" t="s">
        <v>243</v>
      </c>
      <c r="G73" s="1">
        <v>41481</v>
      </c>
      <c r="H73">
        <v>46.5</v>
      </c>
      <c r="I73">
        <v>47.99</v>
      </c>
      <c r="J73">
        <v>1044</v>
      </c>
      <c r="L73" t="s">
        <v>243</v>
      </c>
      <c r="M73" s="1">
        <v>41336</v>
      </c>
      <c r="N73">
        <v>62.24</v>
      </c>
      <c r="O73">
        <v>1044</v>
      </c>
      <c r="Q73" t="s">
        <v>243</v>
      </c>
      <c r="R73" s="1">
        <v>41723</v>
      </c>
      <c r="S73">
        <v>42.44</v>
      </c>
      <c r="T73">
        <v>800</v>
      </c>
    </row>
    <row r="74" spans="1:20" x14ac:dyDescent="0.2">
      <c r="A74" s="10" t="s">
        <v>30</v>
      </c>
      <c r="B74" s="1">
        <v>40347</v>
      </c>
      <c r="C74" s="24">
        <v>68.330955777460773</v>
      </c>
      <c r="D74">
        <v>2499</v>
      </c>
      <c r="F74" t="s">
        <v>243</v>
      </c>
      <c r="G74" s="1">
        <v>41514</v>
      </c>
      <c r="H74">
        <v>49</v>
      </c>
      <c r="I74">
        <v>50.94</v>
      </c>
      <c r="J74">
        <v>1044</v>
      </c>
      <c r="L74" t="s">
        <v>243</v>
      </c>
      <c r="M74" s="1">
        <v>41379</v>
      </c>
      <c r="N74">
        <v>47.77</v>
      </c>
      <c r="O74">
        <v>1044</v>
      </c>
      <c r="Q74" t="s">
        <v>243</v>
      </c>
      <c r="R74" s="1">
        <v>41728</v>
      </c>
      <c r="S74">
        <v>42.4</v>
      </c>
      <c r="T74">
        <v>1200</v>
      </c>
    </row>
    <row r="75" spans="1:20" x14ac:dyDescent="0.2">
      <c r="A75" s="10" t="s">
        <v>30</v>
      </c>
      <c r="B75" s="1">
        <v>40386</v>
      </c>
      <c r="C75" s="24">
        <v>68.529411764705884</v>
      </c>
      <c r="D75">
        <v>2501</v>
      </c>
      <c r="F75" t="s">
        <v>243</v>
      </c>
      <c r="G75" s="1">
        <v>41532</v>
      </c>
      <c r="H75">
        <v>50</v>
      </c>
      <c r="I75">
        <v>51.44</v>
      </c>
      <c r="J75">
        <v>1044</v>
      </c>
      <c r="L75" t="s">
        <v>243</v>
      </c>
      <c r="M75" s="1">
        <v>41409</v>
      </c>
      <c r="N75">
        <v>52.35</v>
      </c>
      <c r="O75">
        <v>1044</v>
      </c>
      <c r="Q75" t="s">
        <v>243</v>
      </c>
      <c r="R75" s="1">
        <v>41911</v>
      </c>
      <c r="S75">
        <v>34.74</v>
      </c>
      <c r="T75">
        <v>1200</v>
      </c>
    </row>
    <row r="76" spans="1:20" x14ac:dyDescent="0.2">
      <c r="A76" s="10" t="s">
        <v>30</v>
      </c>
      <c r="B76" s="1">
        <v>40425</v>
      </c>
      <c r="C76" s="24">
        <v>67.582417582417577</v>
      </c>
      <c r="D76">
        <v>2500</v>
      </c>
      <c r="F76" t="s">
        <v>243</v>
      </c>
      <c r="G76" s="1">
        <v>41562</v>
      </c>
      <c r="H76">
        <v>50</v>
      </c>
      <c r="I76">
        <v>51.98</v>
      </c>
      <c r="J76">
        <v>1044</v>
      </c>
      <c r="L76" t="s">
        <v>243</v>
      </c>
      <c r="M76" s="1">
        <v>41440</v>
      </c>
      <c r="N76">
        <v>55.76</v>
      </c>
      <c r="O76">
        <v>1044</v>
      </c>
      <c r="Q76" t="s">
        <v>243</v>
      </c>
      <c r="R76" s="1">
        <v>41929</v>
      </c>
      <c r="S76">
        <v>37.11</v>
      </c>
      <c r="T76">
        <v>1200</v>
      </c>
    </row>
    <row r="77" spans="1:20" x14ac:dyDescent="0.2">
      <c r="A77" s="10" t="s">
        <v>30</v>
      </c>
      <c r="B77" s="1">
        <v>40441</v>
      </c>
      <c r="C77" s="24">
        <v>68.882602545968879</v>
      </c>
      <c r="D77">
        <v>1000</v>
      </c>
      <c r="F77" t="s">
        <v>243</v>
      </c>
      <c r="G77" s="1">
        <v>41589</v>
      </c>
      <c r="H77">
        <v>44.7</v>
      </c>
      <c r="I77">
        <v>45.71</v>
      </c>
      <c r="J77">
        <v>1044</v>
      </c>
      <c r="L77" t="s">
        <v>243</v>
      </c>
      <c r="M77" s="1">
        <v>41481</v>
      </c>
      <c r="N77">
        <v>47.99</v>
      </c>
      <c r="O77">
        <v>1044</v>
      </c>
      <c r="Q77" t="s">
        <v>243</v>
      </c>
      <c r="R77" s="1">
        <v>42436</v>
      </c>
      <c r="S77">
        <v>28.56</v>
      </c>
      <c r="T77">
        <v>1200</v>
      </c>
    </row>
    <row r="78" spans="1:20" x14ac:dyDescent="0.2">
      <c r="A78" s="10" t="s">
        <v>30</v>
      </c>
      <c r="B78" s="1">
        <v>40471</v>
      </c>
      <c r="C78" s="24">
        <v>71.084337349397586</v>
      </c>
      <c r="D78">
        <v>2500</v>
      </c>
      <c r="F78" t="s">
        <v>243</v>
      </c>
      <c r="G78" s="1">
        <v>41623</v>
      </c>
      <c r="H78">
        <v>49.9</v>
      </c>
      <c r="I78">
        <v>50.56</v>
      </c>
      <c r="J78">
        <v>1044</v>
      </c>
      <c r="L78" t="s">
        <v>243</v>
      </c>
      <c r="M78" s="1">
        <v>41514</v>
      </c>
      <c r="N78">
        <v>50.94</v>
      </c>
      <c r="O78">
        <v>1044</v>
      </c>
      <c r="Q78" t="s">
        <v>72</v>
      </c>
      <c r="R78" s="1">
        <v>36206</v>
      </c>
      <c r="S78">
        <v>94.64</v>
      </c>
      <c r="T78">
        <v>1000</v>
      </c>
    </row>
    <row r="79" spans="1:20" x14ac:dyDescent="0.2">
      <c r="A79" s="10" t="s">
        <v>30</v>
      </c>
      <c r="B79" s="1">
        <v>40558</v>
      </c>
      <c r="C79" s="24">
        <v>71.690694626474439</v>
      </c>
      <c r="D79">
        <v>1000</v>
      </c>
      <c r="F79" t="s">
        <v>243</v>
      </c>
      <c r="G79" s="1">
        <v>41713</v>
      </c>
      <c r="H79">
        <v>44.3</v>
      </c>
      <c r="I79">
        <v>44.52</v>
      </c>
      <c r="J79">
        <v>1044</v>
      </c>
      <c r="L79" t="s">
        <v>243</v>
      </c>
      <c r="M79" s="1">
        <v>41532</v>
      </c>
      <c r="N79">
        <v>51.44</v>
      </c>
      <c r="O79">
        <v>1044</v>
      </c>
      <c r="Q79" t="s">
        <v>72</v>
      </c>
      <c r="R79" s="1">
        <v>36571</v>
      </c>
      <c r="S79">
        <v>77.89</v>
      </c>
      <c r="T79">
        <v>1000</v>
      </c>
    </row>
    <row r="80" spans="1:20" x14ac:dyDescent="0.2">
      <c r="A80" s="10" t="s">
        <v>31</v>
      </c>
      <c r="B80" s="1">
        <v>40597</v>
      </c>
      <c r="C80" s="24">
        <v>72.151898734177209</v>
      </c>
      <c r="D80">
        <v>1000</v>
      </c>
      <c r="F80" t="s">
        <v>243</v>
      </c>
      <c r="G80" s="1">
        <v>41723</v>
      </c>
      <c r="H80">
        <v>42.4</v>
      </c>
      <c r="I80">
        <v>42.44</v>
      </c>
      <c r="J80">
        <v>1044</v>
      </c>
      <c r="L80" t="s">
        <v>243</v>
      </c>
      <c r="M80" s="1">
        <v>41562</v>
      </c>
      <c r="N80">
        <v>51.98</v>
      </c>
      <c r="O80">
        <v>1044</v>
      </c>
      <c r="Q80" t="s">
        <v>72</v>
      </c>
      <c r="R80" s="1">
        <v>36631</v>
      </c>
      <c r="S80">
        <v>61.49</v>
      </c>
      <c r="T80">
        <v>1000</v>
      </c>
    </row>
    <row r="81" spans="1:20" x14ac:dyDescent="0.2">
      <c r="A81" s="10" t="s">
        <v>31</v>
      </c>
      <c r="B81" s="1">
        <v>40619</v>
      </c>
      <c r="C81" s="24">
        <v>70.833333333333343</v>
      </c>
      <c r="D81">
        <v>2500</v>
      </c>
      <c r="F81" t="s">
        <v>243</v>
      </c>
      <c r="G81" s="1">
        <v>41728</v>
      </c>
      <c r="H81">
        <v>42.1</v>
      </c>
      <c r="I81">
        <v>42.4</v>
      </c>
      <c r="J81">
        <v>1044</v>
      </c>
      <c r="L81" t="s">
        <v>243</v>
      </c>
      <c r="M81" s="1">
        <v>41589</v>
      </c>
      <c r="N81">
        <v>45.71</v>
      </c>
      <c r="O81">
        <v>1044</v>
      </c>
      <c r="Q81" t="s">
        <v>72</v>
      </c>
      <c r="R81" s="1">
        <v>36661</v>
      </c>
      <c r="S81">
        <v>56.24</v>
      </c>
      <c r="T81">
        <v>1000</v>
      </c>
    </row>
    <row r="82" spans="1:20" x14ac:dyDescent="0.2">
      <c r="A82" s="10" t="s">
        <v>31</v>
      </c>
      <c r="B82" s="1">
        <v>40667</v>
      </c>
      <c r="C82" s="24">
        <v>71.232876712328761</v>
      </c>
      <c r="D82">
        <v>2500</v>
      </c>
      <c r="F82" t="s">
        <v>243</v>
      </c>
      <c r="G82" s="1">
        <v>41911</v>
      </c>
      <c r="H82">
        <v>34.6</v>
      </c>
      <c r="I82">
        <v>34.74</v>
      </c>
      <c r="J82">
        <v>1044</v>
      </c>
      <c r="L82" t="s">
        <v>243</v>
      </c>
      <c r="M82" s="1">
        <v>41623</v>
      </c>
      <c r="N82">
        <v>50.56</v>
      </c>
      <c r="O82">
        <v>1044</v>
      </c>
      <c r="Q82" t="s">
        <v>72</v>
      </c>
      <c r="R82" s="1">
        <v>36692</v>
      </c>
      <c r="S82">
        <v>61.4</v>
      </c>
      <c r="T82">
        <v>1000</v>
      </c>
    </row>
    <row r="83" spans="1:20" x14ac:dyDescent="0.2">
      <c r="A83" s="10" t="s">
        <v>31</v>
      </c>
      <c r="B83" s="1">
        <v>40687</v>
      </c>
      <c r="C83" s="24">
        <v>68.863049095607238</v>
      </c>
      <c r="D83">
        <v>1500</v>
      </c>
      <c r="F83" t="s">
        <v>243</v>
      </c>
      <c r="G83" s="1">
        <v>41929</v>
      </c>
      <c r="H83">
        <v>36.700000000000003</v>
      </c>
      <c r="I83">
        <v>37.11</v>
      </c>
      <c r="J83">
        <v>1044</v>
      </c>
      <c r="L83" t="s">
        <v>243</v>
      </c>
      <c r="M83" s="1">
        <v>41713</v>
      </c>
      <c r="N83">
        <v>44.52</v>
      </c>
      <c r="O83">
        <v>1044</v>
      </c>
      <c r="Q83" t="s">
        <v>72</v>
      </c>
      <c r="R83" s="1">
        <v>36937</v>
      </c>
      <c r="S83">
        <v>63.46</v>
      </c>
      <c r="T83">
        <v>1000</v>
      </c>
    </row>
    <row r="84" spans="1:20" x14ac:dyDescent="0.2">
      <c r="A84" s="10" t="s">
        <v>31</v>
      </c>
      <c r="B84" s="1">
        <v>40727</v>
      </c>
      <c r="C84" s="24">
        <v>71.428571428571431</v>
      </c>
      <c r="D84">
        <v>2500</v>
      </c>
      <c r="F84" t="s">
        <v>243</v>
      </c>
      <c r="G84" s="1">
        <v>42436</v>
      </c>
      <c r="H84">
        <v>27.9</v>
      </c>
      <c r="I84">
        <v>28.56</v>
      </c>
      <c r="J84">
        <v>1044</v>
      </c>
      <c r="L84" t="s">
        <v>243</v>
      </c>
      <c r="M84" s="1">
        <v>41723</v>
      </c>
      <c r="N84">
        <v>42.44</v>
      </c>
      <c r="O84">
        <v>1044</v>
      </c>
      <c r="Q84" t="s">
        <v>72</v>
      </c>
      <c r="R84" s="1">
        <v>37087</v>
      </c>
      <c r="S84">
        <v>56.59</v>
      </c>
      <c r="T84">
        <v>1000</v>
      </c>
    </row>
    <row r="85" spans="1:20" x14ac:dyDescent="0.2">
      <c r="A85" s="10" t="s">
        <v>31</v>
      </c>
      <c r="B85" s="1">
        <v>40784</v>
      </c>
      <c r="C85" s="24">
        <v>72.839506172839506</v>
      </c>
      <c r="D85">
        <v>2500</v>
      </c>
      <c r="F85" t="s">
        <v>72</v>
      </c>
      <c r="G85" s="1">
        <v>36206</v>
      </c>
      <c r="H85">
        <v>91.9</v>
      </c>
      <c r="I85">
        <v>94.64</v>
      </c>
      <c r="J85">
        <v>1220</v>
      </c>
      <c r="L85" t="s">
        <v>243</v>
      </c>
      <c r="M85" s="1">
        <v>41728</v>
      </c>
      <c r="N85">
        <v>42.4</v>
      </c>
      <c r="O85">
        <v>1044</v>
      </c>
      <c r="Q85" t="s">
        <v>72</v>
      </c>
      <c r="R85" s="1">
        <v>37240</v>
      </c>
      <c r="S85">
        <v>37.81</v>
      </c>
      <c r="T85">
        <v>1000</v>
      </c>
    </row>
    <row r="86" spans="1:20" x14ac:dyDescent="0.2">
      <c r="A86" s="10" t="s">
        <v>31</v>
      </c>
      <c r="B86" s="1">
        <v>40813</v>
      </c>
      <c r="C86" s="24">
        <v>75.308641975308646</v>
      </c>
      <c r="D86">
        <v>2500</v>
      </c>
      <c r="F86" t="s">
        <v>72</v>
      </c>
      <c r="G86" s="1">
        <v>36571</v>
      </c>
      <c r="H86">
        <v>76.8</v>
      </c>
      <c r="I86">
        <v>77.89</v>
      </c>
      <c r="J86">
        <v>1220</v>
      </c>
      <c r="L86" t="s">
        <v>243</v>
      </c>
      <c r="M86" s="1">
        <v>41911</v>
      </c>
      <c r="N86">
        <v>34.74</v>
      </c>
      <c r="O86">
        <v>1044</v>
      </c>
      <c r="Q86" t="s">
        <v>72</v>
      </c>
      <c r="R86" s="1">
        <v>37302</v>
      </c>
      <c r="S86">
        <v>35.25</v>
      </c>
      <c r="T86">
        <v>1000</v>
      </c>
    </row>
    <row r="87" spans="1:20" x14ac:dyDescent="0.2">
      <c r="A87" s="10" t="s">
        <v>31</v>
      </c>
      <c r="B87" s="1">
        <v>40852</v>
      </c>
      <c r="C87" s="24">
        <v>77.5</v>
      </c>
      <c r="D87">
        <v>2500</v>
      </c>
      <c r="F87" t="s">
        <v>72</v>
      </c>
      <c r="G87" s="1">
        <v>36631</v>
      </c>
      <c r="H87">
        <v>61</v>
      </c>
      <c r="I87">
        <v>61.49</v>
      </c>
      <c r="J87">
        <v>1220</v>
      </c>
      <c r="L87" t="s">
        <v>243</v>
      </c>
      <c r="M87" s="1">
        <v>41929</v>
      </c>
      <c r="N87">
        <v>37.11</v>
      </c>
      <c r="O87">
        <v>1044</v>
      </c>
      <c r="Q87" t="s">
        <v>72</v>
      </c>
      <c r="R87" s="1">
        <v>37361</v>
      </c>
      <c r="S87">
        <v>45.06</v>
      </c>
      <c r="T87">
        <v>1000</v>
      </c>
    </row>
    <row r="88" spans="1:20" x14ac:dyDescent="0.2">
      <c r="A88" s="10" t="s">
        <v>31</v>
      </c>
      <c r="B88" s="1">
        <v>40887</v>
      </c>
      <c r="C88" s="24">
        <v>75</v>
      </c>
      <c r="D88">
        <v>2500</v>
      </c>
      <c r="F88" t="s">
        <v>72</v>
      </c>
      <c r="G88" s="1">
        <v>36661</v>
      </c>
      <c r="H88">
        <v>55.9</v>
      </c>
      <c r="I88">
        <v>56.24</v>
      </c>
      <c r="J88">
        <v>1220</v>
      </c>
      <c r="L88" t="s">
        <v>243</v>
      </c>
      <c r="M88" s="1">
        <v>42436</v>
      </c>
      <c r="N88">
        <v>28.56</v>
      </c>
      <c r="O88">
        <v>1044</v>
      </c>
      <c r="Q88" t="s">
        <v>72</v>
      </c>
      <c r="R88" s="1">
        <v>37422</v>
      </c>
      <c r="S88">
        <v>32.49</v>
      </c>
      <c r="T88">
        <v>1000</v>
      </c>
    </row>
    <row r="89" spans="1:20" x14ac:dyDescent="0.2">
      <c r="A89" s="10" t="s">
        <v>31</v>
      </c>
      <c r="B89" s="1">
        <v>40929</v>
      </c>
      <c r="C89" s="24">
        <v>76.25</v>
      </c>
      <c r="D89">
        <v>1500</v>
      </c>
      <c r="F89" t="s">
        <v>72</v>
      </c>
      <c r="G89" s="1">
        <v>36692</v>
      </c>
      <c r="H89">
        <v>60.6</v>
      </c>
      <c r="I89">
        <v>61.4</v>
      </c>
      <c r="J89">
        <v>1220</v>
      </c>
      <c r="L89" t="s">
        <v>72</v>
      </c>
      <c r="M89" s="1">
        <v>36206</v>
      </c>
      <c r="N89">
        <v>94.64</v>
      </c>
      <c r="O89">
        <v>1220</v>
      </c>
      <c r="Q89" t="s">
        <v>72</v>
      </c>
      <c r="R89" s="1">
        <v>37575</v>
      </c>
      <c r="S89">
        <v>33.03</v>
      </c>
      <c r="T89">
        <v>1000</v>
      </c>
    </row>
    <row r="90" spans="1:20" x14ac:dyDescent="0.2">
      <c r="A90" s="10" t="s">
        <v>31</v>
      </c>
      <c r="B90" s="1">
        <v>40973</v>
      </c>
      <c r="C90" s="24">
        <v>76.829268292682926</v>
      </c>
      <c r="D90">
        <v>2500</v>
      </c>
      <c r="F90" t="s">
        <v>72</v>
      </c>
      <c r="G90" s="1">
        <v>36937</v>
      </c>
      <c r="H90">
        <v>62.7</v>
      </c>
      <c r="I90">
        <v>63.46</v>
      </c>
      <c r="J90">
        <v>1220</v>
      </c>
      <c r="L90" t="s">
        <v>72</v>
      </c>
      <c r="M90" s="1">
        <v>36571</v>
      </c>
      <c r="N90">
        <v>77.89</v>
      </c>
      <c r="O90">
        <v>1220</v>
      </c>
      <c r="Q90" t="s">
        <v>72</v>
      </c>
      <c r="R90" s="1">
        <v>37667</v>
      </c>
      <c r="S90">
        <v>35.49</v>
      </c>
      <c r="T90">
        <v>1000</v>
      </c>
    </row>
    <row r="91" spans="1:20" x14ac:dyDescent="0.2">
      <c r="A91" s="10" t="s">
        <v>31</v>
      </c>
      <c r="B91" s="1">
        <v>41034</v>
      </c>
      <c r="C91" s="24">
        <v>78.571428571428569</v>
      </c>
      <c r="D91">
        <v>9300</v>
      </c>
      <c r="F91" t="s">
        <v>72</v>
      </c>
      <c r="G91" s="1">
        <v>37087</v>
      </c>
      <c r="H91">
        <v>55.8</v>
      </c>
      <c r="I91">
        <v>56.59</v>
      </c>
      <c r="J91">
        <v>1220</v>
      </c>
      <c r="L91" t="s">
        <v>72</v>
      </c>
      <c r="M91" s="1">
        <v>36631</v>
      </c>
      <c r="N91">
        <v>61.49</v>
      </c>
      <c r="O91">
        <v>1220</v>
      </c>
      <c r="Q91" t="s">
        <v>72</v>
      </c>
      <c r="R91" s="1">
        <v>37756</v>
      </c>
      <c r="S91">
        <v>36.950000000000003</v>
      </c>
      <c r="T91">
        <v>1000</v>
      </c>
    </row>
    <row r="92" spans="1:20" x14ac:dyDescent="0.2">
      <c r="A92" s="10" t="s">
        <v>31</v>
      </c>
      <c r="B92" s="1">
        <v>41065</v>
      </c>
      <c r="C92" s="24">
        <v>78.75</v>
      </c>
      <c r="D92">
        <v>2500</v>
      </c>
      <c r="F92" t="s">
        <v>72</v>
      </c>
      <c r="G92" s="1">
        <v>37240</v>
      </c>
      <c r="H92">
        <v>35.5</v>
      </c>
      <c r="I92">
        <v>37.81</v>
      </c>
      <c r="J92">
        <v>1220</v>
      </c>
      <c r="L92" t="s">
        <v>72</v>
      </c>
      <c r="M92" s="1">
        <v>36661</v>
      </c>
      <c r="N92">
        <v>56.24</v>
      </c>
      <c r="O92">
        <v>1220</v>
      </c>
      <c r="Q92" t="s">
        <v>72</v>
      </c>
      <c r="R92" s="1">
        <v>37817</v>
      </c>
      <c r="S92">
        <v>31.33</v>
      </c>
      <c r="T92">
        <v>1000</v>
      </c>
    </row>
    <row r="93" spans="1:20" x14ac:dyDescent="0.2">
      <c r="A93" s="10" t="s">
        <v>31</v>
      </c>
      <c r="B93" s="1">
        <v>41123</v>
      </c>
      <c r="C93" s="24">
        <v>82.051282051282044</v>
      </c>
      <c r="D93">
        <v>2500</v>
      </c>
      <c r="F93" t="s">
        <v>72</v>
      </c>
      <c r="G93" s="1">
        <v>37302</v>
      </c>
      <c r="H93">
        <v>34.4</v>
      </c>
      <c r="I93">
        <v>35.25</v>
      </c>
      <c r="J93">
        <v>1220</v>
      </c>
      <c r="L93" t="s">
        <v>72</v>
      </c>
      <c r="M93" s="1">
        <v>36692</v>
      </c>
      <c r="N93">
        <v>61.4</v>
      </c>
      <c r="O93">
        <v>1220</v>
      </c>
      <c r="Q93" t="s">
        <v>72</v>
      </c>
      <c r="R93" s="1">
        <v>37880</v>
      </c>
      <c r="S93">
        <v>36.5</v>
      </c>
      <c r="T93">
        <v>1300</v>
      </c>
    </row>
    <row r="94" spans="1:20" x14ac:dyDescent="0.2">
      <c r="A94" s="10" t="s">
        <v>31</v>
      </c>
      <c r="B94" s="1">
        <v>41218</v>
      </c>
      <c r="C94" s="24">
        <v>75.949367088607602</v>
      </c>
      <c r="D94">
        <v>2500</v>
      </c>
      <c r="F94" t="s">
        <v>72</v>
      </c>
      <c r="G94" s="1">
        <v>37361</v>
      </c>
      <c r="H94">
        <v>44.7</v>
      </c>
      <c r="I94">
        <v>45.06</v>
      </c>
      <c r="J94">
        <v>1220</v>
      </c>
      <c r="L94" t="s">
        <v>72</v>
      </c>
      <c r="M94" s="1">
        <v>36937</v>
      </c>
      <c r="N94">
        <v>63.46</v>
      </c>
      <c r="O94">
        <v>1220</v>
      </c>
      <c r="Q94" t="s">
        <v>72</v>
      </c>
      <c r="R94" s="1">
        <v>37940</v>
      </c>
      <c r="S94">
        <v>42.05</v>
      </c>
      <c r="T94">
        <v>1300</v>
      </c>
    </row>
    <row r="95" spans="1:20" x14ac:dyDescent="0.2">
      <c r="A95" s="10" t="s">
        <v>31</v>
      </c>
      <c r="B95" s="1">
        <v>41250</v>
      </c>
      <c r="C95" s="24">
        <v>75</v>
      </c>
      <c r="D95">
        <v>1500</v>
      </c>
      <c r="F95" t="s">
        <v>72</v>
      </c>
      <c r="G95" s="1">
        <v>37422</v>
      </c>
      <c r="H95">
        <v>32.299999999999997</v>
      </c>
      <c r="I95">
        <v>32.49</v>
      </c>
      <c r="J95">
        <v>1220</v>
      </c>
      <c r="L95" t="s">
        <v>72</v>
      </c>
      <c r="M95" s="1">
        <v>37087</v>
      </c>
      <c r="N95">
        <v>56.59</v>
      </c>
      <c r="O95">
        <v>1220</v>
      </c>
      <c r="Q95" t="s">
        <v>72</v>
      </c>
      <c r="R95" s="1">
        <v>37970</v>
      </c>
      <c r="S95">
        <v>42.59</v>
      </c>
      <c r="T95">
        <v>1300</v>
      </c>
    </row>
    <row r="96" spans="1:20" x14ac:dyDescent="0.2">
      <c r="A96" s="10" t="s">
        <v>31</v>
      </c>
      <c r="B96" s="1">
        <v>41297</v>
      </c>
      <c r="C96" s="24">
        <v>82.35294117647058</v>
      </c>
      <c r="D96">
        <v>2500</v>
      </c>
      <c r="F96" t="s">
        <v>72</v>
      </c>
      <c r="G96" s="1">
        <v>37575</v>
      </c>
      <c r="H96">
        <v>32.6</v>
      </c>
      <c r="I96">
        <v>33.03</v>
      </c>
      <c r="J96">
        <v>1220</v>
      </c>
      <c r="L96" t="s">
        <v>72</v>
      </c>
      <c r="M96" s="1">
        <v>37240</v>
      </c>
      <c r="N96">
        <v>37.81</v>
      </c>
      <c r="O96">
        <v>1220</v>
      </c>
      <c r="Q96" t="s">
        <v>72</v>
      </c>
      <c r="R96" s="1">
        <v>38032</v>
      </c>
      <c r="S96">
        <v>43.13</v>
      </c>
      <c r="T96">
        <v>1300</v>
      </c>
    </row>
    <row r="97" spans="1:20" x14ac:dyDescent="0.2">
      <c r="A97" s="10" t="s">
        <v>7</v>
      </c>
      <c r="B97" s="1">
        <v>40235</v>
      </c>
      <c r="C97" s="24">
        <v>47.777777777777779</v>
      </c>
      <c r="D97">
        <v>1300</v>
      </c>
      <c r="F97" t="s">
        <v>72</v>
      </c>
      <c r="G97" s="1">
        <v>37667</v>
      </c>
      <c r="H97">
        <v>35.1</v>
      </c>
      <c r="I97">
        <v>35.49</v>
      </c>
      <c r="J97">
        <v>1220</v>
      </c>
      <c r="L97" t="s">
        <v>72</v>
      </c>
      <c r="M97" s="1">
        <v>37302</v>
      </c>
      <c r="N97">
        <v>35.25</v>
      </c>
      <c r="O97">
        <v>1220</v>
      </c>
      <c r="Q97" t="s">
        <v>72</v>
      </c>
      <c r="R97" s="1">
        <v>38122</v>
      </c>
      <c r="S97">
        <v>43.96</v>
      </c>
      <c r="T97">
        <v>1300</v>
      </c>
    </row>
    <row r="98" spans="1:20" x14ac:dyDescent="0.2">
      <c r="A98" s="10" t="s">
        <v>7</v>
      </c>
      <c r="B98" s="1">
        <v>40326</v>
      </c>
      <c r="C98" s="24">
        <v>49.462365591397848</v>
      </c>
      <c r="D98">
        <v>1300</v>
      </c>
      <c r="F98" t="s">
        <v>72</v>
      </c>
      <c r="G98" s="1">
        <v>37756</v>
      </c>
      <c r="H98">
        <v>36.799999999999997</v>
      </c>
      <c r="I98">
        <v>36.950000000000003</v>
      </c>
      <c r="J98">
        <v>1220</v>
      </c>
      <c r="L98" t="s">
        <v>72</v>
      </c>
      <c r="M98" s="1">
        <v>37361</v>
      </c>
      <c r="N98">
        <v>45.06</v>
      </c>
      <c r="O98">
        <v>1220</v>
      </c>
      <c r="Q98" t="s">
        <v>72</v>
      </c>
      <c r="R98" s="1">
        <v>38183</v>
      </c>
      <c r="S98">
        <v>51</v>
      </c>
      <c r="T98">
        <v>1300</v>
      </c>
    </row>
    <row r="99" spans="1:20" x14ac:dyDescent="0.2">
      <c r="A99" s="10" t="s">
        <v>7</v>
      </c>
      <c r="B99" s="1">
        <v>40595</v>
      </c>
      <c r="C99" s="24">
        <v>46.464646464646464</v>
      </c>
      <c r="D99">
        <v>1000</v>
      </c>
      <c r="F99" t="s">
        <v>72</v>
      </c>
      <c r="G99" s="1">
        <v>37817</v>
      </c>
      <c r="H99">
        <v>30.8</v>
      </c>
      <c r="I99">
        <v>31.33</v>
      </c>
      <c r="J99">
        <v>1220</v>
      </c>
      <c r="L99" t="s">
        <v>72</v>
      </c>
      <c r="M99" s="1">
        <v>37422</v>
      </c>
      <c r="N99">
        <v>32.49</v>
      </c>
      <c r="O99">
        <v>1220</v>
      </c>
      <c r="Q99" t="s">
        <v>72</v>
      </c>
      <c r="R99" s="1">
        <v>38571</v>
      </c>
      <c r="S99">
        <v>51.72</v>
      </c>
      <c r="T99">
        <v>1300</v>
      </c>
    </row>
    <row r="100" spans="1:20" x14ac:dyDescent="0.2">
      <c r="A100" s="10" t="s">
        <v>7</v>
      </c>
      <c r="B100" s="1">
        <v>41348</v>
      </c>
      <c r="C100" s="24">
        <v>54.838709677419352</v>
      </c>
      <c r="D100">
        <v>1000</v>
      </c>
      <c r="F100" t="s">
        <v>72</v>
      </c>
      <c r="G100" s="1">
        <v>37880</v>
      </c>
      <c r="H100">
        <v>36.1</v>
      </c>
      <c r="I100">
        <v>36.5</v>
      </c>
      <c r="J100">
        <v>1220</v>
      </c>
      <c r="L100" t="s">
        <v>72</v>
      </c>
      <c r="M100" s="1">
        <v>37575</v>
      </c>
      <c r="N100">
        <v>33.03</v>
      </c>
      <c r="O100">
        <v>1220</v>
      </c>
      <c r="Q100" t="s">
        <v>72</v>
      </c>
      <c r="R100" s="1">
        <v>38585</v>
      </c>
      <c r="S100">
        <v>61.41</v>
      </c>
      <c r="T100">
        <v>1300</v>
      </c>
    </row>
    <row r="101" spans="1:20" x14ac:dyDescent="0.2">
      <c r="A101" s="10" t="s">
        <v>7</v>
      </c>
      <c r="B101" s="1">
        <v>41410</v>
      </c>
      <c r="C101" s="24">
        <v>48.793284365162648</v>
      </c>
      <c r="D101">
        <v>2000</v>
      </c>
      <c r="F101" t="s">
        <v>72</v>
      </c>
      <c r="G101" s="1">
        <v>37940</v>
      </c>
      <c r="H101">
        <v>41.5</v>
      </c>
      <c r="I101">
        <v>42.05</v>
      </c>
      <c r="J101">
        <v>1220</v>
      </c>
      <c r="L101" t="s">
        <v>72</v>
      </c>
      <c r="M101" s="1">
        <v>37667</v>
      </c>
      <c r="N101">
        <v>35.49</v>
      </c>
      <c r="O101">
        <v>1220</v>
      </c>
      <c r="Q101" t="s">
        <v>72</v>
      </c>
      <c r="R101" s="1">
        <v>38275</v>
      </c>
      <c r="S101">
        <v>56.35</v>
      </c>
      <c r="T101">
        <v>1300</v>
      </c>
    </row>
    <row r="102" spans="1:20" x14ac:dyDescent="0.2">
      <c r="A102" s="10" t="s">
        <v>4</v>
      </c>
      <c r="B102" s="1">
        <v>40235</v>
      </c>
      <c r="C102" s="24">
        <v>46.511627906976742</v>
      </c>
      <c r="D102">
        <v>1000</v>
      </c>
      <c r="F102" t="s">
        <v>72</v>
      </c>
      <c r="G102" s="1">
        <v>37970</v>
      </c>
      <c r="H102">
        <v>41.7</v>
      </c>
      <c r="I102">
        <v>42.59</v>
      </c>
      <c r="J102">
        <v>1220</v>
      </c>
      <c r="L102" t="s">
        <v>72</v>
      </c>
      <c r="M102" s="1">
        <v>37756</v>
      </c>
      <c r="N102">
        <v>36.950000000000003</v>
      </c>
      <c r="O102">
        <v>1220</v>
      </c>
      <c r="Q102" t="s">
        <v>72</v>
      </c>
      <c r="R102" s="1">
        <v>38306</v>
      </c>
      <c r="S102">
        <v>67.33</v>
      </c>
      <c r="T102">
        <v>1300</v>
      </c>
    </row>
    <row r="103" spans="1:20" x14ac:dyDescent="0.2">
      <c r="A103" s="10" t="s">
        <v>4</v>
      </c>
      <c r="B103" s="1">
        <v>40326</v>
      </c>
      <c r="C103" s="24">
        <v>46.590909090909086</v>
      </c>
      <c r="D103">
        <v>1300</v>
      </c>
      <c r="F103" t="s">
        <v>72</v>
      </c>
      <c r="G103" s="1">
        <v>38032</v>
      </c>
      <c r="H103">
        <v>41.4</v>
      </c>
      <c r="I103">
        <v>43.13</v>
      </c>
      <c r="J103">
        <v>1220</v>
      </c>
      <c r="L103" t="s">
        <v>72</v>
      </c>
      <c r="M103" s="1">
        <v>37817</v>
      </c>
      <c r="N103">
        <v>31.33</v>
      </c>
      <c r="O103">
        <v>1220</v>
      </c>
      <c r="Q103" t="s">
        <v>72</v>
      </c>
      <c r="R103" s="1">
        <v>38367</v>
      </c>
      <c r="S103">
        <v>66.739999999999995</v>
      </c>
      <c r="T103">
        <v>1300</v>
      </c>
    </row>
    <row r="104" spans="1:20" x14ac:dyDescent="0.2">
      <c r="A104" s="10" t="s">
        <v>4</v>
      </c>
      <c r="B104" s="1">
        <v>40594</v>
      </c>
      <c r="C104" s="24">
        <v>46.739130434782609</v>
      </c>
      <c r="D104">
        <v>1000</v>
      </c>
      <c r="F104" t="s">
        <v>72</v>
      </c>
      <c r="G104" s="1">
        <v>38122</v>
      </c>
      <c r="H104">
        <v>43.3</v>
      </c>
      <c r="I104">
        <v>43.96</v>
      </c>
      <c r="J104">
        <v>1220</v>
      </c>
      <c r="L104" t="s">
        <v>72</v>
      </c>
      <c r="M104" s="1">
        <v>37880</v>
      </c>
      <c r="N104">
        <v>36.5</v>
      </c>
      <c r="O104">
        <v>1220</v>
      </c>
      <c r="Q104" t="s">
        <v>72</v>
      </c>
      <c r="R104" s="1">
        <v>38426</v>
      </c>
      <c r="S104">
        <v>72.31</v>
      </c>
      <c r="T104">
        <v>1300</v>
      </c>
    </row>
    <row r="105" spans="1:20" x14ac:dyDescent="0.2">
      <c r="A105" s="10" t="s">
        <v>4</v>
      </c>
      <c r="B105" s="1">
        <v>41002</v>
      </c>
      <c r="C105" s="24">
        <v>50.82508250825083</v>
      </c>
      <c r="D105">
        <v>1900</v>
      </c>
      <c r="F105" t="s">
        <v>72</v>
      </c>
      <c r="G105" s="1">
        <v>38183</v>
      </c>
      <c r="H105">
        <v>50.8</v>
      </c>
      <c r="I105">
        <v>51</v>
      </c>
      <c r="J105">
        <v>1220</v>
      </c>
      <c r="L105" t="s">
        <v>72</v>
      </c>
      <c r="M105" s="1">
        <v>37940</v>
      </c>
      <c r="N105">
        <v>42.05</v>
      </c>
      <c r="O105">
        <v>1220</v>
      </c>
      <c r="Q105" t="s">
        <v>72</v>
      </c>
      <c r="R105" s="1">
        <v>38457</v>
      </c>
      <c r="S105">
        <v>69.28</v>
      </c>
      <c r="T105">
        <v>1300</v>
      </c>
    </row>
    <row r="106" spans="1:20" x14ac:dyDescent="0.2">
      <c r="A106" s="10" t="s">
        <v>8</v>
      </c>
      <c r="B106" s="1">
        <v>39706</v>
      </c>
      <c r="C106" s="24">
        <v>50</v>
      </c>
      <c r="D106">
        <v>1000</v>
      </c>
      <c r="F106" t="s">
        <v>72</v>
      </c>
      <c r="G106" s="1">
        <v>38571</v>
      </c>
      <c r="H106">
        <v>48</v>
      </c>
      <c r="I106">
        <v>51.72</v>
      </c>
      <c r="J106">
        <v>1220</v>
      </c>
      <c r="L106" t="s">
        <v>72</v>
      </c>
      <c r="M106" s="1">
        <v>37970</v>
      </c>
      <c r="N106">
        <v>42.59</v>
      </c>
      <c r="O106">
        <v>1220</v>
      </c>
      <c r="Q106" t="s">
        <v>72</v>
      </c>
      <c r="R106" s="1">
        <v>38487</v>
      </c>
      <c r="S106">
        <v>75.66</v>
      </c>
      <c r="T106">
        <v>1300</v>
      </c>
    </row>
    <row r="107" spans="1:20" x14ac:dyDescent="0.2">
      <c r="A107" s="10" t="s">
        <v>8</v>
      </c>
      <c r="B107" s="1">
        <v>39850</v>
      </c>
      <c r="C107" s="24">
        <v>40</v>
      </c>
      <c r="D107">
        <v>1197</v>
      </c>
      <c r="F107" t="s">
        <v>72</v>
      </c>
      <c r="G107" s="1">
        <v>38585</v>
      </c>
      <c r="H107">
        <v>59.2</v>
      </c>
      <c r="I107">
        <v>61.41</v>
      </c>
      <c r="J107">
        <v>1220</v>
      </c>
      <c r="L107" t="s">
        <v>72</v>
      </c>
      <c r="M107" s="1">
        <v>38032</v>
      </c>
      <c r="N107">
        <v>43.13</v>
      </c>
      <c r="O107">
        <v>1220</v>
      </c>
      <c r="Q107" t="s">
        <v>72</v>
      </c>
      <c r="R107" s="1">
        <v>38518</v>
      </c>
      <c r="S107">
        <v>74.33</v>
      </c>
      <c r="T107">
        <v>1300</v>
      </c>
    </row>
    <row r="108" spans="1:20" x14ac:dyDescent="0.2">
      <c r="A108" t="s">
        <v>72</v>
      </c>
      <c r="B108" s="1">
        <v>36206</v>
      </c>
      <c r="C108">
        <v>94.61</v>
      </c>
      <c r="D108">
        <v>1000</v>
      </c>
      <c r="F108" t="s">
        <v>72</v>
      </c>
      <c r="G108" s="1">
        <v>38275</v>
      </c>
      <c r="H108">
        <v>53.7</v>
      </c>
      <c r="I108">
        <v>56.35</v>
      </c>
      <c r="J108">
        <v>1220</v>
      </c>
      <c r="L108" t="s">
        <v>72</v>
      </c>
      <c r="M108" s="1">
        <v>38122</v>
      </c>
      <c r="N108">
        <v>43.96</v>
      </c>
      <c r="O108">
        <v>1220</v>
      </c>
      <c r="Q108" t="s">
        <v>72</v>
      </c>
      <c r="R108" s="1">
        <v>38640</v>
      </c>
      <c r="S108">
        <v>71.989999999999995</v>
      </c>
      <c r="T108">
        <v>1300</v>
      </c>
    </row>
    <row r="109" spans="1:20" x14ac:dyDescent="0.2">
      <c r="A109" t="s">
        <v>72</v>
      </c>
      <c r="B109" s="1">
        <v>36571</v>
      </c>
      <c r="C109">
        <v>77.89</v>
      </c>
      <c r="D109">
        <v>1000</v>
      </c>
      <c r="F109" t="s">
        <v>72</v>
      </c>
      <c r="G109" s="1">
        <v>38306</v>
      </c>
      <c r="H109">
        <v>64.5</v>
      </c>
      <c r="I109">
        <v>67.33</v>
      </c>
      <c r="J109">
        <v>1220</v>
      </c>
      <c r="L109" t="s">
        <v>72</v>
      </c>
      <c r="M109" s="1">
        <v>38183</v>
      </c>
      <c r="N109">
        <v>51</v>
      </c>
      <c r="O109">
        <v>1220</v>
      </c>
      <c r="Q109" t="s">
        <v>72</v>
      </c>
      <c r="R109" s="1">
        <v>38701</v>
      </c>
      <c r="S109">
        <v>67.569999999999993</v>
      </c>
      <c r="T109">
        <v>1300</v>
      </c>
    </row>
    <row r="110" spans="1:20" x14ac:dyDescent="0.2">
      <c r="A110" t="s">
        <v>72</v>
      </c>
      <c r="B110" s="1">
        <v>36661</v>
      </c>
      <c r="C110">
        <v>56.24</v>
      </c>
      <c r="D110">
        <v>1000</v>
      </c>
      <c r="F110" t="s">
        <v>72</v>
      </c>
      <c r="G110" s="1">
        <v>38367</v>
      </c>
      <c r="H110">
        <v>64.2</v>
      </c>
      <c r="I110">
        <v>66.739999999999995</v>
      </c>
      <c r="J110">
        <v>1220</v>
      </c>
      <c r="L110" t="s">
        <v>72</v>
      </c>
      <c r="M110" s="1">
        <v>38571</v>
      </c>
      <c r="N110">
        <v>51.72</v>
      </c>
      <c r="O110">
        <v>1220</v>
      </c>
      <c r="Q110" t="s">
        <v>72</v>
      </c>
      <c r="R110" s="1">
        <v>38763</v>
      </c>
      <c r="S110">
        <v>77.069999999999993</v>
      </c>
      <c r="T110">
        <v>1300</v>
      </c>
    </row>
    <row r="111" spans="1:20" x14ac:dyDescent="0.2">
      <c r="A111" t="s">
        <v>72</v>
      </c>
      <c r="B111" s="1">
        <v>36692</v>
      </c>
      <c r="C111">
        <v>61.4</v>
      </c>
      <c r="D111">
        <v>1000</v>
      </c>
      <c r="F111" t="s">
        <v>72</v>
      </c>
      <c r="G111" s="1">
        <v>38426</v>
      </c>
      <c r="H111">
        <v>70.5</v>
      </c>
      <c r="I111">
        <v>72.31</v>
      </c>
      <c r="J111">
        <v>1220</v>
      </c>
      <c r="L111" t="s">
        <v>72</v>
      </c>
      <c r="M111" s="1">
        <v>38585</v>
      </c>
      <c r="N111">
        <v>61.41</v>
      </c>
      <c r="O111">
        <v>1220</v>
      </c>
      <c r="Q111" t="s">
        <v>72</v>
      </c>
      <c r="R111" s="1">
        <v>38791</v>
      </c>
      <c r="S111">
        <v>75.75</v>
      </c>
      <c r="T111">
        <v>1300</v>
      </c>
    </row>
    <row r="112" spans="1:20" x14ac:dyDescent="0.2">
      <c r="A112" t="s">
        <v>72</v>
      </c>
      <c r="B112" s="1">
        <v>36937</v>
      </c>
      <c r="C112">
        <v>63.46</v>
      </c>
      <c r="D112">
        <v>1000</v>
      </c>
      <c r="F112" t="s">
        <v>72</v>
      </c>
      <c r="G112" s="1">
        <v>38457</v>
      </c>
      <c r="H112">
        <v>67.2</v>
      </c>
      <c r="I112">
        <v>69.28</v>
      </c>
      <c r="J112">
        <v>1220</v>
      </c>
      <c r="L112" t="s">
        <v>72</v>
      </c>
      <c r="M112" s="1">
        <v>38275</v>
      </c>
      <c r="N112">
        <v>56.35</v>
      </c>
      <c r="O112">
        <v>1220</v>
      </c>
      <c r="Q112" t="s">
        <v>72</v>
      </c>
      <c r="R112" s="1">
        <v>38822</v>
      </c>
      <c r="S112">
        <v>77.86</v>
      </c>
      <c r="T112">
        <v>1300</v>
      </c>
    </row>
    <row r="113" spans="1:20" x14ac:dyDescent="0.2">
      <c r="A113" t="s">
        <v>72</v>
      </c>
      <c r="B113" s="1">
        <v>37087</v>
      </c>
      <c r="C113">
        <v>56.59</v>
      </c>
      <c r="D113">
        <v>1000</v>
      </c>
      <c r="F113" t="s">
        <v>72</v>
      </c>
      <c r="G113" s="1">
        <v>38487</v>
      </c>
      <c r="H113">
        <v>71.2</v>
      </c>
      <c r="I113">
        <v>75.66</v>
      </c>
      <c r="J113">
        <v>1220</v>
      </c>
      <c r="L113" t="s">
        <v>72</v>
      </c>
      <c r="M113" s="1">
        <v>38306</v>
      </c>
      <c r="N113">
        <v>67.33</v>
      </c>
      <c r="O113">
        <v>1220</v>
      </c>
      <c r="Q113" t="s">
        <v>72</v>
      </c>
      <c r="R113" s="1">
        <v>38852</v>
      </c>
      <c r="S113">
        <v>79.040000000000006</v>
      </c>
      <c r="T113">
        <v>1300</v>
      </c>
    </row>
    <row r="114" spans="1:20" x14ac:dyDescent="0.2">
      <c r="A114" t="s">
        <v>72</v>
      </c>
      <c r="B114" s="1">
        <v>37240</v>
      </c>
      <c r="C114">
        <v>37.81</v>
      </c>
      <c r="D114">
        <v>1000</v>
      </c>
      <c r="F114" t="s">
        <v>72</v>
      </c>
      <c r="G114" s="1">
        <v>38518</v>
      </c>
      <c r="H114">
        <v>71.8</v>
      </c>
      <c r="I114">
        <v>74.33</v>
      </c>
      <c r="J114">
        <v>1220</v>
      </c>
      <c r="L114" t="s">
        <v>72</v>
      </c>
      <c r="M114" s="1">
        <v>38367</v>
      </c>
      <c r="N114">
        <v>66.739999999999995</v>
      </c>
      <c r="O114">
        <v>1220</v>
      </c>
      <c r="Q114" t="s">
        <v>72</v>
      </c>
      <c r="R114" s="1">
        <v>38883</v>
      </c>
      <c r="S114">
        <v>73.56</v>
      </c>
      <c r="T114">
        <v>1300</v>
      </c>
    </row>
    <row r="115" spans="1:20" x14ac:dyDescent="0.2">
      <c r="A115" t="s">
        <v>72</v>
      </c>
      <c r="B115" s="1">
        <v>37302</v>
      </c>
      <c r="C115">
        <v>35.25</v>
      </c>
      <c r="D115">
        <v>1000</v>
      </c>
      <c r="F115" t="s">
        <v>72</v>
      </c>
      <c r="G115" s="1">
        <v>38640</v>
      </c>
      <c r="H115">
        <v>67.599999999999994</v>
      </c>
      <c r="I115">
        <v>71.989999999999995</v>
      </c>
      <c r="J115">
        <v>1220</v>
      </c>
      <c r="L115" t="s">
        <v>72</v>
      </c>
      <c r="M115" s="1">
        <v>38426</v>
      </c>
      <c r="N115">
        <v>72.31</v>
      </c>
      <c r="O115">
        <v>1220</v>
      </c>
      <c r="Q115" t="s">
        <v>72</v>
      </c>
      <c r="R115" s="1">
        <v>38913</v>
      </c>
      <c r="S115">
        <v>74.13</v>
      </c>
      <c r="T115">
        <v>1300</v>
      </c>
    </row>
    <row r="116" spans="1:20" x14ac:dyDescent="0.2">
      <c r="A116" t="s">
        <v>72</v>
      </c>
      <c r="B116" s="1">
        <v>37361</v>
      </c>
      <c r="C116">
        <v>45.06</v>
      </c>
      <c r="D116">
        <v>1000</v>
      </c>
      <c r="F116" t="s">
        <v>72</v>
      </c>
      <c r="G116" s="1">
        <v>38701</v>
      </c>
      <c r="H116">
        <v>62.5</v>
      </c>
      <c r="I116">
        <v>67.569999999999993</v>
      </c>
      <c r="J116">
        <v>1220</v>
      </c>
      <c r="L116" t="s">
        <v>72</v>
      </c>
      <c r="M116" s="1">
        <v>38457</v>
      </c>
      <c r="N116">
        <v>69.28</v>
      </c>
      <c r="O116">
        <v>1220</v>
      </c>
      <c r="Q116" t="s">
        <v>72</v>
      </c>
      <c r="R116" s="1">
        <v>38944</v>
      </c>
      <c r="S116">
        <v>75.36</v>
      </c>
      <c r="T116">
        <v>1300</v>
      </c>
    </row>
    <row r="117" spans="1:20" x14ac:dyDescent="0.2">
      <c r="A117" t="s">
        <v>72</v>
      </c>
      <c r="B117" s="1">
        <v>37422</v>
      </c>
      <c r="C117">
        <v>32.49</v>
      </c>
      <c r="D117">
        <v>1000</v>
      </c>
      <c r="F117" t="s">
        <v>72</v>
      </c>
      <c r="G117" s="1">
        <v>38763</v>
      </c>
      <c r="H117">
        <v>73.599999999999994</v>
      </c>
      <c r="I117">
        <v>77.069999999999993</v>
      </c>
      <c r="J117">
        <v>1220</v>
      </c>
      <c r="L117" t="s">
        <v>72</v>
      </c>
      <c r="M117" s="1">
        <v>38487</v>
      </c>
      <c r="N117">
        <v>75.66</v>
      </c>
      <c r="O117">
        <v>1220</v>
      </c>
      <c r="Q117" t="s">
        <v>72</v>
      </c>
      <c r="R117" s="1">
        <v>38975</v>
      </c>
      <c r="S117">
        <v>74.06</v>
      </c>
      <c r="T117">
        <v>1300</v>
      </c>
    </row>
    <row r="118" spans="1:20" x14ac:dyDescent="0.2">
      <c r="A118" t="s">
        <v>72</v>
      </c>
      <c r="B118" s="1">
        <v>37575</v>
      </c>
      <c r="C118">
        <v>33.03</v>
      </c>
      <c r="D118">
        <v>1000</v>
      </c>
      <c r="F118" t="s">
        <v>72</v>
      </c>
      <c r="G118" s="1">
        <v>38791</v>
      </c>
      <c r="H118">
        <v>73.099999999999994</v>
      </c>
      <c r="I118">
        <v>75.75</v>
      </c>
      <c r="J118">
        <v>1220</v>
      </c>
      <c r="L118" t="s">
        <v>72</v>
      </c>
      <c r="M118" s="1">
        <v>38518</v>
      </c>
      <c r="N118">
        <v>74.33</v>
      </c>
      <c r="O118">
        <v>1220</v>
      </c>
      <c r="Q118" t="s">
        <v>72</v>
      </c>
      <c r="R118" s="1">
        <v>39036</v>
      </c>
      <c r="S118">
        <v>70.83</v>
      </c>
      <c r="T118">
        <v>1600</v>
      </c>
    </row>
    <row r="119" spans="1:20" x14ac:dyDescent="0.2">
      <c r="A119" t="s">
        <v>72</v>
      </c>
      <c r="B119" s="1">
        <v>37667</v>
      </c>
      <c r="C119">
        <v>35.49</v>
      </c>
      <c r="D119">
        <v>1000</v>
      </c>
      <c r="F119" t="s">
        <v>72</v>
      </c>
      <c r="G119" s="1">
        <v>38822</v>
      </c>
      <c r="H119">
        <v>74.2</v>
      </c>
      <c r="I119">
        <v>77.86</v>
      </c>
      <c r="J119">
        <v>1220</v>
      </c>
      <c r="L119" t="s">
        <v>72</v>
      </c>
      <c r="M119" s="1">
        <v>38640</v>
      </c>
      <c r="N119">
        <v>71.989999999999995</v>
      </c>
      <c r="O119">
        <v>1220</v>
      </c>
      <c r="Q119" t="s">
        <v>72</v>
      </c>
      <c r="R119" s="1">
        <v>39128</v>
      </c>
      <c r="S119">
        <v>71.47</v>
      </c>
      <c r="T119">
        <v>1300</v>
      </c>
    </row>
    <row r="120" spans="1:20" x14ac:dyDescent="0.2">
      <c r="A120" t="s">
        <v>72</v>
      </c>
      <c r="B120" s="1">
        <v>37756</v>
      </c>
      <c r="C120">
        <v>36.950000000000003</v>
      </c>
      <c r="D120">
        <v>1000</v>
      </c>
      <c r="F120" t="s">
        <v>72</v>
      </c>
      <c r="G120" s="1">
        <v>38852</v>
      </c>
      <c r="H120">
        <v>75.400000000000006</v>
      </c>
      <c r="I120">
        <v>79.040000000000006</v>
      </c>
      <c r="J120">
        <v>1220</v>
      </c>
      <c r="L120" t="s">
        <v>72</v>
      </c>
      <c r="M120" s="1">
        <v>38701</v>
      </c>
      <c r="N120">
        <v>67.569999999999993</v>
      </c>
      <c r="O120">
        <v>1220</v>
      </c>
      <c r="Q120" t="s">
        <v>72</v>
      </c>
      <c r="R120" s="1">
        <v>39156</v>
      </c>
      <c r="S120">
        <v>68.61</v>
      </c>
      <c r="T120">
        <v>1300</v>
      </c>
    </row>
    <row r="121" spans="1:20" x14ac:dyDescent="0.2">
      <c r="A121" t="s">
        <v>72</v>
      </c>
      <c r="B121" s="1">
        <v>37817</v>
      </c>
      <c r="C121">
        <v>31.33</v>
      </c>
      <c r="D121">
        <v>1000</v>
      </c>
      <c r="F121" t="s">
        <v>72</v>
      </c>
      <c r="G121" s="1">
        <v>38883</v>
      </c>
      <c r="H121">
        <v>70.099999999999994</v>
      </c>
      <c r="I121">
        <v>73.56</v>
      </c>
      <c r="J121">
        <v>1220</v>
      </c>
      <c r="L121" t="s">
        <v>72</v>
      </c>
      <c r="M121" s="1">
        <v>38763</v>
      </c>
      <c r="N121">
        <v>77.069999999999993</v>
      </c>
      <c r="O121">
        <v>1220</v>
      </c>
      <c r="Q121" t="s">
        <v>72</v>
      </c>
      <c r="R121" s="1">
        <v>39209</v>
      </c>
      <c r="S121">
        <v>68.44</v>
      </c>
      <c r="T121">
        <v>1300</v>
      </c>
    </row>
    <row r="122" spans="1:20" x14ac:dyDescent="0.2">
      <c r="A122" t="s">
        <v>72</v>
      </c>
      <c r="B122" s="1">
        <v>37880</v>
      </c>
      <c r="C122">
        <v>36.5</v>
      </c>
      <c r="D122">
        <v>1300</v>
      </c>
      <c r="F122" t="s">
        <v>72</v>
      </c>
      <c r="G122" s="1">
        <v>38913</v>
      </c>
      <c r="H122">
        <v>70.5</v>
      </c>
      <c r="I122">
        <v>74.13</v>
      </c>
      <c r="J122">
        <v>1220</v>
      </c>
      <c r="L122" t="s">
        <v>72</v>
      </c>
      <c r="M122" s="1">
        <v>38791</v>
      </c>
      <c r="N122">
        <v>75.75</v>
      </c>
      <c r="O122">
        <v>1220</v>
      </c>
      <c r="Q122" t="s">
        <v>72</v>
      </c>
      <c r="R122" s="1">
        <v>39223</v>
      </c>
      <c r="S122">
        <v>60.59</v>
      </c>
      <c r="T122">
        <v>1300</v>
      </c>
    </row>
    <row r="123" spans="1:20" x14ac:dyDescent="0.2">
      <c r="A123" t="s">
        <v>72</v>
      </c>
      <c r="B123" s="1">
        <v>37940</v>
      </c>
      <c r="C123">
        <v>42.05</v>
      </c>
      <c r="D123">
        <v>1300</v>
      </c>
      <c r="F123" t="s">
        <v>72</v>
      </c>
      <c r="G123" s="1">
        <v>38944</v>
      </c>
      <c r="H123">
        <v>72.8</v>
      </c>
      <c r="I123">
        <v>75.36</v>
      </c>
      <c r="J123">
        <v>1220</v>
      </c>
      <c r="L123" t="s">
        <v>72</v>
      </c>
      <c r="M123" s="1">
        <v>38822</v>
      </c>
      <c r="N123">
        <v>77.86</v>
      </c>
      <c r="O123">
        <v>1220</v>
      </c>
      <c r="Q123" t="s">
        <v>72</v>
      </c>
      <c r="R123" s="1">
        <v>39248</v>
      </c>
      <c r="S123">
        <v>69.739999999999995</v>
      </c>
      <c r="T123">
        <v>1300</v>
      </c>
    </row>
    <row r="124" spans="1:20" x14ac:dyDescent="0.2">
      <c r="A124" t="s">
        <v>72</v>
      </c>
      <c r="B124" s="1">
        <v>37970</v>
      </c>
      <c r="C124">
        <v>42.59</v>
      </c>
      <c r="D124">
        <v>1300</v>
      </c>
      <c r="F124" t="s">
        <v>72</v>
      </c>
      <c r="G124" s="1">
        <v>38975</v>
      </c>
      <c r="H124">
        <v>70.8</v>
      </c>
      <c r="I124">
        <v>74.06</v>
      </c>
      <c r="J124">
        <v>1220</v>
      </c>
      <c r="L124" t="s">
        <v>72</v>
      </c>
      <c r="M124" s="1">
        <v>38852</v>
      </c>
      <c r="N124">
        <v>79.040000000000006</v>
      </c>
      <c r="O124">
        <v>1220</v>
      </c>
      <c r="Q124" t="s">
        <v>72</v>
      </c>
      <c r="R124" s="1">
        <v>39278</v>
      </c>
      <c r="S124">
        <v>64.099999999999994</v>
      </c>
      <c r="T124">
        <v>1300</v>
      </c>
    </row>
    <row r="125" spans="1:20" x14ac:dyDescent="0.2">
      <c r="A125" t="s">
        <v>72</v>
      </c>
      <c r="B125" s="1">
        <v>38032</v>
      </c>
      <c r="C125">
        <v>43.13</v>
      </c>
      <c r="D125">
        <v>1300</v>
      </c>
      <c r="F125" t="s">
        <v>72</v>
      </c>
      <c r="G125" s="1">
        <v>39036</v>
      </c>
      <c r="H125">
        <v>66.3</v>
      </c>
      <c r="I125">
        <v>70.83</v>
      </c>
      <c r="J125">
        <v>1220</v>
      </c>
      <c r="L125" t="s">
        <v>72</v>
      </c>
      <c r="M125" s="1">
        <v>38883</v>
      </c>
      <c r="N125">
        <v>73.56</v>
      </c>
      <c r="O125">
        <v>1220</v>
      </c>
      <c r="Q125" t="s">
        <v>72</v>
      </c>
      <c r="R125" s="1">
        <v>39340</v>
      </c>
      <c r="S125">
        <v>67.739999999999995</v>
      </c>
      <c r="T125">
        <v>1300</v>
      </c>
    </row>
    <row r="126" spans="1:20" x14ac:dyDescent="0.2">
      <c r="A126" t="s">
        <v>72</v>
      </c>
      <c r="B126" s="1">
        <v>38122</v>
      </c>
      <c r="C126">
        <v>43.96</v>
      </c>
      <c r="D126">
        <v>1300</v>
      </c>
      <c r="F126" t="s">
        <v>72</v>
      </c>
      <c r="G126" s="1">
        <v>39128</v>
      </c>
      <c r="H126">
        <v>67.400000000000006</v>
      </c>
      <c r="I126">
        <v>71.47</v>
      </c>
      <c r="J126">
        <v>1220</v>
      </c>
      <c r="L126" t="s">
        <v>72</v>
      </c>
      <c r="M126" s="1">
        <v>38913</v>
      </c>
      <c r="N126">
        <v>74.13</v>
      </c>
      <c r="O126">
        <v>1220</v>
      </c>
      <c r="Q126" t="s">
        <v>72</v>
      </c>
      <c r="R126" s="1">
        <v>39370</v>
      </c>
      <c r="S126">
        <v>65.2</v>
      </c>
      <c r="T126">
        <v>1300</v>
      </c>
    </row>
    <row r="127" spans="1:20" x14ac:dyDescent="0.2">
      <c r="A127" t="s">
        <v>72</v>
      </c>
      <c r="B127" s="1">
        <v>38183</v>
      </c>
      <c r="C127">
        <v>51</v>
      </c>
      <c r="D127">
        <v>1300</v>
      </c>
      <c r="F127" t="s">
        <v>72</v>
      </c>
      <c r="G127" s="1">
        <v>39156</v>
      </c>
      <c r="H127">
        <v>64.7</v>
      </c>
      <c r="I127">
        <v>68.61</v>
      </c>
      <c r="J127">
        <v>1220</v>
      </c>
      <c r="L127" t="s">
        <v>72</v>
      </c>
      <c r="M127" s="1">
        <v>38944</v>
      </c>
      <c r="N127">
        <v>75.36</v>
      </c>
      <c r="O127">
        <v>1220</v>
      </c>
      <c r="Q127" t="s">
        <v>72</v>
      </c>
      <c r="R127" s="1">
        <v>39401</v>
      </c>
      <c r="S127">
        <v>54.79</v>
      </c>
      <c r="T127">
        <v>1300</v>
      </c>
    </row>
    <row r="128" spans="1:20" x14ac:dyDescent="0.2">
      <c r="A128" t="s">
        <v>72</v>
      </c>
      <c r="B128" s="1">
        <v>38571</v>
      </c>
      <c r="C128">
        <v>51.72</v>
      </c>
      <c r="D128">
        <v>1300</v>
      </c>
      <c r="F128" t="s">
        <v>72</v>
      </c>
      <c r="G128" s="1">
        <v>39209</v>
      </c>
      <c r="H128">
        <v>63.1</v>
      </c>
      <c r="I128">
        <v>68.44</v>
      </c>
      <c r="J128">
        <v>1220</v>
      </c>
      <c r="L128" t="s">
        <v>72</v>
      </c>
      <c r="M128" s="1">
        <v>38975</v>
      </c>
      <c r="N128">
        <v>74.06</v>
      </c>
      <c r="O128">
        <v>1220</v>
      </c>
      <c r="Q128" t="s">
        <v>72</v>
      </c>
      <c r="R128" s="1">
        <v>39493</v>
      </c>
      <c r="S128">
        <v>56.24</v>
      </c>
      <c r="T128">
        <v>1300</v>
      </c>
    </row>
    <row r="129" spans="1:20" x14ac:dyDescent="0.2">
      <c r="A129" t="s">
        <v>72</v>
      </c>
      <c r="B129" s="1">
        <v>38585</v>
      </c>
      <c r="C129">
        <v>61.33</v>
      </c>
      <c r="D129">
        <v>1300</v>
      </c>
      <c r="F129" t="s">
        <v>72</v>
      </c>
      <c r="G129" s="1">
        <v>39223</v>
      </c>
      <c r="H129">
        <v>55.8</v>
      </c>
      <c r="I129">
        <v>60.59</v>
      </c>
      <c r="J129">
        <v>1220</v>
      </c>
      <c r="L129" t="s">
        <v>72</v>
      </c>
      <c r="M129" s="1">
        <v>39036</v>
      </c>
      <c r="N129">
        <v>70.83</v>
      </c>
      <c r="O129">
        <v>1220</v>
      </c>
      <c r="Q129" t="s">
        <v>72</v>
      </c>
      <c r="R129" s="1">
        <v>39553</v>
      </c>
      <c r="S129">
        <v>58.86</v>
      </c>
      <c r="T129">
        <v>1300</v>
      </c>
    </row>
    <row r="130" spans="1:20" x14ac:dyDescent="0.2">
      <c r="A130" t="s">
        <v>72</v>
      </c>
      <c r="B130" s="1">
        <v>38275</v>
      </c>
      <c r="C130">
        <v>56.35</v>
      </c>
      <c r="D130">
        <v>1300</v>
      </c>
      <c r="F130" t="s">
        <v>72</v>
      </c>
      <c r="G130" s="1">
        <v>39248</v>
      </c>
      <c r="H130">
        <v>65</v>
      </c>
      <c r="I130">
        <v>69.739999999999995</v>
      </c>
      <c r="J130">
        <v>1220</v>
      </c>
      <c r="L130" t="s">
        <v>72</v>
      </c>
      <c r="M130" s="1">
        <v>39128</v>
      </c>
      <c r="N130">
        <v>71.47</v>
      </c>
      <c r="O130">
        <v>1220</v>
      </c>
      <c r="Q130" t="s">
        <v>72</v>
      </c>
      <c r="R130" s="1">
        <v>39583</v>
      </c>
      <c r="S130">
        <v>60.72</v>
      </c>
      <c r="T130">
        <v>1300</v>
      </c>
    </row>
    <row r="131" spans="1:20" x14ac:dyDescent="0.2">
      <c r="A131" t="s">
        <v>72</v>
      </c>
      <c r="B131" s="1">
        <v>38306</v>
      </c>
      <c r="C131">
        <v>67.33</v>
      </c>
      <c r="D131">
        <v>1300</v>
      </c>
      <c r="F131" t="s">
        <v>72</v>
      </c>
      <c r="G131" s="1">
        <v>39278</v>
      </c>
      <c r="H131">
        <v>60</v>
      </c>
      <c r="I131">
        <v>64.099999999999994</v>
      </c>
      <c r="J131">
        <v>1220</v>
      </c>
      <c r="L131" t="s">
        <v>72</v>
      </c>
      <c r="M131" s="1">
        <v>39156</v>
      </c>
      <c r="N131">
        <v>68.61</v>
      </c>
      <c r="O131">
        <v>1220</v>
      </c>
      <c r="Q131" t="s">
        <v>72</v>
      </c>
      <c r="R131" s="1">
        <v>39614</v>
      </c>
      <c r="S131">
        <v>62.18</v>
      </c>
      <c r="T131">
        <v>1300</v>
      </c>
    </row>
    <row r="132" spans="1:20" x14ac:dyDescent="0.2">
      <c r="A132" t="s">
        <v>72</v>
      </c>
      <c r="B132" s="1">
        <v>38367</v>
      </c>
      <c r="C132">
        <v>66.739999999999995</v>
      </c>
      <c r="D132">
        <v>1300</v>
      </c>
      <c r="F132" t="s">
        <v>72</v>
      </c>
      <c r="G132" s="1">
        <v>39340</v>
      </c>
      <c r="H132">
        <v>63.4</v>
      </c>
      <c r="I132">
        <v>67.739999999999995</v>
      </c>
      <c r="J132">
        <v>1220</v>
      </c>
      <c r="L132" t="s">
        <v>72</v>
      </c>
      <c r="M132" s="1">
        <v>39209</v>
      </c>
      <c r="N132">
        <v>68.44</v>
      </c>
      <c r="O132">
        <v>1220</v>
      </c>
      <c r="Q132" t="s">
        <v>72</v>
      </c>
      <c r="R132" s="1">
        <v>39644</v>
      </c>
      <c r="S132">
        <v>63.76</v>
      </c>
      <c r="T132">
        <v>1300</v>
      </c>
    </row>
    <row r="133" spans="1:20" x14ac:dyDescent="0.2">
      <c r="A133" t="s">
        <v>72</v>
      </c>
      <c r="B133" s="1">
        <v>38426</v>
      </c>
      <c r="C133">
        <v>72.31</v>
      </c>
      <c r="D133">
        <v>1300</v>
      </c>
      <c r="F133" t="s">
        <v>72</v>
      </c>
      <c r="G133" s="1">
        <v>39370</v>
      </c>
      <c r="H133">
        <v>62.2</v>
      </c>
      <c r="I133">
        <v>65.2</v>
      </c>
      <c r="J133">
        <v>1220</v>
      </c>
      <c r="L133" t="s">
        <v>72</v>
      </c>
      <c r="M133" s="1">
        <v>39223</v>
      </c>
      <c r="N133">
        <v>60.59</v>
      </c>
      <c r="O133">
        <v>1220</v>
      </c>
      <c r="Q133" t="s">
        <v>72</v>
      </c>
      <c r="R133" s="1">
        <v>39675</v>
      </c>
      <c r="S133">
        <v>60.54</v>
      </c>
      <c r="T133">
        <v>1300</v>
      </c>
    </row>
    <row r="134" spans="1:20" x14ac:dyDescent="0.2">
      <c r="A134" t="s">
        <v>72</v>
      </c>
      <c r="B134" s="1">
        <v>38457</v>
      </c>
      <c r="C134">
        <v>69.28</v>
      </c>
      <c r="D134">
        <v>1300</v>
      </c>
      <c r="F134" t="s">
        <v>72</v>
      </c>
      <c r="G134" s="1">
        <v>39401</v>
      </c>
      <c r="H134">
        <v>52</v>
      </c>
      <c r="I134">
        <v>54.79</v>
      </c>
      <c r="J134">
        <v>1220</v>
      </c>
      <c r="L134" t="s">
        <v>72</v>
      </c>
      <c r="M134" s="1">
        <v>39248</v>
      </c>
      <c r="N134">
        <v>69.739999999999995</v>
      </c>
      <c r="O134">
        <v>1220</v>
      </c>
      <c r="Q134" t="s">
        <v>72</v>
      </c>
      <c r="R134" s="1">
        <v>39706</v>
      </c>
      <c r="S134">
        <v>60.92</v>
      </c>
      <c r="T134">
        <v>1300</v>
      </c>
    </row>
    <row r="135" spans="1:20" x14ac:dyDescent="0.2">
      <c r="A135" t="s">
        <v>72</v>
      </c>
      <c r="B135" s="1">
        <v>38487</v>
      </c>
      <c r="C135">
        <v>75.66</v>
      </c>
      <c r="D135">
        <v>1300</v>
      </c>
      <c r="F135" t="s">
        <v>72</v>
      </c>
      <c r="G135" s="1">
        <v>39493</v>
      </c>
      <c r="H135">
        <v>51.8</v>
      </c>
      <c r="I135">
        <v>56.24</v>
      </c>
      <c r="J135">
        <v>1220</v>
      </c>
      <c r="L135" t="s">
        <v>72</v>
      </c>
      <c r="M135" s="1">
        <v>39278</v>
      </c>
      <c r="N135">
        <v>64.099999999999994</v>
      </c>
      <c r="O135">
        <v>1220</v>
      </c>
      <c r="Q135" t="s">
        <v>72</v>
      </c>
      <c r="R135" s="1">
        <v>39767</v>
      </c>
      <c r="S135">
        <v>61.81</v>
      </c>
      <c r="T135">
        <v>1300</v>
      </c>
    </row>
    <row r="136" spans="1:20" x14ac:dyDescent="0.2">
      <c r="A136" t="s">
        <v>72</v>
      </c>
      <c r="B136" s="1">
        <v>38518</v>
      </c>
      <c r="C136">
        <v>74.33</v>
      </c>
      <c r="D136">
        <v>1300</v>
      </c>
      <c r="F136" t="s">
        <v>72</v>
      </c>
      <c r="G136" s="1">
        <v>39553</v>
      </c>
      <c r="H136">
        <v>55.8</v>
      </c>
      <c r="I136">
        <v>58.86</v>
      </c>
      <c r="J136">
        <v>1220</v>
      </c>
      <c r="L136" t="s">
        <v>72</v>
      </c>
      <c r="M136" s="1">
        <v>39340</v>
      </c>
      <c r="N136">
        <v>67.739999999999995</v>
      </c>
      <c r="O136">
        <v>1220</v>
      </c>
      <c r="Q136" t="s">
        <v>72</v>
      </c>
      <c r="R136" s="1">
        <v>39797</v>
      </c>
      <c r="S136">
        <v>62.12</v>
      </c>
      <c r="T136">
        <v>1300</v>
      </c>
    </row>
    <row r="137" spans="1:20" x14ac:dyDescent="0.2">
      <c r="A137" t="s">
        <v>72</v>
      </c>
      <c r="B137" s="1">
        <v>38640</v>
      </c>
      <c r="C137">
        <v>71.989999999999995</v>
      </c>
      <c r="D137">
        <v>1300</v>
      </c>
      <c r="F137" t="s">
        <v>72</v>
      </c>
      <c r="G137" s="1">
        <v>39583</v>
      </c>
      <c r="H137">
        <v>55.5</v>
      </c>
      <c r="I137">
        <v>60.72</v>
      </c>
      <c r="J137">
        <v>1220</v>
      </c>
      <c r="L137" t="s">
        <v>72</v>
      </c>
      <c r="M137" s="1">
        <v>39370</v>
      </c>
      <c r="N137">
        <v>65.2</v>
      </c>
      <c r="O137">
        <v>1220</v>
      </c>
      <c r="Q137" t="s">
        <v>72</v>
      </c>
      <c r="R137" s="1">
        <v>39828</v>
      </c>
      <c r="S137">
        <v>51.99</v>
      </c>
      <c r="T137">
        <v>1300</v>
      </c>
    </row>
    <row r="138" spans="1:20" x14ac:dyDescent="0.2">
      <c r="A138" t="s">
        <v>72</v>
      </c>
      <c r="B138" s="1">
        <v>38701</v>
      </c>
      <c r="C138">
        <v>67.569999999999993</v>
      </c>
      <c r="D138">
        <v>1300</v>
      </c>
      <c r="F138" t="s">
        <v>72</v>
      </c>
      <c r="G138" s="1">
        <v>39614</v>
      </c>
      <c r="H138">
        <v>57.7</v>
      </c>
      <c r="I138">
        <v>62.18</v>
      </c>
      <c r="J138">
        <v>1220</v>
      </c>
      <c r="L138" t="s">
        <v>72</v>
      </c>
      <c r="M138" s="1">
        <v>39401</v>
      </c>
      <c r="N138">
        <v>54.79</v>
      </c>
      <c r="O138">
        <v>1220</v>
      </c>
      <c r="Q138" t="s">
        <v>72</v>
      </c>
      <c r="R138" s="1">
        <v>39859</v>
      </c>
      <c r="S138">
        <v>56.69</v>
      </c>
      <c r="T138">
        <v>1300</v>
      </c>
    </row>
    <row r="139" spans="1:20" x14ac:dyDescent="0.2">
      <c r="A139" t="s">
        <v>72</v>
      </c>
      <c r="B139" s="1">
        <v>38763</v>
      </c>
      <c r="C139">
        <v>77.069999999999993</v>
      </c>
      <c r="D139">
        <v>1300</v>
      </c>
      <c r="F139" t="s">
        <v>72</v>
      </c>
      <c r="G139" s="1">
        <v>39644</v>
      </c>
      <c r="H139">
        <v>58.4</v>
      </c>
      <c r="I139">
        <v>63.76</v>
      </c>
      <c r="J139">
        <v>1220</v>
      </c>
      <c r="L139" t="s">
        <v>72</v>
      </c>
      <c r="M139" s="1">
        <v>39493</v>
      </c>
      <c r="N139">
        <v>56.24</v>
      </c>
      <c r="O139">
        <v>1220</v>
      </c>
      <c r="Q139" t="s">
        <v>72</v>
      </c>
      <c r="R139" s="1">
        <v>39872</v>
      </c>
      <c r="S139">
        <v>64.08</v>
      </c>
      <c r="T139">
        <v>1300</v>
      </c>
    </row>
    <row r="140" spans="1:20" x14ac:dyDescent="0.2">
      <c r="A140" t="s">
        <v>72</v>
      </c>
      <c r="B140" s="1">
        <v>38791</v>
      </c>
      <c r="C140">
        <v>75.75</v>
      </c>
      <c r="D140">
        <v>1300</v>
      </c>
      <c r="F140" t="s">
        <v>72</v>
      </c>
      <c r="G140" s="1">
        <v>39675</v>
      </c>
      <c r="H140">
        <v>58</v>
      </c>
      <c r="I140">
        <v>60.54</v>
      </c>
      <c r="J140">
        <v>1220</v>
      </c>
      <c r="L140" t="s">
        <v>72</v>
      </c>
      <c r="M140" s="1">
        <v>39553</v>
      </c>
      <c r="N140">
        <v>58.86</v>
      </c>
      <c r="O140">
        <v>1220</v>
      </c>
      <c r="Q140" t="s">
        <v>72</v>
      </c>
      <c r="R140" s="1">
        <v>39887</v>
      </c>
      <c r="S140">
        <v>65.959999999999994</v>
      </c>
      <c r="T140">
        <v>1300</v>
      </c>
    </row>
    <row r="141" spans="1:20" x14ac:dyDescent="0.2">
      <c r="A141" t="s">
        <v>72</v>
      </c>
      <c r="B141" s="1">
        <v>38822</v>
      </c>
      <c r="C141">
        <v>77.86</v>
      </c>
      <c r="D141">
        <v>1300</v>
      </c>
      <c r="F141" t="s">
        <v>72</v>
      </c>
      <c r="G141" s="1">
        <v>39706</v>
      </c>
      <c r="H141">
        <v>56.9</v>
      </c>
      <c r="I141">
        <v>60.92</v>
      </c>
      <c r="J141">
        <v>1220</v>
      </c>
      <c r="L141" t="s">
        <v>72</v>
      </c>
      <c r="M141" s="1">
        <v>39583</v>
      </c>
      <c r="N141">
        <v>60.72</v>
      </c>
      <c r="O141">
        <v>1220</v>
      </c>
      <c r="Q141" t="s">
        <v>72</v>
      </c>
      <c r="R141" s="1">
        <v>39918</v>
      </c>
      <c r="S141">
        <v>58.38</v>
      </c>
      <c r="T141">
        <v>1300</v>
      </c>
    </row>
    <row r="142" spans="1:20" x14ac:dyDescent="0.2">
      <c r="A142" t="s">
        <v>72</v>
      </c>
      <c r="B142" s="1">
        <v>38852</v>
      </c>
      <c r="C142">
        <v>79.040000000000006</v>
      </c>
      <c r="D142">
        <v>1300</v>
      </c>
      <c r="F142" t="s">
        <v>72</v>
      </c>
      <c r="G142" s="1">
        <v>39767</v>
      </c>
      <c r="H142">
        <v>57.3</v>
      </c>
      <c r="I142">
        <v>61.81</v>
      </c>
      <c r="J142">
        <v>1220</v>
      </c>
      <c r="L142" t="s">
        <v>72</v>
      </c>
      <c r="M142" s="1">
        <v>39614</v>
      </c>
      <c r="N142">
        <v>62.18</v>
      </c>
      <c r="O142">
        <v>1220</v>
      </c>
      <c r="Q142" t="s">
        <v>72</v>
      </c>
      <c r="R142" s="1">
        <v>39948</v>
      </c>
      <c r="S142">
        <v>56.24</v>
      </c>
      <c r="T142">
        <v>1300</v>
      </c>
    </row>
    <row r="143" spans="1:20" x14ac:dyDescent="0.2">
      <c r="A143" t="s">
        <v>72</v>
      </c>
      <c r="B143" s="1">
        <v>38883</v>
      </c>
      <c r="C143">
        <v>73.56</v>
      </c>
      <c r="D143">
        <v>1300</v>
      </c>
      <c r="F143" t="s">
        <v>72</v>
      </c>
      <c r="G143" s="1">
        <v>39797</v>
      </c>
      <c r="H143">
        <v>57.9</v>
      </c>
      <c r="I143">
        <v>62.12</v>
      </c>
      <c r="J143">
        <v>1220</v>
      </c>
      <c r="L143" t="s">
        <v>72</v>
      </c>
      <c r="M143" s="1">
        <v>39644</v>
      </c>
      <c r="N143">
        <v>63.76</v>
      </c>
      <c r="O143">
        <v>1220</v>
      </c>
      <c r="Q143" t="s">
        <v>72</v>
      </c>
      <c r="R143" s="1">
        <v>39979</v>
      </c>
      <c r="S143">
        <v>55.46</v>
      </c>
      <c r="T143">
        <v>1300</v>
      </c>
    </row>
    <row r="144" spans="1:20" x14ac:dyDescent="0.2">
      <c r="A144" t="s">
        <v>72</v>
      </c>
      <c r="B144" s="1">
        <v>38913</v>
      </c>
      <c r="C144">
        <v>74.13</v>
      </c>
      <c r="D144">
        <v>1300</v>
      </c>
      <c r="F144" t="s">
        <v>72</v>
      </c>
      <c r="G144" s="1">
        <v>39828</v>
      </c>
      <c r="H144">
        <v>51</v>
      </c>
      <c r="I144">
        <v>51.99</v>
      </c>
      <c r="J144">
        <v>1220</v>
      </c>
      <c r="L144" t="s">
        <v>72</v>
      </c>
      <c r="M144" s="1">
        <v>39675</v>
      </c>
      <c r="N144">
        <v>60.54</v>
      </c>
      <c r="O144">
        <v>1220</v>
      </c>
      <c r="Q144" t="s">
        <v>72</v>
      </c>
      <c r="R144" s="1">
        <v>40009</v>
      </c>
      <c r="S144">
        <v>59.63</v>
      </c>
      <c r="T144">
        <v>1300</v>
      </c>
    </row>
    <row r="145" spans="1:20" x14ac:dyDescent="0.2">
      <c r="A145" t="s">
        <v>72</v>
      </c>
      <c r="B145" s="1">
        <v>38944</v>
      </c>
      <c r="C145">
        <v>75.36</v>
      </c>
      <c r="D145">
        <v>1300</v>
      </c>
      <c r="F145" t="s">
        <v>72</v>
      </c>
      <c r="G145" s="1">
        <v>39859</v>
      </c>
      <c r="H145">
        <v>53.8</v>
      </c>
      <c r="I145">
        <v>56.69</v>
      </c>
      <c r="J145">
        <v>1220</v>
      </c>
      <c r="L145" t="s">
        <v>72</v>
      </c>
      <c r="M145" s="1">
        <v>39706</v>
      </c>
      <c r="N145">
        <v>60.92</v>
      </c>
      <c r="O145">
        <v>1220</v>
      </c>
      <c r="Q145" t="s">
        <v>72</v>
      </c>
      <c r="R145" s="1">
        <v>40071</v>
      </c>
      <c r="S145">
        <v>55.29</v>
      </c>
      <c r="T145">
        <v>1300</v>
      </c>
    </row>
    <row r="146" spans="1:20" x14ac:dyDescent="0.2">
      <c r="A146" t="s">
        <v>72</v>
      </c>
      <c r="B146" s="1">
        <v>38975</v>
      </c>
      <c r="C146">
        <v>74.06</v>
      </c>
      <c r="D146">
        <v>1300</v>
      </c>
      <c r="F146" t="s">
        <v>72</v>
      </c>
      <c r="G146" s="1">
        <v>39872</v>
      </c>
      <c r="H146">
        <v>61</v>
      </c>
      <c r="I146">
        <v>64.08</v>
      </c>
      <c r="J146">
        <v>1220</v>
      </c>
      <c r="L146" t="s">
        <v>72</v>
      </c>
      <c r="M146" s="1">
        <v>39767</v>
      </c>
      <c r="N146">
        <v>61.81</v>
      </c>
      <c r="O146">
        <v>1220</v>
      </c>
      <c r="Q146" t="s">
        <v>72</v>
      </c>
      <c r="R146" s="1">
        <v>40094</v>
      </c>
      <c r="S146">
        <v>50</v>
      </c>
      <c r="T146">
        <v>1300</v>
      </c>
    </row>
    <row r="147" spans="1:20" x14ac:dyDescent="0.2">
      <c r="A147" t="s">
        <v>72</v>
      </c>
      <c r="B147" s="1">
        <v>39036</v>
      </c>
      <c r="C147">
        <v>70.83</v>
      </c>
      <c r="D147">
        <v>1600</v>
      </c>
      <c r="F147" t="s">
        <v>72</v>
      </c>
      <c r="G147" s="1">
        <v>39887</v>
      </c>
      <c r="H147">
        <v>59.3</v>
      </c>
      <c r="I147">
        <v>65.959999999999994</v>
      </c>
      <c r="J147">
        <v>1220</v>
      </c>
      <c r="L147" t="s">
        <v>72</v>
      </c>
      <c r="M147" s="1">
        <v>39797</v>
      </c>
      <c r="N147">
        <v>62.12</v>
      </c>
      <c r="O147">
        <v>1220</v>
      </c>
      <c r="Q147" t="s">
        <v>72</v>
      </c>
      <c r="R147" s="1">
        <v>40132</v>
      </c>
      <c r="S147">
        <v>53.42</v>
      </c>
      <c r="T147">
        <v>1300</v>
      </c>
    </row>
    <row r="148" spans="1:20" x14ac:dyDescent="0.2">
      <c r="A148" t="s">
        <v>72</v>
      </c>
      <c r="B148" s="1">
        <v>39128</v>
      </c>
      <c r="C148">
        <v>71.47</v>
      </c>
      <c r="D148">
        <v>1300</v>
      </c>
      <c r="F148" t="s">
        <v>72</v>
      </c>
      <c r="G148" s="1">
        <v>39918</v>
      </c>
      <c r="H148">
        <v>55.4</v>
      </c>
      <c r="I148">
        <v>58.38</v>
      </c>
      <c r="J148">
        <v>1220</v>
      </c>
      <c r="L148" t="s">
        <v>72</v>
      </c>
      <c r="M148" s="1">
        <v>39828</v>
      </c>
      <c r="N148">
        <v>51.99</v>
      </c>
      <c r="O148">
        <v>1220</v>
      </c>
      <c r="Q148" t="s">
        <v>72</v>
      </c>
      <c r="R148" s="1">
        <v>40162</v>
      </c>
      <c r="S148">
        <v>51.04</v>
      </c>
      <c r="T148">
        <v>1300</v>
      </c>
    </row>
    <row r="149" spans="1:20" x14ac:dyDescent="0.2">
      <c r="A149" t="s">
        <v>72</v>
      </c>
      <c r="B149" s="1">
        <v>39156</v>
      </c>
      <c r="C149">
        <v>68.61</v>
      </c>
      <c r="D149">
        <v>1300</v>
      </c>
      <c r="F149" t="s">
        <v>72</v>
      </c>
      <c r="G149" s="1">
        <v>39948</v>
      </c>
      <c r="H149">
        <v>53.2</v>
      </c>
      <c r="I149">
        <v>56.24</v>
      </c>
      <c r="J149">
        <v>1220</v>
      </c>
      <c r="L149" t="s">
        <v>72</v>
      </c>
      <c r="M149" s="1">
        <v>39859</v>
      </c>
      <c r="N149">
        <v>56.69</v>
      </c>
      <c r="O149">
        <v>1220</v>
      </c>
      <c r="Q149" t="s">
        <v>72</v>
      </c>
      <c r="R149" s="1">
        <v>40224</v>
      </c>
      <c r="S149">
        <v>44.56</v>
      </c>
      <c r="T149">
        <v>1300</v>
      </c>
    </row>
    <row r="150" spans="1:20" x14ac:dyDescent="0.2">
      <c r="A150" t="s">
        <v>72</v>
      </c>
      <c r="B150" s="1">
        <v>39209</v>
      </c>
      <c r="C150">
        <v>68.44</v>
      </c>
      <c r="D150">
        <v>1300</v>
      </c>
      <c r="F150" t="s">
        <v>72</v>
      </c>
      <c r="G150" s="1">
        <v>39979</v>
      </c>
      <c r="H150">
        <v>52.3</v>
      </c>
      <c r="I150">
        <v>55.46</v>
      </c>
      <c r="J150">
        <v>1220</v>
      </c>
      <c r="L150" t="s">
        <v>72</v>
      </c>
      <c r="M150" s="1">
        <v>39872</v>
      </c>
      <c r="N150">
        <v>64.08</v>
      </c>
      <c r="O150">
        <v>1220</v>
      </c>
      <c r="Q150" t="s">
        <v>72</v>
      </c>
      <c r="R150" s="1">
        <v>40283</v>
      </c>
      <c r="S150">
        <v>46.54</v>
      </c>
      <c r="T150">
        <v>1300</v>
      </c>
    </row>
    <row r="151" spans="1:20" x14ac:dyDescent="0.2">
      <c r="A151" t="s">
        <v>72</v>
      </c>
      <c r="B151" s="1">
        <v>39223</v>
      </c>
      <c r="C151">
        <v>60.59</v>
      </c>
      <c r="D151">
        <v>1300</v>
      </c>
      <c r="F151" t="s">
        <v>72</v>
      </c>
      <c r="G151" s="1">
        <v>40009</v>
      </c>
      <c r="H151">
        <v>57.3</v>
      </c>
      <c r="I151">
        <v>59.63</v>
      </c>
      <c r="J151">
        <v>1220</v>
      </c>
      <c r="L151" t="s">
        <v>72</v>
      </c>
      <c r="M151" s="1">
        <v>39887</v>
      </c>
      <c r="N151">
        <v>65.959999999999994</v>
      </c>
      <c r="O151">
        <v>1220</v>
      </c>
      <c r="Q151" t="s">
        <v>72</v>
      </c>
      <c r="R151" s="1">
        <v>40313</v>
      </c>
      <c r="S151">
        <v>50</v>
      </c>
      <c r="T151">
        <v>1300</v>
      </c>
    </row>
    <row r="152" spans="1:20" x14ac:dyDescent="0.2">
      <c r="A152" t="s">
        <v>72</v>
      </c>
      <c r="B152" s="1">
        <v>39248</v>
      </c>
      <c r="C152">
        <v>69.739999999999995</v>
      </c>
      <c r="D152">
        <v>1300</v>
      </c>
      <c r="F152" t="s">
        <v>72</v>
      </c>
      <c r="G152" s="1">
        <v>40071</v>
      </c>
      <c r="H152">
        <v>52.8</v>
      </c>
      <c r="I152">
        <v>55.29</v>
      </c>
      <c r="J152">
        <v>1220</v>
      </c>
      <c r="L152" t="s">
        <v>72</v>
      </c>
      <c r="M152" s="1">
        <v>39918</v>
      </c>
      <c r="N152">
        <v>58.38</v>
      </c>
      <c r="O152">
        <v>1220</v>
      </c>
      <c r="Q152" t="s">
        <v>72</v>
      </c>
      <c r="R152" s="1">
        <v>40344</v>
      </c>
      <c r="S152">
        <v>48.45</v>
      </c>
      <c r="T152">
        <v>1300</v>
      </c>
    </row>
    <row r="153" spans="1:20" x14ac:dyDescent="0.2">
      <c r="A153" t="s">
        <v>72</v>
      </c>
      <c r="B153" s="1">
        <v>39278</v>
      </c>
      <c r="C153">
        <v>64.099999999999994</v>
      </c>
      <c r="D153">
        <v>1300</v>
      </c>
      <c r="F153" t="s">
        <v>72</v>
      </c>
      <c r="G153" s="1">
        <v>40094</v>
      </c>
      <c r="H153">
        <v>46.2</v>
      </c>
      <c r="I153">
        <v>50</v>
      </c>
      <c r="J153">
        <v>1220</v>
      </c>
      <c r="L153" t="s">
        <v>72</v>
      </c>
      <c r="M153" s="1">
        <v>39948</v>
      </c>
      <c r="N153">
        <v>56.24</v>
      </c>
      <c r="O153">
        <v>1220</v>
      </c>
      <c r="Q153" t="s">
        <v>72</v>
      </c>
      <c r="R153" s="1">
        <v>40405</v>
      </c>
      <c r="S153">
        <v>46.23</v>
      </c>
      <c r="T153">
        <v>1300</v>
      </c>
    </row>
    <row r="154" spans="1:20" x14ac:dyDescent="0.2">
      <c r="A154" t="s">
        <v>72</v>
      </c>
      <c r="B154" s="1">
        <v>39340</v>
      </c>
      <c r="C154">
        <v>67.739999999999995</v>
      </c>
      <c r="D154">
        <v>1300</v>
      </c>
      <c r="F154" t="s">
        <v>72</v>
      </c>
      <c r="G154" s="1">
        <v>40132</v>
      </c>
      <c r="H154">
        <v>50.8</v>
      </c>
      <c r="I154">
        <v>53.42</v>
      </c>
      <c r="J154">
        <v>1220</v>
      </c>
      <c r="L154" t="s">
        <v>72</v>
      </c>
      <c r="M154" s="1">
        <v>39979</v>
      </c>
      <c r="N154">
        <v>55.46</v>
      </c>
      <c r="O154">
        <v>1220</v>
      </c>
      <c r="Q154" t="s">
        <v>72</v>
      </c>
      <c r="R154" s="1">
        <v>40436</v>
      </c>
      <c r="S154">
        <v>47.38</v>
      </c>
      <c r="T154">
        <v>1300</v>
      </c>
    </row>
    <row r="155" spans="1:20" x14ac:dyDescent="0.2">
      <c r="A155" t="s">
        <v>72</v>
      </c>
      <c r="B155" s="1">
        <v>39370</v>
      </c>
      <c r="C155">
        <v>65.2</v>
      </c>
      <c r="D155">
        <v>1300</v>
      </c>
      <c r="F155" t="s">
        <v>72</v>
      </c>
      <c r="G155" s="1">
        <v>40162</v>
      </c>
      <c r="H155">
        <v>46.7</v>
      </c>
      <c r="I155">
        <v>51.04</v>
      </c>
      <c r="J155">
        <v>1220</v>
      </c>
      <c r="L155" t="s">
        <v>72</v>
      </c>
      <c r="M155" s="1">
        <v>40009</v>
      </c>
      <c r="N155">
        <v>59.63</v>
      </c>
      <c r="O155">
        <v>1220</v>
      </c>
      <c r="Q155" t="s">
        <v>72</v>
      </c>
      <c r="R155" s="1">
        <v>40497</v>
      </c>
      <c r="S155">
        <v>48.87</v>
      </c>
      <c r="T155">
        <v>1300</v>
      </c>
    </row>
    <row r="156" spans="1:20" x14ac:dyDescent="0.2">
      <c r="A156" t="s">
        <v>72</v>
      </c>
      <c r="B156" s="1">
        <v>39401</v>
      </c>
      <c r="C156">
        <v>54.79</v>
      </c>
      <c r="D156">
        <v>1300</v>
      </c>
      <c r="F156" t="s">
        <v>72</v>
      </c>
      <c r="G156" s="1">
        <v>40224</v>
      </c>
      <c r="H156">
        <v>42.6</v>
      </c>
      <c r="I156">
        <v>44.56</v>
      </c>
      <c r="J156">
        <v>1220</v>
      </c>
      <c r="L156" t="s">
        <v>72</v>
      </c>
      <c r="M156" s="1">
        <v>40071</v>
      </c>
      <c r="N156">
        <v>55.29</v>
      </c>
      <c r="O156">
        <v>1220</v>
      </c>
      <c r="Q156" t="s">
        <v>72</v>
      </c>
      <c r="R156" s="1">
        <v>40527</v>
      </c>
      <c r="S156">
        <v>54.89</v>
      </c>
      <c r="T156">
        <v>1300</v>
      </c>
    </row>
    <row r="157" spans="1:20" x14ac:dyDescent="0.2">
      <c r="A157" t="s">
        <v>72</v>
      </c>
      <c r="B157" s="1">
        <v>39493</v>
      </c>
      <c r="C157">
        <v>56.24</v>
      </c>
      <c r="D157">
        <v>1300</v>
      </c>
      <c r="F157" t="s">
        <v>72</v>
      </c>
      <c r="G157" s="1">
        <v>40283</v>
      </c>
      <c r="H157">
        <v>44.4</v>
      </c>
      <c r="I157">
        <v>46.54</v>
      </c>
      <c r="J157">
        <v>1220</v>
      </c>
      <c r="L157" t="s">
        <v>72</v>
      </c>
      <c r="M157" s="1">
        <v>40094</v>
      </c>
      <c r="N157">
        <v>50</v>
      </c>
      <c r="O157">
        <v>1220</v>
      </c>
      <c r="Q157" t="s">
        <v>72</v>
      </c>
      <c r="R157" s="1">
        <v>40589</v>
      </c>
      <c r="S157">
        <v>56.58</v>
      </c>
      <c r="T157">
        <v>1300</v>
      </c>
    </row>
    <row r="158" spans="1:20" x14ac:dyDescent="0.2">
      <c r="A158" t="s">
        <v>72</v>
      </c>
      <c r="B158" s="1">
        <v>39553</v>
      </c>
      <c r="C158">
        <v>58.86</v>
      </c>
      <c r="D158">
        <v>1300</v>
      </c>
      <c r="F158" t="s">
        <v>72</v>
      </c>
      <c r="G158" s="1">
        <v>40313</v>
      </c>
      <c r="H158">
        <v>48</v>
      </c>
      <c r="I158">
        <v>50</v>
      </c>
      <c r="J158">
        <v>1220</v>
      </c>
      <c r="L158" t="s">
        <v>72</v>
      </c>
      <c r="M158" s="1">
        <v>40132</v>
      </c>
      <c r="N158">
        <v>53.42</v>
      </c>
      <c r="O158">
        <v>1220</v>
      </c>
      <c r="Q158" t="s">
        <v>72</v>
      </c>
      <c r="R158" s="1">
        <v>40648</v>
      </c>
      <c r="S158">
        <v>53.96</v>
      </c>
      <c r="T158">
        <v>1300</v>
      </c>
    </row>
    <row r="159" spans="1:20" x14ac:dyDescent="0.2">
      <c r="A159" t="s">
        <v>72</v>
      </c>
      <c r="B159" s="1">
        <v>39583</v>
      </c>
      <c r="C159">
        <v>60.72</v>
      </c>
      <c r="D159">
        <v>1300</v>
      </c>
      <c r="F159" t="s">
        <v>72</v>
      </c>
      <c r="G159" s="1">
        <v>40344</v>
      </c>
      <c r="H159">
        <v>47</v>
      </c>
      <c r="I159">
        <v>48.45</v>
      </c>
      <c r="J159">
        <v>1220</v>
      </c>
      <c r="L159" t="s">
        <v>72</v>
      </c>
      <c r="M159" s="1">
        <v>40162</v>
      </c>
      <c r="N159">
        <v>51.04</v>
      </c>
      <c r="O159">
        <v>1220</v>
      </c>
      <c r="Q159" t="s">
        <v>72</v>
      </c>
      <c r="R159" s="1">
        <v>40678</v>
      </c>
      <c r="S159">
        <v>51.52</v>
      </c>
      <c r="T159">
        <v>1300</v>
      </c>
    </row>
    <row r="160" spans="1:20" x14ac:dyDescent="0.2">
      <c r="A160" t="s">
        <v>72</v>
      </c>
      <c r="B160" s="1">
        <v>39614</v>
      </c>
      <c r="C160">
        <v>62.18</v>
      </c>
      <c r="D160">
        <v>1300</v>
      </c>
      <c r="F160" t="s">
        <v>72</v>
      </c>
      <c r="G160" s="1">
        <v>40405</v>
      </c>
      <c r="H160">
        <v>44.7</v>
      </c>
      <c r="I160">
        <v>46.23</v>
      </c>
      <c r="J160">
        <v>1220</v>
      </c>
      <c r="L160" t="s">
        <v>72</v>
      </c>
      <c r="M160" s="1">
        <v>40224</v>
      </c>
      <c r="N160">
        <v>44.56</v>
      </c>
      <c r="O160">
        <v>1220</v>
      </c>
      <c r="Q160" t="s">
        <v>72</v>
      </c>
      <c r="R160" s="1">
        <v>40709</v>
      </c>
      <c r="S160">
        <v>55.1</v>
      </c>
      <c r="T160">
        <v>1300</v>
      </c>
    </row>
    <row r="161" spans="1:20" x14ac:dyDescent="0.2">
      <c r="A161" t="s">
        <v>72</v>
      </c>
      <c r="B161" s="1">
        <v>39644</v>
      </c>
      <c r="C161">
        <v>63.76</v>
      </c>
      <c r="D161">
        <v>1300</v>
      </c>
      <c r="F161" t="s">
        <v>72</v>
      </c>
      <c r="G161" s="1">
        <v>40436</v>
      </c>
      <c r="H161">
        <v>45.3</v>
      </c>
      <c r="I161">
        <v>47.38</v>
      </c>
      <c r="J161">
        <v>1220</v>
      </c>
      <c r="L161" t="s">
        <v>72</v>
      </c>
      <c r="M161" s="1">
        <v>40283</v>
      </c>
      <c r="N161">
        <v>46.54</v>
      </c>
      <c r="O161">
        <v>1220</v>
      </c>
      <c r="Q161" t="s">
        <v>72</v>
      </c>
      <c r="R161" s="1">
        <v>40739</v>
      </c>
      <c r="S161">
        <v>52.55</v>
      </c>
      <c r="T161">
        <v>1300</v>
      </c>
    </row>
    <row r="162" spans="1:20" x14ac:dyDescent="0.2">
      <c r="A162" t="s">
        <v>72</v>
      </c>
      <c r="B162" s="1">
        <v>39675</v>
      </c>
      <c r="C162">
        <v>60.54</v>
      </c>
      <c r="D162">
        <v>1300</v>
      </c>
      <c r="F162" t="s">
        <v>72</v>
      </c>
      <c r="G162" s="1">
        <v>40497</v>
      </c>
      <c r="H162">
        <v>47.7</v>
      </c>
      <c r="I162">
        <v>48.87</v>
      </c>
      <c r="J162">
        <v>1220</v>
      </c>
      <c r="L162" t="s">
        <v>72</v>
      </c>
      <c r="M162" s="1">
        <v>40313</v>
      </c>
      <c r="N162">
        <v>50</v>
      </c>
      <c r="O162">
        <v>1220</v>
      </c>
      <c r="Q162" t="s">
        <v>72</v>
      </c>
      <c r="R162" s="1">
        <v>40770</v>
      </c>
      <c r="S162">
        <v>52.37</v>
      </c>
      <c r="T162">
        <v>1300</v>
      </c>
    </row>
    <row r="163" spans="1:20" x14ac:dyDescent="0.2">
      <c r="A163" t="s">
        <v>72</v>
      </c>
      <c r="B163" s="1">
        <v>39706</v>
      </c>
      <c r="C163">
        <v>60.92</v>
      </c>
      <c r="D163">
        <v>1300</v>
      </c>
      <c r="F163" t="s">
        <v>72</v>
      </c>
      <c r="G163" s="1">
        <v>40527</v>
      </c>
      <c r="H163">
        <v>53.9</v>
      </c>
      <c r="I163">
        <v>54.89</v>
      </c>
      <c r="J163">
        <v>1220</v>
      </c>
      <c r="L163" t="s">
        <v>72</v>
      </c>
      <c r="M163" s="1">
        <v>40344</v>
      </c>
      <c r="N163">
        <v>48.45</v>
      </c>
      <c r="O163">
        <v>1220</v>
      </c>
      <c r="Q163" t="s">
        <v>72</v>
      </c>
      <c r="R163" s="1">
        <v>40801</v>
      </c>
      <c r="S163">
        <v>61.74</v>
      </c>
      <c r="T163">
        <v>1300</v>
      </c>
    </row>
    <row r="164" spans="1:20" x14ac:dyDescent="0.2">
      <c r="A164" t="s">
        <v>72</v>
      </c>
      <c r="B164" s="1">
        <v>39767</v>
      </c>
      <c r="C164">
        <v>61.81</v>
      </c>
      <c r="D164">
        <v>1300</v>
      </c>
      <c r="F164" t="s">
        <v>72</v>
      </c>
      <c r="G164" s="1">
        <v>40589</v>
      </c>
      <c r="H164">
        <v>54.6</v>
      </c>
      <c r="I164">
        <v>56.58</v>
      </c>
      <c r="J164">
        <v>1220</v>
      </c>
      <c r="L164" t="s">
        <v>72</v>
      </c>
      <c r="M164" s="1">
        <v>40405</v>
      </c>
      <c r="N164">
        <v>46.23</v>
      </c>
      <c r="O164">
        <v>1220</v>
      </c>
      <c r="Q164" t="s">
        <v>72</v>
      </c>
      <c r="R164" s="1">
        <v>40831</v>
      </c>
      <c r="S164">
        <v>55.31</v>
      </c>
      <c r="T164">
        <v>1300</v>
      </c>
    </row>
    <row r="165" spans="1:20" x14ac:dyDescent="0.2">
      <c r="A165" t="s">
        <v>72</v>
      </c>
      <c r="B165" s="1">
        <v>39797</v>
      </c>
      <c r="C165">
        <v>62.12</v>
      </c>
      <c r="D165">
        <v>1300</v>
      </c>
      <c r="F165" t="s">
        <v>72</v>
      </c>
      <c r="G165" s="1">
        <v>40648</v>
      </c>
      <c r="H165">
        <v>52.4</v>
      </c>
      <c r="I165">
        <v>53.96</v>
      </c>
      <c r="J165">
        <v>1220</v>
      </c>
      <c r="L165" t="s">
        <v>72</v>
      </c>
      <c r="M165" s="1">
        <v>40436</v>
      </c>
      <c r="N165">
        <v>47.38</v>
      </c>
      <c r="O165">
        <v>1220</v>
      </c>
      <c r="Q165" t="s">
        <v>72</v>
      </c>
      <c r="R165" s="1">
        <v>40862</v>
      </c>
      <c r="S165">
        <v>53.35</v>
      </c>
      <c r="T165">
        <v>1300</v>
      </c>
    </row>
    <row r="166" spans="1:20" x14ac:dyDescent="0.2">
      <c r="A166" t="s">
        <v>72</v>
      </c>
      <c r="B166" s="1">
        <v>39828</v>
      </c>
      <c r="C166">
        <v>51.99</v>
      </c>
      <c r="D166">
        <v>1300</v>
      </c>
      <c r="F166" t="s">
        <v>72</v>
      </c>
      <c r="G166" s="1">
        <v>40678</v>
      </c>
      <c r="H166">
        <v>49.3</v>
      </c>
      <c r="I166">
        <v>51.52</v>
      </c>
      <c r="J166">
        <v>1220</v>
      </c>
      <c r="L166" t="s">
        <v>72</v>
      </c>
      <c r="M166" s="1">
        <v>40497</v>
      </c>
      <c r="N166">
        <v>48.87</v>
      </c>
      <c r="O166">
        <v>1220</v>
      </c>
      <c r="Q166" t="s">
        <v>72</v>
      </c>
      <c r="R166" s="1">
        <v>40877</v>
      </c>
      <c r="S166">
        <v>55.28</v>
      </c>
      <c r="T166">
        <v>1300</v>
      </c>
    </row>
    <row r="167" spans="1:20" x14ac:dyDescent="0.2">
      <c r="A167" t="s">
        <v>72</v>
      </c>
      <c r="B167" s="1">
        <v>39859</v>
      </c>
      <c r="C167">
        <v>56.69</v>
      </c>
      <c r="D167">
        <v>1300</v>
      </c>
      <c r="F167" t="s">
        <v>72</v>
      </c>
      <c r="G167" s="1">
        <v>40709</v>
      </c>
      <c r="H167">
        <v>51.9</v>
      </c>
      <c r="I167">
        <v>55.1</v>
      </c>
      <c r="J167">
        <v>1220</v>
      </c>
      <c r="L167" t="s">
        <v>72</v>
      </c>
      <c r="M167" s="1">
        <v>40527</v>
      </c>
      <c r="N167">
        <v>54.89</v>
      </c>
      <c r="O167">
        <v>1220</v>
      </c>
      <c r="Q167" t="s">
        <v>72</v>
      </c>
      <c r="R167" s="1">
        <v>40892</v>
      </c>
      <c r="S167">
        <v>58.03</v>
      </c>
      <c r="T167">
        <v>1300</v>
      </c>
    </row>
    <row r="168" spans="1:20" x14ac:dyDescent="0.2">
      <c r="A168" t="s">
        <v>72</v>
      </c>
      <c r="B168" s="1">
        <v>39872</v>
      </c>
      <c r="C168">
        <v>64.08</v>
      </c>
      <c r="D168">
        <v>1300</v>
      </c>
      <c r="F168" t="s">
        <v>72</v>
      </c>
      <c r="G168" s="1">
        <v>40739</v>
      </c>
      <c r="H168">
        <v>50.4</v>
      </c>
      <c r="I168">
        <v>52.55</v>
      </c>
      <c r="J168">
        <v>1220</v>
      </c>
      <c r="L168" t="s">
        <v>72</v>
      </c>
      <c r="M168" s="1">
        <v>40589</v>
      </c>
      <c r="N168">
        <v>56.58</v>
      </c>
      <c r="O168">
        <v>1220</v>
      </c>
      <c r="Q168" t="s">
        <v>72</v>
      </c>
      <c r="R168" s="1">
        <v>40954</v>
      </c>
      <c r="S168">
        <v>60.12</v>
      </c>
      <c r="T168">
        <v>1300</v>
      </c>
    </row>
    <row r="169" spans="1:20" x14ac:dyDescent="0.2">
      <c r="A169" t="s">
        <v>72</v>
      </c>
      <c r="B169" s="1">
        <v>39887</v>
      </c>
      <c r="C169">
        <v>65.959999999999994</v>
      </c>
      <c r="D169">
        <v>1300</v>
      </c>
      <c r="F169" t="s">
        <v>72</v>
      </c>
      <c r="G169" s="1">
        <v>40770</v>
      </c>
      <c r="H169">
        <v>48.6</v>
      </c>
      <c r="I169">
        <v>52.37</v>
      </c>
      <c r="J169">
        <v>1220</v>
      </c>
      <c r="L169" t="s">
        <v>72</v>
      </c>
      <c r="M169" s="1">
        <v>40648</v>
      </c>
      <c r="N169">
        <v>53.96</v>
      </c>
      <c r="O169">
        <v>1220</v>
      </c>
      <c r="Q169" t="s">
        <v>72</v>
      </c>
      <c r="R169" s="1">
        <v>40983</v>
      </c>
      <c r="S169">
        <v>67.05</v>
      </c>
      <c r="T169">
        <v>1300</v>
      </c>
    </row>
    <row r="170" spans="1:20" x14ac:dyDescent="0.2">
      <c r="A170" t="s">
        <v>72</v>
      </c>
      <c r="B170" s="1">
        <v>39918</v>
      </c>
      <c r="C170">
        <v>58.38</v>
      </c>
      <c r="D170">
        <v>1300</v>
      </c>
      <c r="F170" t="s">
        <v>72</v>
      </c>
      <c r="G170" s="1">
        <v>40801</v>
      </c>
      <c r="H170">
        <v>58.9</v>
      </c>
      <c r="I170">
        <v>61.74</v>
      </c>
      <c r="J170">
        <v>1220</v>
      </c>
      <c r="L170" t="s">
        <v>72</v>
      </c>
      <c r="M170" s="1">
        <v>40678</v>
      </c>
      <c r="N170">
        <v>51.52</v>
      </c>
      <c r="O170">
        <v>1220</v>
      </c>
      <c r="Q170" t="s">
        <v>72</v>
      </c>
      <c r="R170" s="1">
        <v>41014</v>
      </c>
      <c r="S170">
        <v>69</v>
      </c>
      <c r="T170">
        <v>1300</v>
      </c>
    </row>
    <row r="171" spans="1:20" x14ac:dyDescent="0.2">
      <c r="A171" t="s">
        <v>72</v>
      </c>
      <c r="B171" s="1">
        <v>39948</v>
      </c>
      <c r="C171">
        <v>56.24</v>
      </c>
      <c r="D171">
        <v>1300</v>
      </c>
      <c r="F171" t="s">
        <v>72</v>
      </c>
      <c r="G171" s="1">
        <v>40831</v>
      </c>
      <c r="H171">
        <v>53.1</v>
      </c>
      <c r="I171">
        <v>55.31</v>
      </c>
      <c r="J171">
        <v>1220</v>
      </c>
      <c r="L171" t="s">
        <v>72</v>
      </c>
      <c r="M171" s="1">
        <v>40709</v>
      </c>
      <c r="N171">
        <v>55.1</v>
      </c>
      <c r="O171">
        <v>1220</v>
      </c>
      <c r="Q171" t="s">
        <v>72</v>
      </c>
      <c r="R171" s="1">
        <v>41075</v>
      </c>
      <c r="S171">
        <v>67.97</v>
      </c>
      <c r="T171">
        <v>1300</v>
      </c>
    </row>
    <row r="172" spans="1:20" x14ac:dyDescent="0.2">
      <c r="A172" t="s">
        <v>72</v>
      </c>
      <c r="B172" s="1">
        <v>39979</v>
      </c>
      <c r="C172">
        <v>55.46</v>
      </c>
      <c r="D172">
        <v>1300</v>
      </c>
      <c r="F172" t="s">
        <v>72</v>
      </c>
      <c r="G172" s="1">
        <v>40862</v>
      </c>
      <c r="H172">
        <v>51</v>
      </c>
      <c r="I172">
        <v>53.35</v>
      </c>
      <c r="J172">
        <v>1220</v>
      </c>
      <c r="L172" t="s">
        <v>72</v>
      </c>
      <c r="M172" s="1">
        <v>40739</v>
      </c>
      <c r="N172">
        <v>52.55</v>
      </c>
      <c r="O172">
        <v>1220</v>
      </c>
      <c r="Q172" t="s">
        <v>72</v>
      </c>
      <c r="R172" s="1">
        <v>41105</v>
      </c>
      <c r="S172">
        <v>65.39</v>
      </c>
      <c r="T172">
        <v>1300</v>
      </c>
    </row>
    <row r="173" spans="1:20" x14ac:dyDescent="0.2">
      <c r="A173" t="s">
        <v>72</v>
      </c>
      <c r="B173" s="1">
        <v>40009</v>
      </c>
      <c r="C173">
        <v>59.63</v>
      </c>
      <c r="D173">
        <v>1300</v>
      </c>
      <c r="F173" t="s">
        <v>72</v>
      </c>
      <c r="G173" s="1">
        <v>40877</v>
      </c>
      <c r="H173">
        <v>52.9</v>
      </c>
      <c r="I173">
        <v>55.28</v>
      </c>
      <c r="J173">
        <v>1220</v>
      </c>
      <c r="L173" t="s">
        <v>72</v>
      </c>
      <c r="M173" s="1">
        <v>40770</v>
      </c>
      <c r="N173">
        <v>52.37</v>
      </c>
      <c r="O173">
        <v>1220</v>
      </c>
      <c r="Q173" t="s">
        <v>72</v>
      </c>
      <c r="R173" s="1">
        <v>41136</v>
      </c>
      <c r="S173">
        <v>62.21</v>
      </c>
      <c r="T173">
        <v>1300</v>
      </c>
    </row>
    <row r="174" spans="1:20" x14ac:dyDescent="0.2">
      <c r="A174" t="s">
        <v>72</v>
      </c>
      <c r="B174" s="1">
        <v>40071</v>
      </c>
      <c r="C174">
        <v>55.29</v>
      </c>
      <c r="D174">
        <v>1300</v>
      </c>
      <c r="F174" t="s">
        <v>72</v>
      </c>
      <c r="G174" s="1">
        <v>40892</v>
      </c>
      <c r="H174">
        <v>56</v>
      </c>
      <c r="I174">
        <v>58.03</v>
      </c>
      <c r="J174">
        <v>1220</v>
      </c>
      <c r="L174" t="s">
        <v>72</v>
      </c>
      <c r="M174" s="1">
        <v>40801</v>
      </c>
      <c r="N174">
        <v>61.74</v>
      </c>
      <c r="O174">
        <v>1220</v>
      </c>
      <c r="Q174" t="s">
        <v>72</v>
      </c>
      <c r="R174" s="1">
        <v>41167</v>
      </c>
      <c r="S174">
        <v>65.17</v>
      </c>
      <c r="T174">
        <v>1300</v>
      </c>
    </row>
    <row r="175" spans="1:20" x14ac:dyDescent="0.2">
      <c r="A175" t="s">
        <v>72</v>
      </c>
      <c r="B175" s="1">
        <v>40094</v>
      </c>
      <c r="C175">
        <v>50</v>
      </c>
      <c r="D175">
        <v>1300</v>
      </c>
      <c r="F175" t="s">
        <v>72</v>
      </c>
      <c r="G175" s="1">
        <v>40954</v>
      </c>
      <c r="H175">
        <v>58.8</v>
      </c>
      <c r="I175">
        <v>60.12</v>
      </c>
      <c r="J175">
        <v>1220</v>
      </c>
      <c r="L175" t="s">
        <v>72</v>
      </c>
      <c r="M175" s="1">
        <v>40831</v>
      </c>
      <c r="N175">
        <v>55.31</v>
      </c>
      <c r="O175">
        <v>1220</v>
      </c>
      <c r="Q175" t="s">
        <v>72</v>
      </c>
      <c r="R175" s="1">
        <v>41194</v>
      </c>
      <c r="S175">
        <v>71.2</v>
      </c>
      <c r="T175">
        <v>1300</v>
      </c>
    </row>
    <row r="176" spans="1:20" x14ac:dyDescent="0.2">
      <c r="A176" t="s">
        <v>72</v>
      </c>
      <c r="B176" s="1">
        <v>40132</v>
      </c>
      <c r="C176">
        <v>53.42</v>
      </c>
      <c r="D176">
        <v>1300</v>
      </c>
      <c r="F176" t="s">
        <v>72</v>
      </c>
      <c r="G176" s="1">
        <v>40983</v>
      </c>
      <c r="H176">
        <v>64.7</v>
      </c>
      <c r="I176">
        <v>67.05</v>
      </c>
      <c r="J176">
        <v>1220</v>
      </c>
      <c r="L176" t="s">
        <v>72</v>
      </c>
      <c r="M176" s="1">
        <v>40862</v>
      </c>
      <c r="N176">
        <v>53.35</v>
      </c>
      <c r="O176">
        <v>1220</v>
      </c>
      <c r="Q176" t="s">
        <v>72</v>
      </c>
      <c r="R176" s="1">
        <v>40983</v>
      </c>
      <c r="S176">
        <v>67.569999999999993</v>
      </c>
      <c r="T176">
        <v>1300</v>
      </c>
    </row>
    <row r="177" spans="1:20" x14ac:dyDescent="0.2">
      <c r="A177" t="s">
        <v>72</v>
      </c>
      <c r="B177" s="1">
        <v>40162</v>
      </c>
      <c r="C177">
        <v>51.04</v>
      </c>
      <c r="D177">
        <v>1300</v>
      </c>
      <c r="F177" t="s">
        <v>72</v>
      </c>
      <c r="G177" s="1">
        <v>41014</v>
      </c>
      <c r="H177">
        <v>65</v>
      </c>
      <c r="I177">
        <v>69</v>
      </c>
      <c r="J177">
        <v>1220</v>
      </c>
      <c r="L177" t="s">
        <v>72</v>
      </c>
      <c r="M177" s="1">
        <v>40877</v>
      </c>
      <c r="N177">
        <v>55.28</v>
      </c>
      <c r="O177">
        <v>1220</v>
      </c>
      <c r="Q177" t="s">
        <v>72</v>
      </c>
      <c r="R177" s="1">
        <v>40999</v>
      </c>
      <c r="S177">
        <v>64.010000000000005</v>
      </c>
      <c r="T177">
        <v>1300</v>
      </c>
    </row>
    <row r="178" spans="1:20" x14ac:dyDescent="0.2">
      <c r="A178" t="s">
        <v>72</v>
      </c>
      <c r="B178" s="1">
        <v>40224</v>
      </c>
      <c r="C178">
        <v>44.56</v>
      </c>
      <c r="D178">
        <v>1300</v>
      </c>
      <c r="F178" t="s">
        <v>72</v>
      </c>
      <c r="G178" s="1">
        <v>41075</v>
      </c>
      <c r="H178">
        <v>62.4</v>
      </c>
      <c r="I178">
        <v>67.97</v>
      </c>
      <c r="J178">
        <v>1220</v>
      </c>
      <c r="L178" t="s">
        <v>72</v>
      </c>
      <c r="M178" s="1">
        <v>40892</v>
      </c>
      <c r="N178">
        <v>58.03</v>
      </c>
      <c r="O178">
        <v>1220</v>
      </c>
      <c r="Q178" t="s">
        <v>72</v>
      </c>
      <c r="R178" s="1">
        <v>41014</v>
      </c>
      <c r="S178">
        <v>76.09</v>
      </c>
      <c r="T178">
        <v>1300</v>
      </c>
    </row>
    <row r="179" spans="1:20" x14ac:dyDescent="0.2">
      <c r="A179" t="s">
        <v>72</v>
      </c>
      <c r="B179" s="1">
        <v>40283</v>
      </c>
      <c r="C179">
        <v>46.54</v>
      </c>
      <c r="D179">
        <v>1300</v>
      </c>
      <c r="F179" t="s">
        <v>72</v>
      </c>
      <c r="G179" s="1">
        <v>41105</v>
      </c>
      <c r="H179">
        <v>61.6</v>
      </c>
      <c r="I179">
        <v>65.39</v>
      </c>
      <c r="J179">
        <v>1220</v>
      </c>
      <c r="L179" t="s">
        <v>72</v>
      </c>
      <c r="M179" s="1">
        <v>40954</v>
      </c>
      <c r="N179">
        <v>60.12</v>
      </c>
      <c r="O179">
        <v>1220</v>
      </c>
      <c r="Q179" t="s">
        <v>72</v>
      </c>
      <c r="R179" s="1">
        <v>41320</v>
      </c>
      <c r="S179">
        <v>58.88</v>
      </c>
      <c r="T179">
        <v>1294</v>
      </c>
    </row>
    <row r="180" spans="1:20" x14ac:dyDescent="0.2">
      <c r="A180" t="s">
        <v>72</v>
      </c>
      <c r="B180" s="1">
        <v>40313</v>
      </c>
      <c r="C180">
        <v>50</v>
      </c>
      <c r="D180">
        <v>1300</v>
      </c>
      <c r="F180" t="s">
        <v>72</v>
      </c>
      <c r="G180" s="1">
        <v>41136</v>
      </c>
      <c r="H180">
        <v>55.8</v>
      </c>
      <c r="I180">
        <v>62.21</v>
      </c>
      <c r="J180">
        <v>1220</v>
      </c>
      <c r="L180" t="s">
        <v>72</v>
      </c>
      <c r="M180" s="1">
        <v>40983</v>
      </c>
      <c r="N180">
        <v>67.05</v>
      </c>
      <c r="O180">
        <v>1220</v>
      </c>
      <c r="Q180" t="s">
        <v>72</v>
      </c>
      <c r="R180" s="1">
        <v>41348</v>
      </c>
      <c r="S180">
        <v>50.85</v>
      </c>
      <c r="T180">
        <v>1300</v>
      </c>
    </row>
    <row r="181" spans="1:20" x14ac:dyDescent="0.2">
      <c r="A181" t="s">
        <v>72</v>
      </c>
      <c r="B181" s="1">
        <v>40344</v>
      </c>
      <c r="C181">
        <v>48.45</v>
      </c>
      <c r="D181">
        <v>1300</v>
      </c>
      <c r="F181" t="s">
        <v>72</v>
      </c>
      <c r="G181" s="1">
        <v>41167</v>
      </c>
      <c r="H181">
        <v>60.8</v>
      </c>
      <c r="I181">
        <v>65.17</v>
      </c>
      <c r="J181">
        <v>1220</v>
      </c>
      <c r="L181" t="s">
        <v>72</v>
      </c>
      <c r="M181" s="1">
        <v>41014</v>
      </c>
      <c r="N181">
        <v>69</v>
      </c>
      <c r="O181">
        <v>1220</v>
      </c>
      <c r="Q181" t="s">
        <v>72</v>
      </c>
      <c r="R181" s="1">
        <v>41379</v>
      </c>
      <c r="S181">
        <v>61.68</v>
      </c>
      <c r="T181">
        <v>1289</v>
      </c>
    </row>
    <row r="182" spans="1:20" x14ac:dyDescent="0.2">
      <c r="A182" t="s">
        <v>72</v>
      </c>
      <c r="B182" s="1">
        <v>40405</v>
      </c>
      <c r="C182">
        <v>46.23</v>
      </c>
      <c r="D182">
        <v>1300</v>
      </c>
      <c r="F182" t="s">
        <v>72</v>
      </c>
      <c r="G182" s="1">
        <v>41194</v>
      </c>
      <c r="H182">
        <v>68</v>
      </c>
      <c r="I182">
        <v>71.2</v>
      </c>
      <c r="J182">
        <v>1220</v>
      </c>
      <c r="L182" t="s">
        <v>72</v>
      </c>
      <c r="M182" s="1">
        <v>41075</v>
      </c>
      <c r="N182">
        <v>67.97</v>
      </c>
      <c r="O182">
        <v>1220</v>
      </c>
      <c r="Q182" t="s">
        <v>72</v>
      </c>
      <c r="R182" s="1">
        <v>41394</v>
      </c>
      <c r="S182">
        <v>54.45</v>
      </c>
      <c r="T182">
        <v>800</v>
      </c>
    </row>
    <row r="183" spans="1:20" x14ac:dyDescent="0.2">
      <c r="A183" t="s">
        <v>72</v>
      </c>
      <c r="B183" s="1">
        <v>40436</v>
      </c>
      <c r="C183">
        <v>47.38</v>
      </c>
      <c r="D183">
        <v>1300</v>
      </c>
      <c r="F183" t="s">
        <v>72</v>
      </c>
      <c r="G183" s="1">
        <v>40983</v>
      </c>
      <c r="H183">
        <v>59.8</v>
      </c>
      <c r="I183">
        <v>67.569999999999993</v>
      </c>
      <c r="J183">
        <v>1220</v>
      </c>
      <c r="L183" t="s">
        <v>72</v>
      </c>
      <c r="M183" s="1">
        <v>41105</v>
      </c>
      <c r="N183">
        <v>65.39</v>
      </c>
      <c r="O183">
        <v>1220</v>
      </c>
      <c r="Q183" t="s">
        <v>72</v>
      </c>
      <c r="R183" s="1">
        <v>41409</v>
      </c>
      <c r="S183">
        <v>53.83</v>
      </c>
      <c r="T183">
        <v>1300</v>
      </c>
    </row>
    <row r="184" spans="1:20" x14ac:dyDescent="0.2">
      <c r="A184" t="s">
        <v>72</v>
      </c>
      <c r="B184" s="1">
        <v>40497</v>
      </c>
      <c r="C184">
        <v>48.87</v>
      </c>
      <c r="D184">
        <v>1300</v>
      </c>
      <c r="F184" t="s">
        <v>72</v>
      </c>
      <c r="G184" s="1">
        <v>40999</v>
      </c>
      <c r="H184">
        <v>57.8</v>
      </c>
      <c r="I184">
        <v>64.010000000000005</v>
      </c>
      <c r="J184">
        <v>1220</v>
      </c>
      <c r="L184" t="s">
        <v>72</v>
      </c>
      <c r="M184" s="1">
        <v>41136</v>
      </c>
      <c r="N184">
        <v>62.21</v>
      </c>
      <c r="O184">
        <v>1220</v>
      </c>
      <c r="Q184" t="s">
        <v>72</v>
      </c>
      <c r="R184" s="1">
        <v>41440</v>
      </c>
      <c r="S184">
        <v>50.52</v>
      </c>
      <c r="T184">
        <v>1300</v>
      </c>
    </row>
    <row r="185" spans="1:20" x14ac:dyDescent="0.2">
      <c r="A185" t="s">
        <v>72</v>
      </c>
      <c r="B185" s="1">
        <v>40527</v>
      </c>
      <c r="C185">
        <v>54.89</v>
      </c>
      <c r="D185">
        <v>1300</v>
      </c>
      <c r="F185" t="s">
        <v>72</v>
      </c>
      <c r="G185" s="1">
        <v>41014</v>
      </c>
      <c r="H185">
        <v>71.599999999999994</v>
      </c>
      <c r="I185">
        <v>76.09</v>
      </c>
      <c r="J185">
        <v>1220</v>
      </c>
      <c r="L185" t="s">
        <v>72</v>
      </c>
      <c r="M185" s="1">
        <v>41167</v>
      </c>
      <c r="N185">
        <v>65.17</v>
      </c>
      <c r="O185">
        <v>1220</v>
      </c>
      <c r="Q185" t="s">
        <v>72</v>
      </c>
      <c r="R185" s="1">
        <v>41470</v>
      </c>
      <c r="S185">
        <v>50.05</v>
      </c>
      <c r="T185">
        <v>1300</v>
      </c>
    </row>
    <row r="186" spans="1:20" x14ac:dyDescent="0.2">
      <c r="A186" t="s">
        <v>72</v>
      </c>
      <c r="B186" s="1">
        <v>40589</v>
      </c>
      <c r="C186">
        <v>56.58</v>
      </c>
      <c r="D186">
        <v>1300</v>
      </c>
      <c r="F186" t="s">
        <v>72</v>
      </c>
      <c r="G186" s="1">
        <v>41320</v>
      </c>
      <c r="H186">
        <v>49.4</v>
      </c>
      <c r="I186">
        <v>58.88</v>
      </c>
      <c r="J186">
        <v>1220</v>
      </c>
      <c r="L186" t="s">
        <v>72</v>
      </c>
      <c r="M186" s="1">
        <v>41194</v>
      </c>
      <c r="N186">
        <v>71.2</v>
      </c>
      <c r="O186">
        <v>1220</v>
      </c>
      <c r="Q186" t="s">
        <v>72</v>
      </c>
      <c r="R186" s="1">
        <v>41501</v>
      </c>
      <c r="S186">
        <v>48.8</v>
      </c>
      <c r="T186">
        <v>1300</v>
      </c>
    </row>
    <row r="187" spans="1:20" x14ac:dyDescent="0.2">
      <c r="A187" t="s">
        <v>72</v>
      </c>
      <c r="B187" s="1">
        <v>40648</v>
      </c>
      <c r="C187">
        <v>53.96</v>
      </c>
      <c r="D187">
        <v>1300</v>
      </c>
      <c r="F187" t="s">
        <v>72</v>
      </c>
      <c r="G187" s="1">
        <v>41348</v>
      </c>
      <c r="H187">
        <v>44.7</v>
      </c>
      <c r="I187">
        <v>50.85</v>
      </c>
      <c r="J187">
        <v>1220</v>
      </c>
      <c r="L187" t="s">
        <v>72</v>
      </c>
      <c r="M187" s="1">
        <v>40983</v>
      </c>
      <c r="N187">
        <v>67.569999999999993</v>
      </c>
      <c r="O187">
        <v>1220</v>
      </c>
      <c r="Q187" t="s">
        <v>72</v>
      </c>
      <c r="R187" s="1">
        <v>41532</v>
      </c>
      <c r="S187">
        <v>42.69</v>
      </c>
      <c r="T187">
        <v>1300</v>
      </c>
    </row>
    <row r="188" spans="1:20" x14ac:dyDescent="0.2">
      <c r="A188" t="s">
        <v>72</v>
      </c>
      <c r="B188" s="1">
        <v>40678</v>
      </c>
      <c r="C188">
        <v>51.52</v>
      </c>
      <c r="D188">
        <v>1300</v>
      </c>
      <c r="F188" t="s">
        <v>72</v>
      </c>
      <c r="G188" s="1">
        <v>41379</v>
      </c>
      <c r="H188">
        <v>55.2</v>
      </c>
      <c r="I188">
        <v>61.68</v>
      </c>
      <c r="J188">
        <v>1220</v>
      </c>
      <c r="L188" t="s">
        <v>72</v>
      </c>
      <c r="M188" s="1">
        <v>40999</v>
      </c>
      <c r="N188">
        <v>64.010000000000005</v>
      </c>
      <c r="O188">
        <v>1220</v>
      </c>
      <c r="Q188" t="s">
        <v>72</v>
      </c>
      <c r="R188" s="1">
        <v>41593</v>
      </c>
      <c r="S188">
        <v>53.05</v>
      </c>
      <c r="T188">
        <v>1298</v>
      </c>
    </row>
    <row r="189" spans="1:20" x14ac:dyDescent="0.2">
      <c r="A189" t="s">
        <v>72</v>
      </c>
      <c r="B189" s="1">
        <v>40709</v>
      </c>
      <c r="C189">
        <v>55.1</v>
      </c>
      <c r="D189">
        <v>1300</v>
      </c>
      <c r="F189" t="s">
        <v>72</v>
      </c>
      <c r="G189" s="1">
        <v>41394</v>
      </c>
      <c r="H189">
        <v>48.3</v>
      </c>
      <c r="I189">
        <v>54.45</v>
      </c>
      <c r="J189">
        <v>1220</v>
      </c>
      <c r="L189" t="s">
        <v>72</v>
      </c>
      <c r="M189" s="1">
        <v>41014</v>
      </c>
      <c r="N189">
        <v>76.09</v>
      </c>
      <c r="O189">
        <v>1220</v>
      </c>
      <c r="Q189" t="s">
        <v>72</v>
      </c>
      <c r="R189" s="1">
        <v>41685</v>
      </c>
      <c r="S189">
        <v>48.45</v>
      </c>
      <c r="T189">
        <v>1300</v>
      </c>
    </row>
    <row r="190" spans="1:20" x14ac:dyDescent="0.2">
      <c r="A190" t="s">
        <v>72</v>
      </c>
      <c r="B190" s="1">
        <v>40739</v>
      </c>
      <c r="C190">
        <v>52.55</v>
      </c>
      <c r="D190">
        <v>1300</v>
      </c>
      <c r="F190" t="s">
        <v>72</v>
      </c>
      <c r="G190" s="1">
        <v>41409</v>
      </c>
      <c r="H190">
        <v>50.6</v>
      </c>
      <c r="I190">
        <v>53.83</v>
      </c>
      <c r="J190">
        <v>1220</v>
      </c>
      <c r="L190" t="s">
        <v>72</v>
      </c>
      <c r="M190" s="1">
        <v>41320</v>
      </c>
      <c r="N190">
        <v>58.88</v>
      </c>
      <c r="O190">
        <v>1220</v>
      </c>
      <c r="Q190" t="s">
        <v>72</v>
      </c>
      <c r="R190" s="1">
        <v>41713</v>
      </c>
      <c r="S190">
        <v>42.74</v>
      </c>
      <c r="T190">
        <v>1300</v>
      </c>
    </row>
    <row r="191" spans="1:20" x14ac:dyDescent="0.2">
      <c r="A191" t="s">
        <v>72</v>
      </c>
      <c r="B191" s="1">
        <v>40770</v>
      </c>
      <c r="C191">
        <v>52.37</v>
      </c>
      <c r="D191">
        <v>1300</v>
      </c>
      <c r="F191" t="s">
        <v>72</v>
      </c>
      <c r="G191" s="1">
        <v>41440</v>
      </c>
      <c r="H191">
        <v>48.8</v>
      </c>
      <c r="I191">
        <v>50.52</v>
      </c>
      <c r="J191">
        <v>1220</v>
      </c>
      <c r="L191" t="s">
        <v>72</v>
      </c>
      <c r="M191" s="1">
        <v>41348</v>
      </c>
      <c r="N191">
        <v>50.85</v>
      </c>
      <c r="O191">
        <v>1220</v>
      </c>
      <c r="Q191" t="s">
        <v>72</v>
      </c>
      <c r="R191" s="1">
        <v>41744</v>
      </c>
      <c r="S191">
        <v>38.46</v>
      </c>
      <c r="T191">
        <v>1300</v>
      </c>
    </row>
    <row r="192" spans="1:20" x14ac:dyDescent="0.2">
      <c r="A192" t="s">
        <v>72</v>
      </c>
      <c r="B192" s="1">
        <v>40801</v>
      </c>
      <c r="C192">
        <v>61.74</v>
      </c>
      <c r="D192">
        <v>1300</v>
      </c>
      <c r="F192" t="s">
        <v>72</v>
      </c>
      <c r="G192" s="1">
        <v>41470</v>
      </c>
      <c r="H192">
        <v>48</v>
      </c>
      <c r="I192">
        <v>50.05</v>
      </c>
      <c r="J192">
        <v>1220</v>
      </c>
      <c r="L192" t="s">
        <v>72</v>
      </c>
      <c r="M192" s="1">
        <v>41379</v>
      </c>
      <c r="N192">
        <v>61.68</v>
      </c>
      <c r="O192">
        <v>1220</v>
      </c>
      <c r="Q192" t="s">
        <v>72</v>
      </c>
      <c r="R192" s="1">
        <v>41774</v>
      </c>
      <c r="S192">
        <v>39.9</v>
      </c>
      <c r="T192">
        <v>1300</v>
      </c>
    </row>
    <row r="193" spans="1:20" x14ac:dyDescent="0.2">
      <c r="A193" t="s">
        <v>72</v>
      </c>
      <c r="B193" s="1">
        <v>40831</v>
      </c>
      <c r="C193">
        <v>55.31</v>
      </c>
      <c r="D193">
        <v>1300</v>
      </c>
      <c r="F193" t="s">
        <v>72</v>
      </c>
      <c r="G193" s="1">
        <v>41501</v>
      </c>
      <c r="H193">
        <v>46.7</v>
      </c>
      <c r="I193">
        <v>48.8</v>
      </c>
      <c r="J193">
        <v>1220</v>
      </c>
      <c r="L193" t="s">
        <v>72</v>
      </c>
      <c r="M193" s="1">
        <v>41394</v>
      </c>
      <c r="N193">
        <v>54.45</v>
      </c>
      <c r="O193">
        <v>1220</v>
      </c>
      <c r="Q193" t="s">
        <v>72</v>
      </c>
      <c r="R193" s="1">
        <v>41846</v>
      </c>
      <c r="S193">
        <v>36.229999999999997</v>
      </c>
      <c r="T193">
        <v>1298</v>
      </c>
    </row>
    <row r="194" spans="1:20" x14ac:dyDescent="0.2">
      <c r="A194" t="s">
        <v>72</v>
      </c>
      <c r="B194" s="1">
        <v>40862</v>
      </c>
      <c r="C194">
        <v>53.35</v>
      </c>
      <c r="D194">
        <v>1300</v>
      </c>
      <c r="F194" t="s">
        <v>72</v>
      </c>
      <c r="G194" s="1">
        <v>41532</v>
      </c>
      <c r="H194">
        <v>40.9</v>
      </c>
      <c r="I194">
        <v>42.69</v>
      </c>
      <c r="J194">
        <v>1220</v>
      </c>
      <c r="L194" t="s">
        <v>72</v>
      </c>
      <c r="M194" s="1">
        <v>41409</v>
      </c>
      <c r="N194">
        <v>53.83</v>
      </c>
      <c r="O194">
        <v>1220</v>
      </c>
      <c r="Q194" t="s">
        <v>72</v>
      </c>
      <c r="R194" s="1">
        <v>41912</v>
      </c>
      <c r="S194">
        <v>30.91</v>
      </c>
      <c r="T194">
        <v>1293</v>
      </c>
    </row>
    <row r="195" spans="1:20" x14ac:dyDescent="0.2">
      <c r="A195" t="s">
        <v>72</v>
      </c>
      <c r="B195" s="1">
        <v>40877</v>
      </c>
      <c r="C195">
        <v>55.28</v>
      </c>
      <c r="D195">
        <v>1300</v>
      </c>
      <c r="F195" t="s">
        <v>72</v>
      </c>
      <c r="G195" s="1">
        <v>41593</v>
      </c>
      <c r="H195">
        <v>50.4</v>
      </c>
      <c r="I195">
        <v>53.05</v>
      </c>
      <c r="J195">
        <v>1220</v>
      </c>
      <c r="L195" t="s">
        <v>72</v>
      </c>
      <c r="M195" s="1">
        <v>41440</v>
      </c>
      <c r="N195">
        <v>50.52</v>
      </c>
      <c r="O195">
        <v>1220</v>
      </c>
      <c r="Q195" t="s">
        <v>72</v>
      </c>
      <c r="R195" s="1">
        <v>41927</v>
      </c>
      <c r="S195">
        <v>25.34</v>
      </c>
      <c r="T195">
        <v>1293</v>
      </c>
    </row>
    <row r="196" spans="1:20" x14ac:dyDescent="0.2">
      <c r="A196" t="s">
        <v>72</v>
      </c>
      <c r="B196" s="1">
        <v>40892</v>
      </c>
      <c r="C196">
        <v>58.03</v>
      </c>
      <c r="D196">
        <v>1300</v>
      </c>
      <c r="F196" t="s">
        <v>72</v>
      </c>
      <c r="G196" s="1">
        <v>41685</v>
      </c>
      <c r="H196">
        <v>46.8</v>
      </c>
      <c r="I196">
        <v>48.45</v>
      </c>
      <c r="J196">
        <v>1220</v>
      </c>
      <c r="L196" t="s">
        <v>72</v>
      </c>
      <c r="M196" s="1">
        <v>41470</v>
      </c>
      <c r="N196">
        <v>50.05</v>
      </c>
      <c r="O196">
        <v>1220</v>
      </c>
      <c r="Q196" t="s">
        <v>72</v>
      </c>
      <c r="R196" s="1">
        <v>41958</v>
      </c>
      <c r="S196">
        <v>23.55</v>
      </c>
      <c r="T196">
        <v>1300</v>
      </c>
    </row>
    <row r="197" spans="1:20" x14ac:dyDescent="0.2">
      <c r="A197" t="s">
        <v>72</v>
      </c>
      <c r="B197" s="1">
        <v>40954</v>
      </c>
      <c r="C197">
        <v>60.12</v>
      </c>
      <c r="D197">
        <v>1300</v>
      </c>
      <c r="F197" t="s">
        <v>72</v>
      </c>
      <c r="G197" s="1">
        <v>41713</v>
      </c>
      <c r="H197">
        <v>41.5</v>
      </c>
      <c r="I197">
        <v>42.74</v>
      </c>
      <c r="J197">
        <v>1220</v>
      </c>
      <c r="L197" t="s">
        <v>72</v>
      </c>
      <c r="M197" s="1">
        <v>41501</v>
      </c>
      <c r="N197">
        <v>48.8</v>
      </c>
      <c r="O197">
        <v>1220</v>
      </c>
      <c r="Q197" t="s">
        <v>72</v>
      </c>
      <c r="R197" s="1">
        <v>42050</v>
      </c>
      <c r="S197">
        <v>24.27</v>
      </c>
      <c r="T197">
        <v>1300</v>
      </c>
    </row>
    <row r="198" spans="1:20" x14ac:dyDescent="0.2">
      <c r="A198" t="s">
        <v>72</v>
      </c>
      <c r="B198" s="1">
        <v>40983</v>
      </c>
      <c r="C198">
        <v>67.05</v>
      </c>
      <c r="D198">
        <v>1300</v>
      </c>
      <c r="F198" t="s">
        <v>72</v>
      </c>
      <c r="G198" s="1">
        <v>41744</v>
      </c>
      <c r="H198">
        <v>37</v>
      </c>
      <c r="I198">
        <v>38.46</v>
      </c>
      <c r="J198">
        <v>1220</v>
      </c>
      <c r="L198" t="s">
        <v>72</v>
      </c>
      <c r="M198" s="1">
        <v>41532</v>
      </c>
      <c r="N198">
        <v>42.69</v>
      </c>
      <c r="O198">
        <v>1220</v>
      </c>
      <c r="Q198" t="s">
        <v>72</v>
      </c>
      <c r="R198" s="1">
        <v>42208</v>
      </c>
      <c r="S198">
        <v>25.66</v>
      </c>
      <c r="T198">
        <v>1000</v>
      </c>
    </row>
    <row r="199" spans="1:20" x14ac:dyDescent="0.2">
      <c r="A199" t="s">
        <v>72</v>
      </c>
      <c r="B199" s="1">
        <v>41014</v>
      </c>
      <c r="C199">
        <v>69</v>
      </c>
      <c r="D199">
        <v>1300</v>
      </c>
      <c r="F199" t="s">
        <v>72</v>
      </c>
      <c r="G199" s="1">
        <v>41774</v>
      </c>
      <c r="H199">
        <v>38.9</v>
      </c>
      <c r="I199">
        <v>39.9</v>
      </c>
      <c r="J199">
        <v>1220</v>
      </c>
      <c r="L199" t="s">
        <v>72</v>
      </c>
      <c r="M199" s="1">
        <v>41593</v>
      </c>
      <c r="N199">
        <v>53.05</v>
      </c>
      <c r="O199">
        <v>1220</v>
      </c>
      <c r="Q199" t="s">
        <v>209</v>
      </c>
      <c r="R199" s="1">
        <v>33637</v>
      </c>
      <c r="S199">
        <v>400</v>
      </c>
      <c r="T199">
        <v>22</v>
      </c>
    </row>
    <row r="200" spans="1:20" x14ac:dyDescent="0.2">
      <c r="A200" t="s">
        <v>72</v>
      </c>
      <c r="B200" s="1">
        <v>41075</v>
      </c>
      <c r="C200">
        <v>67.97</v>
      </c>
      <c r="D200">
        <v>1300</v>
      </c>
      <c r="F200" t="s">
        <v>72</v>
      </c>
      <c r="G200" s="1">
        <v>41846</v>
      </c>
      <c r="H200">
        <v>35.4</v>
      </c>
      <c r="I200">
        <v>36.229999999999997</v>
      </c>
      <c r="J200">
        <v>1220</v>
      </c>
      <c r="L200" t="s">
        <v>72</v>
      </c>
      <c r="M200" s="1">
        <v>41685</v>
      </c>
      <c r="N200">
        <v>48.45</v>
      </c>
      <c r="O200">
        <v>1220</v>
      </c>
      <c r="Q200" t="s">
        <v>209</v>
      </c>
      <c r="R200" s="1">
        <v>33752</v>
      </c>
      <c r="S200">
        <v>400</v>
      </c>
      <c r="T200">
        <v>27</v>
      </c>
    </row>
    <row r="201" spans="1:20" x14ac:dyDescent="0.2">
      <c r="A201" t="s">
        <v>72</v>
      </c>
      <c r="B201" s="1">
        <v>41105</v>
      </c>
      <c r="C201">
        <v>65.39</v>
      </c>
      <c r="D201">
        <v>1300</v>
      </c>
      <c r="F201" t="s">
        <v>72</v>
      </c>
      <c r="G201" s="1">
        <v>41912</v>
      </c>
      <c r="H201">
        <v>30.2</v>
      </c>
      <c r="I201">
        <v>30.91</v>
      </c>
      <c r="J201">
        <v>1220</v>
      </c>
      <c r="L201" t="s">
        <v>72</v>
      </c>
      <c r="M201" s="1">
        <v>41713</v>
      </c>
      <c r="N201">
        <v>42.74</v>
      </c>
      <c r="O201">
        <v>1220</v>
      </c>
      <c r="Q201" t="s">
        <v>209</v>
      </c>
      <c r="R201" s="1">
        <v>33844</v>
      </c>
      <c r="S201">
        <v>400</v>
      </c>
      <c r="T201">
        <v>29</v>
      </c>
    </row>
    <row r="202" spans="1:20" x14ac:dyDescent="0.2">
      <c r="A202" t="s">
        <v>72</v>
      </c>
      <c r="B202" s="1">
        <v>41136</v>
      </c>
      <c r="C202">
        <v>62.21</v>
      </c>
      <c r="D202">
        <v>1300</v>
      </c>
      <c r="F202" t="s">
        <v>72</v>
      </c>
      <c r="G202" s="1">
        <v>41927</v>
      </c>
      <c r="H202">
        <v>24.5</v>
      </c>
      <c r="I202">
        <v>25.34</v>
      </c>
      <c r="J202">
        <v>1220</v>
      </c>
      <c r="L202" t="s">
        <v>72</v>
      </c>
      <c r="M202" s="1">
        <v>41744</v>
      </c>
      <c r="N202">
        <v>38.46</v>
      </c>
      <c r="O202">
        <v>1220</v>
      </c>
      <c r="Q202" t="s">
        <v>209</v>
      </c>
      <c r="R202" s="1">
        <v>33910</v>
      </c>
      <c r="S202">
        <v>402</v>
      </c>
      <c r="T202">
        <v>35</v>
      </c>
    </row>
    <row r="203" spans="1:20" x14ac:dyDescent="0.2">
      <c r="A203" t="s">
        <v>72</v>
      </c>
      <c r="B203" s="1">
        <v>41167</v>
      </c>
      <c r="C203">
        <v>65.17</v>
      </c>
      <c r="D203">
        <v>1300</v>
      </c>
      <c r="F203" t="s">
        <v>72</v>
      </c>
      <c r="G203" s="1">
        <v>41958</v>
      </c>
      <c r="H203">
        <v>22.8</v>
      </c>
      <c r="I203">
        <v>23.55</v>
      </c>
      <c r="J203">
        <v>1220</v>
      </c>
      <c r="L203" t="s">
        <v>72</v>
      </c>
      <c r="M203" s="1">
        <v>41774</v>
      </c>
      <c r="N203">
        <v>39.9</v>
      </c>
      <c r="O203">
        <v>1220</v>
      </c>
      <c r="Q203" t="s">
        <v>195</v>
      </c>
      <c r="R203" s="1">
        <v>41798</v>
      </c>
      <c r="S203">
        <v>63.11</v>
      </c>
      <c r="T203">
        <v>1400</v>
      </c>
    </row>
    <row r="204" spans="1:20" x14ac:dyDescent="0.2">
      <c r="A204" t="s">
        <v>72</v>
      </c>
      <c r="B204" s="1">
        <v>41194</v>
      </c>
      <c r="C204">
        <v>71.2</v>
      </c>
      <c r="D204">
        <v>1300</v>
      </c>
      <c r="F204" t="s">
        <v>72</v>
      </c>
      <c r="G204" s="1">
        <v>42050</v>
      </c>
      <c r="H204">
        <v>23.3</v>
      </c>
      <c r="I204">
        <v>24.27</v>
      </c>
      <c r="J204">
        <v>1220</v>
      </c>
      <c r="L204" t="s">
        <v>72</v>
      </c>
      <c r="M204" s="1">
        <v>41846</v>
      </c>
      <c r="N204">
        <v>36.229999999999997</v>
      </c>
      <c r="O204">
        <v>1220</v>
      </c>
      <c r="Q204" t="s">
        <v>195</v>
      </c>
      <c r="R204" s="1">
        <v>41938</v>
      </c>
      <c r="S204">
        <v>56.4</v>
      </c>
      <c r="T204">
        <v>1378</v>
      </c>
    </row>
    <row r="205" spans="1:20" x14ac:dyDescent="0.2">
      <c r="A205" t="s">
        <v>72</v>
      </c>
      <c r="B205" s="1">
        <v>40983</v>
      </c>
      <c r="C205">
        <v>67.569999999999993</v>
      </c>
      <c r="D205">
        <v>1300</v>
      </c>
      <c r="F205" t="s">
        <v>72</v>
      </c>
      <c r="G205" s="1">
        <v>42208</v>
      </c>
      <c r="H205">
        <v>24.3</v>
      </c>
      <c r="I205">
        <v>25.66</v>
      </c>
      <c r="J205">
        <v>1220</v>
      </c>
      <c r="L205" t="s">
        <v>72</v>
      </c>
      <c r="M205" s="1">
        <v>41912</v>
      </c>
      <c r="N205">
        <v>30.91</v>
      </c>
      <c r="O205">
        <v>1220</v>
      </c>
      <c r="Q205" t="s">
        <v>211</v>
      </c>
      <c r="R205" s="1">
        <v>41394</v>
      </c>
      <c r="S205">
        <v>40</v>
      </c>
      <c r="T205">
        <v>1000</v>
      </c>
    </row>
    <row r="206" spans="1:20" x14ac:dyDescent="0.2">
      <c r="A206" t="s">
        <v>72</v>
      </c>
      <c r="B206" s="1">
        <v>40999</v>
      </c>
      <c r="C206">
        <v>64.010000000000005</v>
      </c>
      <c r="D206">
        <v>1300</v>
      </c>
      <c r="F206" t="s">
        <v>209</v>
      </c>
      <c r="G206" s="1">
        <v>33637</v>
      </c>
      <c r="H206">
        <v>30.5</v>
      </c>
      <c r="I206">
        <v>400</v>
      </c>
      <c r="J206">
        <v>1220</v>
      </c>
      <c r="L206" t="s">
        <v>72</v>
      </c>
      <c r="M206" s="1">
        <v>41927</v>
      </c>
      <c r="N206">
        <v>25.34</v>
      </c>
      <c r="O206">
        <v>1220</v>
      </c>
      <c r="Q206" t="s">
        <v>211</v>
      </c>
      <c r="R206" s="1">
        <v>41424</v>
      </c>
      <c r="S206">
        <v>42.22</v>
      </c>
      <c r="T206">
        <v>1000</v>
      </c>
    </row>
    <row r="207" spans="1:20" x14ac:dyDescent="0.2">
      <c r="A207" t="s">
        <v>72</v>
      </c>
      <c r="B207" s="1">
        <v>41014</v>
      </c>
      <c r="C207">
        <v>76.09</v>
      </c>
      <c r="D207">
        <v>1300</v>
      </c>
      <c r="F207" t="s">
        <v>209</v>
      </c>
      <c r="G207" s="1">
        <v>33752</v>
      </c>
      <c r="H207">
        <v>26.75</v>
      </c>
      <c r="I207">
        <v>400</v>
      </c>
      <c r="J207">
        <v>1220</v>
      </c>
      <c r="L207" t="s">
        <v>72</v>
      </c>
      <c r="M207" s="1">
        <v>41958</v>
      </c>
      <c r="N207">
        <v>23.55</v>
      </c>
      <c r="O207">
        <v>1220</v>
      </c>
      <c r="Q207" t="s">
        <v>211</v>
      </c>
      <c r="R207" s="1">
        <v>41455</v>
      </c>
      <c r="S207">
        <v>42.69</v>
      </c>
      <c r="T207">
        <v>1000</v>
      </c>
    </row>
    <row r="208" spans="1:20" x14ac:dyDescent="0.2">
      <c r="F208" t="s">
        <v>209</v>
      </c>
      <c r="G208" s="1">
        <v>33844</v>
      </c>
      <c r="H208">
        <v>23.75</v>
      </c>
      <c r="I208">
        <v>400</v>
      </c>
      <c r="J208">
        <v>1220</v>
      </c>
      <c r="L208" t="s">
        <v>72</v>
      </c>
      <c r="M208" s="1">
        <v>42050</v>
      </c>
      <c r="N208">
        <v>24.27</v>
      </c>
      <c r="O208">
        <v>1220</v>
      </c>
      <c r="Q208" t="s">
        <v>211</v>
      </c>
      <c r="R208" s="1">
        <v>41485</v>
      </c>
      <c r="S208">
        <v>44.07</v>
      </c>
      <c r="T208">
        <v>1000</v>
      </c>
    </row>
    <row r="209" spans="6:20" x14ac:dyDescent="0.2">
      <c r="F209" t="s">
        <v>209</v>
      </c>
      <c r="G209" s="1">
        <v>33910</v>
      </c>
      <c r="H209">
        <v>24.75</v>
      </c>
      <c r="I209">
        <v>402</v>
      </c>
      <c r="J209">
        <v>1220</v>
      </c>
      <c r="L209" t="s">
        <v>72</v>
      </c>
      <c r="M209" s="1">
        <v>42208</v>
      </c>
      <c r="N209">
        <v>25.66</v>
      </c>
      <c r="O209">
        <v>1220</v>
      </c>
      <c r="Q209" t="s">
        <v>96</v>
      </c>
      <c r="R209" s="1">
        <v>38317</v>
      </c>
      <c r="S209">
        <v>46.03</v>
      </c>
      <c r="T209">
        <v>1000</v>
      </c>
    </row>
    <row r="210" spans="6:20" x14ac:dyDescent="0.2">
      <c r="F210" t="s">
        <v>195</v>
      </c>
      <c r="G210" s="1">
        <v>41798</v>
      </c>
      <c r="H210">
        <v>61.6</v>
      </c>
      <c r="I210">
        <v>63.11</v>
      </c>
      <c r="J210">
        <v>1476</v>
      </c>
      <c r="L210" t="s">
        <v>209</v>
      </c>
      <c r="M210" s="1">
        <v>33637</v>
      </c>
      <c r="N210">
        <v>400</v>
      </c>
      <c r="O210">
        <v>1220</v>
      </c>
      <c r="Q210" t="s">
        <v>79</v>
      </c>
      <c r="R210" s="1">
        <v>36234</v>
      </c>
      <c r="S210">
        <v>88.42</v>
      </c>
      <c r="T210">
        <v>1200</v>
      </c>
    </row>
    <row r="211" spans="6:20" x14ac:dyDescent="0.2">
      <c r="F211" t="s">
        <v>195</v>
      </c>
      <c r="G211" s="1">
        <v>41938</v>
      </c>
      <c r="H211">
        <v>53.2</v>
      </c>
      <c r="I211">
        <v>56.4</v>
      </c>
      <c r="J211">
        <v>1476</v>
      </c>
      <c r="L211" t="s">
        <v>209</v>
      </c>
      <c r="M211" s="1">
        <v>33752</v>
      </c>
      <c r="N211">
        <v>400</v>
      </c>
      <c r="O211">
        <v>1220</v>
      </c>
      <c r="Q211" t="s">
        <v>79</v>
      </c>
      <c r="R211" s="1">
        <v>36326</v>
      </c>
      <c r="S211">
        <v>82.11</v>
      </c>
      <c r="T211">
        <v>1200</v>
      </c>
    </row>
    <row r="212" spans="6:20" x14ac:dyDescent="0.2">
      <c r="F212" t="s">
        <v>211</v>
      </c>
      <c r="G212" s="1">
        <v>41394</v>
      </c>
      <c r="H212">
        <v>38</v>
      </c>
      <c r="I212">
        <v>40</v>
      </c>
      <c r="J212">
        <v>1000</v>
      </c>
      <c r="L212" t="s">
        <v>209</v>
      </c>
      <c r="M212" s="1">
        <v>33844</v>
      </c>
      <c r="N212">
        <v>400</v>
      </c>
      <c r="O212">
        <v>1220</v>
      </c>
      <c r="Q212" t="s">
        <v>79</v>
      </c>
      <c r="R212" s="1">
        <v>36509</v>
      </c>
      <c r="S212">
        <v>75.53</v>
      </c>
      <c r="T212">
        <v>1200</v>
      </c>
    </row>
    <row r="213" spans="6:20" x14ac:dyDescent="0.2">
      <c r="F213" t="s">
        <v>211</v>
      </c>
      <c r="G213" s="1">
        <v>41424</v>
      </c>
      <c r="H213">
        <v>38</v>
      </c>
      <c r="I213">
        <v>42.22</v>
      </c>
      <c r="J213">
        <v>1000</v>
      </c>
      <c r="L213" t="s">
        <v>209</v>
      </c>
      <c r="M213" s="1">
        <v>33910</v>
      </c>
      <c r="N213">
        <v>402</v>
      </c>
      <c r="O213">
        <v>1220</v>
      </c>
      <c r="Q213" t="s">
        <v>79</v>
      </c>
      <c r="R213" s="1">
        <v>36692</v>
      </c>
      <c r="S213">
        <v>65.63</v>
      </c>
      <c r="T213">
        <v>1200</v>
      </c>
    </row>
    <row r="214" spans="6:20" x14ac:dyDescent="0.2">
      <c r="F214" t="s">
        <v>211</v>
      </c>
      <c r="G214" s="1">
        <v>41455</v>
      </c>
      <c r="H214">
        <v>38.909999999999997</v>
      </c>
      <c r="I214">
        <v>42.69</v>
      </c>
      <c r="J214">
        <v>1000</v>
      </c>
      <c r="L214" t="s">
        <v>195</v>
      </c>
      <c r="M214" s="1">
        <v>41798</v>
      </c>
      <c r="N214">
        <v>63.11</v>
      </c>
      <c r="O214">
        <v>1476</v>
      </c>
      <c r="Q214" t="s">
        <v>79</v>
      </c>
      <c r="R214" s="1">
        <v>36784</v>
      </c>
      <c r="S214">
        <v>64.52</v>
      </c>
      <c r="T214">
        <v>1200</v>
      </c>
    </row>
    <row r="215" spans="6:20" x14ac:dyDescent="0.2">
      <c r="F215" t="s">
        <v>211</v>
      </c>
      <c r="G215" s="1">
        <v>41485</v>
      </c>
      <c r="H215">
        <v>39.270000000000003</v>
      </c>
      <c r="I215">
        <v>44.07</v>
      </c>
      <c r="J215">
        <v>1000</v>
      </c>
      <c r="L215" t="s">
        <v>195</v>
      </c>
      <c r="M215" s="1">
        <v>41938</v>
      </c>
      <c r="N215">
        <v>56.4</v>
      </c>
      <c r="O215">
        <v>1476</v>
      </c>
      <c r="Q215" t="s">
        <v>79</v>
      </c>
      <c r="R215" s="1">
        <v>36965</v>
      </c>
      <c r="S215">
        <v>73.12</v>
      </c>
      <c r="T215">
        <v>1200</v>
      </c>
    </row>
    <row r="216" spans="6:20" x14ac:dyDescent="0.2">
      <c r="F216" t="s">
        <v>96</v>
      </c>
      <c r="G216" s="1">
        <v>38317</v>
      </c>
      <c r="H216">
        <v>29</v>
      </c>
      <c r="I216">
        <v>46.03</v>
      </c>
      <c r="J216">
        <v>403</v>
      </c>
      <c r="L216" t="s">
        <v>211</v>
      </c>
      <c r="M216" s="1">
        <v>41394</v>
      </c>
      <c r="N216">
        <v>40</v>
      </c>
      <c r="O216">
        <v>1000</v>
      </c>
      <c r="Q216" t="s">
        <v>79</v>
      </c>
      <c r="R216" s="1">
        <v>37149</v>
      </c>
      <c r="S216">
        <v>50</v>
      </c>
      <c r="T216">
        <v>1200</v>
      </c>
    </row>
    <row r="217" spans="6:20" x14ac:dyDescent="0.2">
      <c r="F217" t="s">
        <v>79</v>
      </c>
      <c r="G217" s="1">
        <v>36234</v>
      </c>
      <c r="H217">
        <v>84</v>
      </c>
      <c r="I217">
        <v>88.42</v>
      </c>
      <c r="J217">
        <v>1200</v>
      </c>
      <c r="L217" t="s">
        <v>211</v>
      </c>
      <c r="M217" s="1">
        <v>41424</v>
      </c>
      <c r="N217">
        <v>42.22</v>
      </c>
      <c r="O217">
        <v>1000</v>
      </c>
      <c r="Q217" t="s">
        <v>79</v>
      </c>
      <c r="R217" s="1">
        <v>37240</v>
      </c>
      <c r="S217">
        <v>36.26</v>
      </c>
      <c r="T217">
        <v>1200</v>
      </c>
    </row>
    <row r="218" spans="6:20" x14ac:dyDescent="0.2">
      <c r="F218" t="s">
        <v>79</v>
      </c>
      <c r="G218" s="1">
        <v>36326</v>
      </c>
      <c r="H218">
        <v>78</v>
      </c>
      <c r="I218">
        <v>82.11</v>
      </c>
      <c r="J218">
        <v>1200</v>
      </c>
      <c r="L218" t="s">
        <v>211</v>
      </c>
      <c r="M218" s="1">
        <v>41455</v>
      </c>
      <c r="N218">
        <v>42.69</v>
      </c>
      <c r="O218">
        <v>1000</v>
      </c>
      <c r="Q218" t="s">
        <v>79</v>
      </c>
      <c r="R218" s="1">
        <v>37330</v>
      </c>
      <c r="S218">
        <v>35.229999999999997</v>
      </c>
      <c r="T218">
        <v>1200</v>
      </c>
    </row>
    <row r="219" spans="6:20" x14ac:dyDescent="0.2">
      <c r="F219" t="s">
        <v>79</v>
      </c>
      <c r="G219" s="1">
        <v>36509</v>
      </c>
      <c r="H219">
        <v>71</v>
      </c>
      <c r="I219">
        <v>75.53</v>
      </c>
      <c r="J219">
        <v>1200</v>
      </c>
      <c r="L219" t="s">
        <v>211</v>
      </c>
      <c r="M219" s="1">
        <v>41485</v>
      </c>
      <c r="N219">
        <v>44.07</v>
      </c>
      <c r="O219">
        <v>1000</v>
      </c>
      <c r="Q219" t="s">
        <v>79</v>
      </c>
      <c r="R219" s="1">
        <v>37422</v>
      </c>
      <c r="S219">
        <v>41.18</v>
      </c>
      <c r="T219">
        <v>1200</v>
      </c>
    </row>
    <row r="220" spans="6:20" x14ac:dyDescent="0.2">
      <c r="F220" t="s">
        <v>79</v>
      </c>
      <c r="G220" s="1">
        <v>36692</v>
      </c>
      <c r="H220">
        <v>63</v>
      </c>
      <c r="I220">
        <v>65.63</v>
      </c>
      <c r="J220">
        <v>1200</v>
      </c>
      <c r="L220" t="s">
        <v>96</v>
      </c>
      <c r="M220" s="1">
        <v>38317</v>
      </c>
      <c r="N220">
        <v>46.03</v>
      </c>
      <c r="O220">
        <v>403</v>
      </c>
      <c r="Q220" t="s">
        <v>79</v>
      </c>
      <c r="R220" s="1">
        <v>37514</v>
      </c>
      <c r="S220">
        <v>38.369999999999997</v>
      </c>
      <c r="T220">
        <v>1200</v>
      </c>
    </row>
    <row r="221" spans="6:20" x14ac:dyDescent="0.2">
      <c r="F221" t="s">
        <v>79</v>
      </c>
      <c r="G221" s="1">
        <v>36784</v>
      </c>
      <c r="H221">
        <v>60</v>
      </c>
      <c r="I221">
        <v>64.52</v>
      </c>
      <c r="J221">
        <v>1200</v>
      </c>
      <c r="L221" t="s">
        <v>79</v>
      </c>
      <c r="M221" s="1">
        <v>36234</v>
      </c>
      <c r="N221">
        <v>88.42</v>
      </c>
      <c r="O221">
        <v>1200</v>
      </c>
      <c r="Q221" t="s">
        <v>79</v>
      </c>
      <c r="R221" s="1">
        <v>37605</v>
      </c>
      <c r="S221">
        <v>40</v>
      </c>
      <c r="T221">
        <v>1200</v>
      </c>
    </row>
    <row r="222" spans="6:20" x14ac:dyDescent="0.2">
      <c r="F222" t="s">
        <v>79</v>
      </c>
      <c r="G222" s="1">
        <v>36965</v>
      </c>
      <c r="H222">
        <v>68</v>
      </c>
      <c r="I222">
        <v>73.12</v>
      </c>
      <c r="J222">
        <v>1200</v>
      </c>
      <c r="L222" t="s">
        <v>79</v>
      </c>
      <c r="M222" s="1">
        <v>36326</v>
      </c>
      <c r="N222">
        <v>82.11</v>
      </c>
      <c r="O222">
        <v>1200</v>
      </c>
      <c r="Q222" t="s">
        <v>79</v>
      </c>
      <c r="R222" s="1">
        <v>37787</v>
      </c>
      <c r="S222">
        <v>44.79</v>
      </c>
      <c r="T222">
        <v>1200</v>
      </c>
    </row>
    <row r="223" spans="6:20" x14ac:dyDescent="0.2">
      <c r="F223" t="s">
        <v>79</v>
      </c>
      <c r="G223" s="1">
        <v>37149</v>
      </c>
      <c r="H223">
        <v>46</v>
      </c>
      <c r="I223">
        <v>50</v>
      </c>
      <c r="J223">
        <v>1200</v>
      </c>
      <c r="L223" t="s">
        <v>79</v>
      </c>
      <c r="M223" s="1">
        <v>36509</v>
      </c>
      <c r="N223">
        <v>75.53</v>
      </c>
      <c r="O223">
        <v>1200</v>
      </c>
      <c r="Q223" t="s">
        <v>79</v>
      </c>
      <c r="R223" s="1">
        <v>37879</v>
      </c>
      <c r="S223">
        <v>33.700000000000003</v>
      </c>
      <c r="T223">
        <v>1200</v>
      </c>
    </row>
    <row r="224" spans="6:20" x14ac:dyDescent="0.2">
      <c r="F224" t="s">
        <v>79</v>
      </c>
      <c r="G224" s="1">
        <v>37240</v>
      </c>
      <c r="H224">
        <v>33</v>
      </c>
      <c r="I224">
        <v>36.26</v>
      </c>
      <c r="J224">
        <v>1200</v>
      </c>
      <c r="L224" t="s">
        <v>79</v>
      </c>
      <c r="M224" s="1">
        <v>36692</v>
      </c>
      <c r="N224">
        <v>65.63</v>
      </c>
      <c r="O224">
        <v>1200</v>
      </c>
      <c r="Q224" t="s">
        <v>79</v>
      </c>
      <c r="R224" s="1">
        <v>37970</v>
      </c>
      <c r="S224">
        <v>44.94</v>
      </c>
      <c r="T224">
        <v>1200</v>
      </c>
    </row>
    <row r="225" spans="6:20" x14ac:dyDescent="0.2">
      <c r="F225" t="s">
        <v>79</v>
      </c>
      <c r="G225" s="1">
        <v>37330</v>
      </c>
      <c r="H225">
        <v>31</v>
      </c>
      <c r="I225">
        <v>35.229999999999997</v>
      </c>
      <c r="J225">
        <v>1200</v>
      </c>
      <c r="L225" t="s">
        <v>79</v>
      </c>
      <c r="M225" s="1">
        <v>36784</v>
      </c>
      <c r="N225">
        <v>64.52</v>
      </c>
      <c r="O225">
        <v>1200</v>
      </c>
      <c r="Q225" t="s">
        <v>79</v>
      </c>
      <c r="R225" s="1">
        <v>38153</v>
      </c>
      <c r="S225">
        <v>51.69</v>
      </c>
      <c r="T225">
        <v>1200</v>
      </c>
    </row>
    <row r="226" spans="6:20" x14ac:dyDescent="0.2">
      <c r="F226" t="s">
        <v>79</v>
      </c>
      <c r="G226" s="1">
        <v>37422</v>
      </c>
      <c r="H226">
        <v>35</v>
      </c>
      <c r="I226">
        <v>41.18</v>
      </c>
      <c r="J226">
        <v>1200</v>
      </c>
      <c r="L226" t="s">
        <v>79</v>
      </c>
      <c r="M226" s="1">
        <v>36965</v>
      </c>
      <c r="N226">
        <v>73.12</v>
      </c>
      <c r="O226">
        <v>1200</v>
      </c>
      <c r="Q226" t="s">
        <v>79</v>
      </c>
      <c r="R226" s="1">
        <v>38245</v>
      </c>
      <c r="S226">
        <v>57.47</v>
      </c>
      <c r="T226">
        <v>1200</v>
      </c>
    </row>
    <row r="227" spans="6:20" x14ac:dyDescent="0.2">
      <c r="F227" t="s">
        <v>79</v>
      </c>
      <c r="G227" s="1">
        <v>37514</v>
      </c>
      <c r="H227">
        <v>33</v>
      </c>
      <c r="I227">
        <v>38.369999999999997</v>
      </c>
      <c r="J227">
        <v>1200</v>
      </c>
      <c r="L227" t="s">
        <v>79</v>
      </c>
      <c r="M227" s="1">
        <v>37149</v>
      </c>
      <c r="N227">
        <v>50</v>
      </c>
      <c r="O227">
        <v>1200</v>
      </c>
      <c r="Q227" t="s">
        <v>79</v>
      </c>
      <c r="R227" s="1">
        <v>38426</v>
      </c>
      <c r="S227">
        <v>75.819999999999993</v>
      </c>
      <c r="T227">
        <v>1200</v>
      </c>
    </row>
    <row r="228" spans="6:20" x14ac:dyDescent="0.2">
      <c r="F228" t="s">
        <v>79</v>
      </c>
      <c r="G228" s="1">
        <v>37605</v>
      </c>
      <c r="H228">
        <v>36</v>
      </c>
      <c r="I228">
        <v>40</v>
      </c>
      <c r="J228">
        <v>1200</v>
      </c>
      <c r="L228" t="s">
        <v>79</v>
      </c>
      <c r="M228" s="1">
        <v>37240</v>
      </c>
      <c r="N228">
        <v>36.26</v>
      </c>
      <c r="O228">
        <v>1200</v>
      </c>
      <c r="Q228" t="s">
        <v>79</v>
      </c>
      <c r="R228" s="1">
        <v>38518</v>
      </c>
      <c r="S228">
        <v>68.540000000000006</v>
      </c>
      <c r="T228">
        <v>1200</v>
      </c>
    </row>
    <row r="229" spans="6:20" x14ac:dyDescent="0.2">
      <c r="F229" t="s">
        <v>79</v>
      </c>
      <c r="G229" s="1">
        <v>37787</v>
      </c>
      <c r="H229">
        <v>43</v>
      </c>
      <c r="I229">
        <v>44.79</v>
      </c>
      <c r="J229">
        <v>1200</v>
      </c>
      <c r="L229" t="s">
        <v>79</v>
      </c>
      <c r="M229" s="1">
        <v>37330</v>
      </c>
      <c r="N229">
        <v>35.229999999999997</v>
      </c>
      <c r="O229">
        <v>1200</v>
      </c>
      <c r="Q229" t="s">
        <v>79</v>
      </c>
      <c r="R229" s="1">
        <v>38610</v>
      </c>
      <c r="S229">
        <v>67.03</v>
      </c>
      <c r="T229">
        <v>1200</v>
      </c>
    </row>
    <row r="230" spans="6:20" x14ac:dyDescent="0.2">
      <c r="F230" t="s">
        <v>79</v>
      </c>
      <c r="G230" s="1">
        <v>37879</v>
      </c>
      <c r="H230">
        <v>31</v>
      </c>
      <c r="I230">
        <v>33.700000000000003</v>
      </c>
      <c r="J230">
        <v>1200</v>
      </c>
      <c r="L230" t="s">
        <v>79</v>
      </c>
      <c r="M230" s="1">
        <v>37422</v>
      </c>
      <c r="N230">
        <v>41.18</v>
      </c>
      <c r="O230">
        <v>1200</v>
      </c>
      <c r="Q230" t="s">
        <v>79</v>
      </c>
      <c r="R230" s="1">
        <v>38701</v>
      </c>
      <c r="S230">
        <v>71.739999999999995</v>
      </c>
      <c r="T230">
        <v>1200</v>
      </c>
    </row>
    <row r="231" spans="6:20" x14ac:dyDescent="0.2">
      <c r="F231" t="s">
        <v>79</v>
      </c>
      <c r="G231" s="1">
        <v>37970</v>
      </c>
      <c r="H231">
        <v>40</v>
      </c>
      <c r="I231">
        <v>44.94</v>
      </c>
      <c r="J231">
        <v>1200</v>
      </c>
      <c r="L231" t="s">
        <v>79</v>
      </c>
      <c r="M231" s="1">
        <v>37514</v>
      </c>
      <c r="N231">
        <v>38.369999999999997</v>
      </c>
      <c r="O231">
        <v>1200</v>
      </c>
      <c r="Q231" t="s">
        <v>79</v>
      </c>
      <c r="R231" s="1">
        <v>38791</v>
      </c>
      <c r="S231">
        <v>69.89</v>
      </c>
      <c r="T231">
        <v>1200</v>
      </c>
    </row>
    <row r="232" spans="6:20" x14ac:dyDescent="0.2">
      <c r="F232" t="s">
        <v>79</v>
      </c>
      <c r="G232" s="1">
        <v>38153</v>
      </c>
      <c r="H232">
        <v>46</v>
      </c>
      <c r="I232">
        <v>51.69</v>
      </c>
      <c r="J232">
        <v>1200</v>
      </c>
      <c r="L232" t="s">
        <v>79</v>
      </c>
      <c r="M232" s="1">
        <v>37605</v>
      </c>
      <c r="N232">
        <v>40</v>
      </c>
      <c r="O232">
        <v>1200</v>
      </c>
      <c r="Q232" t="s">
        <v>79</v>
      </c>
      <c r="R232" s="1">
        <v>38883</v>
      </c>
      <c r="S232">
        <v>68.09</v>
      </c>
      <c r="T232">
        <v>1200</v>
      </c>
    </row>
    <row r="233" spans="6:20" x14ac:dyDescent="0.2">
      <c r="F233" t="s">
        <v>79</v>
      </c>
      <c r="G233" s="1">
        <v>38245</v>
      </c>
      <c r="H233">
        <v>50</v>
      </c>
      <c r="I233">
        <v>57.47</v>
      </c>
      <c r="J233">
        <v>1200</v>
      </c>
      <c r="L233" t="s">
        <v>79</v>
      </c>
      <c r="M233" s="1">
        <v>37787</v>
      </c>
      <c r="N233">
        <v>44.79</v>
      </c>
      <c r="O233">
        <v>1200</v>
      </c>
      <c r="Q233" t="s">
        <v>79</v>
      </c>
      <c r="R233" s="1">
        <v>38975</v>
      </c>
      <c r="S233">
        <v>63.54</v>
      </c>
      <c r="T233">
        <v>1200</v>
      </c>
    </row>
    <row r="234" spans="6:20" x14ac:dyDescent="0.2">
      <c r="F234" t="s">
        <v>79</v>
      </c>
      <c r="G234" s="1">
        <v>38426</v>
      </c>
      <c r="H234">
        <v>69</v>
      </c>
      <c r="I234">
        <v>75.819999999999993</v>
      </c>
      <c r="J234">
        <v>1200</v>
      </c>
      <c r="L234" t="s">
        <v>79</v>
      </c>
      <c r="M234" s="1">
        <v>37879</v>
      </c>
      <c r="N234">
        <v>33.700000000000003</v>
      </c>
      <c r="O234">
        <v>1200</v>
      </c>
      <c r="Q234" t="s">
        <v>79</v>
      </c>
      <c r="R234" s="1">
        <v>39066</v>
      </c>
      <c r="S234">
        <v>61.86</v>
      </c>
      <c r="T234">
        <v>1200</v>
      </c>
    </row>
    <row r="235" spans="6:20" x14ac:dyDescent="0.2">
      <c r="F235" t="s">
        <v>79</v>
      </c>
      <c r="G235" s="1">
        <v>38518</v>
      </c>
      <c r="H235">
        <v>61</v>
      </c>
      <c r="I235">
        <v>68.540000000000006</v>
      </c>
      <c r="J235">
        <v>1200</v>
      </c>
      <c r="L235" t="s">
        <v>79</v>
      </c>
      <c r="M235" s="1">
        <v>37970</v>
      </c>
      <c r="N235">
        <v>44.94</v>
      </c>
      <c r="O235">
        <v>1200</v>
      </c>
      <c r="Q235" t="s">
        <v>79</v>
      </c>
      <c r="R235" s="1">
        <v>39156</v>
      </c>
      <c r="S235">
        <v>63.16</v>
      </c>
      <c r="T235">
        <v>1200</v>
      </c>
    </row>
    <row r="236" spans="6:20" x14ac:dyDescent="0.2">
      <c r="F236" t="s">
        <v>79</v>
      </c>
      <c r="G236" s="1">
        <v>38610</v>
      </c>
      <c r="H236">
        <v>61</v>
      </c>
      <c r="I236">
        <v>67.03</v>
      </c>
      <c r="J236">
        <v>1200</v>
      </c>
      <c r="L236" t="s">
        <v>79</v>
      </c>
      <c r="M236" s="1">
        <v>38153</v>
      </c>
      <c r="N236">
        <v>51.69</v>
      </c>
      <c r="O236">
        <v>1200</v>
      </c>
      <c r="Q236" t="s">
        <v>79</v>
      </c>
      <c r="R236" s="1">
        <v>39248</v>
      </c>
      <c r="S236">
        <v>63.44</v>
      </c>
      <c r="T236">
        <v>1200</v>
      </c>
    </row>
    <row r="237" spans="6:20" x14ac:dyDescent="0.2">
      <c r="F237" t="s">
        <v>79</v>
      </c>
      <c r="G237" s="1">
        <v>38701</v>
      </c>
      <c r="H237">
        <v>66</v>
      </c>
      <c r="I237">
        <v>71.739999999999995</v>
      </c>
      <c r="J237">
        <v>1200</v>
      </c>
      <c r="L237" t="s">
        <v>79</v>
      </c>
      <c r="M237" s="1">
        <v>38245</v>
      </c>
      <c r="N237">
        <v>57.47</v>
      </c>
      <c r="O237">
        <v>1200</v>
      </c>
      <c r="Q237" t="s">
        <v>79</v>
      </c>
      <c r="R237" s="1">
        <v>39345</v>
      </c>
      <c r="S237">
        <v>61.96</v>
      </c>
      <c r="T237">
        <v>1200</v>
      </c>
    </row>
    <row r="238" spans="6:20" x14ac:dyDescent="0.2">
      <c r="F238" t="s">
        <v>79</v>
      </c>
      <c r="G238" s="1">
        <v>38791</v>
      </c>
      <c r="H238">
        <v>65</v>
      </c>
      <c r="I238">
        <v>69.89</v>
      </c>
      <c r="J238">
        <v>1200</v>
      </c>
      <c r="L238" t="s">
        <v>79</v>
      </c>
      <c r="M238" s="1">
        <v>38426</v>
      </c>
      <c r="N238">
        <v>75.819999999999993</v>
      </c>
      <c r="O238">
        <v>1200</v>
      </c>
      <c r="Q238" t="s">
        <v>79</v>
      </c>
      <c r="R238" s="1">
        <v>39431</v>
      </c>
      <c r="S238">
        <v>53.26</v>
      </c>
      <c r="T238">
        <v>1200</v>
      </c>
    </row>
    <row r="239" spans="6:20" x14ac:dyDescent="0.2">
      <c r="F239" t="s">
        <v>79</v>
      </c>
      <c r="G239" s="1">
        <v>38883</v>
      </c>
      <c r="H239">
        <v>64</v>
      </c>
      <c r="I239">
        <v>68.09</v>
      </c>
      <c r="J239">
        <v>1200</v>
      </c>
      <c r="L239" t="s">
        <v>79</v>
      </c>
      <c r="M239" s="1">
        <v>38518</v>
      </c>
      <c r="N239">
        <v>68.540000000000006</v>
      </c>
      <c r="O239">
        <v>1200</v>
      </c>
      <c r="Q239" t="s">
        <v>79</v>
      </c>
      <c r="R239" s="1">
        <v>39522</v>
      </c>
      <c r="S239">
        <v>51.65</v>
      </c>
      <c r="T239">
        <v>1200</v>
      </c>
    </row>
    <row r="240" spans="6:20" x14ac:dyDescent="0.2">
      <c r="F240" t="s">
        <v>79</v>
      </c>
      <c r="G240" s="1">
        <v>38975</v>
      </c>
      <c r="H240">
        <v>61</v>
      </c>
      <c r="I240">
        <v>63.54</v>
      </c>
      <c r="J240">
        <v>1200</v>
      </c>
      <c r="L240" t="s">
        <v>79</v>
      </c>
      <c r="M240" s="1">
        <v>38610</v>
      </c>
      <c r="N240">
        <v>67.03</v>
      </c>
      <c r="O240">
        <v>1200</v>
      </c>
      <c r="Q240" t="s">
        <v>79</v>
      </c>
      <c r="R240" s="1">
        <v>39603</v>
      </c>
      <c r="S240">
        <v>51.09</v>
      </c>
      <c r="T240">
        <v>1200</v>
      </c>
    </row>
    <row r="241" spans="6:20" x14ac:dyDescent="0.2">
      <c r="F241" t="s">
        <v>79</v>
      </c>
      <c r="G241" s="1">
        <v>39066</v>
      </c>
      <c r="H241">
        <v>60</v>
      </c>
      <c r="I241">
        <v>61.86</v>
      </c>
      <c r="J241">
        <v>1200</v>
      </c>
      <c r="L241" t="s">
        <v>79</v>
      </c>
      <c r="M241" s="1">
        <v>38701</v>
      </c>
      <c r="N241">
        <v>71.739999999999995</v>
      </c>
      <c r="O241">
        <v>1200</v>
      </c>
      <c r="Q241" t="s">
        <v>79</v>
      </c>
      <c r="R241" s="1">
        <v>39706</v>
      </c>
      <c r="S241">
        <v>53.41</v>
      </c>
      <c r="T241">
        <v>1200</v>
      </c>
    </row>
    <row r="242" spans="6:20" x14ac:dyDescent="0.2">
      <c r="F242" t="s">
        <v>79</v>
      </c>
      <c r="G242" s="1">
        <v>39156</v>
      </c>
      <c r="H242">
        <v>60</v>
      </c>
      <c r="I242">
        <v>63.16</v>
      </c>
      <c r="J242">
        <v>1200</v>
      </c>
      <c r="L242" t="s">
        <v>79</v>
      </c>
      <c r="M242" s="1">
        <v>38791</v>
      </c>
      <c r="N242">
        <v>69.89</v>
      </c>
      <c r="O242">
        <v>1200</v>
      </c>
      <c r="Q242" t="s">
        <v>79</v>
      </c>
      <c r="R242" s="1">
        <v>39797</v>
      </c>
      <c r="S242">
        <v>55.91</v>
      </c>
      <c r="T242">
        <v>1200</v>
      </c>
    </row>
    <row r="243" spans="6:20" x14ac:dyDescent="0.2">
      <c r="F243" t="s">
        <v>79</v>
      </c>
      <c r="G243" s="1">
        <v>39248</v>
      </c>
      <c r="H243">
        <v>59</v>
      </c>
      <c r="I243">
        <v>63.44</v>
      </c>
      <c r="J243">
        <v>1200</v>
      </c>
      <c r="L243" t="s">
        <v>79</v>
      </c>
      <c r="M243" s="1">
        <v>38883</v>
      </c>
      <c r="N243">
        <v>68.09</v>
      </c>
      <c r="O243">
        <v>1200</v>
      </c>
      <c r="Q243" t="s">
        <v>79</v>
      </c>
      <c r="R243" s="1">
        <v>39887</v>
      </c>
      <c r="S243">
        <v>60.87</v>
      </c>
      <c r="T243">
        <v>1200</v>
      </c>
    </row>
    <row r="244" spans="6:20" x14ac:dyDescent="0.2">
      <c r="F244" t="s">
        <v>79</v>
      </c>
      <c r="G244" s="1">
        <v>39345</v>
      </c>
      <c r="H244">
        <v>57</v>
      </c>
      <c r="I244">
        <v>61.96</v>
      </c>
      <c r="J244">
        <v>1200</v>
      </c>
      <c r="L244" t="s">
        <v>79</v>
      </c>
      <c r="M244" s="1">
        <v>38975</v>
      </c>
      <c r="N244">
        <v>63.54</v>
      </c>
      <c r="O244">
        <v>1200</v>
      </c>
      <c r="Q244" t="s">
        <v>79</v>
      </c>
      <c r="R244" s="1">
        <v>39979</v>
      </c>
      <c r="S244">
        <v>54.35</v>
      </c>
      <c r="T244">
        <v>1200</v>
      </c>
    </row>
    <row r="245" spans="6:20" x14ac:dyDescent="0.2">
      <c r="F245" t="s">
        <v>79</v>
      </c>
      <c r="G245" s="1">
        <v>39431</v>
      </c>
      <c r="H245">
        <v>49</v>
      </c>
      <c r="I245">
        <v>53.26</v>
      </c>
      <c r="J245">
        <v>1200</v>
      </c>
      <c r="L245" t="s">
        <v>79</v>
      </c>
      <c r="M245" s="1">
        <v>39066</v>
      </c>
      <c r="N245">
        <v>61.86</v>
      </c>
      <c r="O245">
        <v>1200</v>
      </c>
      <c r="Q245" t="s">
        <v>79</v>
      </c>
      <c r="R245" s="1">
        <v>40071</v>
      </c>
      <c r="S245">
        <v>50</v>
      </c>
      <c r="T245">
        <v>1200</v>
      </c>
    </row>
    <row r="246" spans="6:20" x14ac:dyDescent="0.2">
      <c r="F246" t="s">
        <v>79</v>
      </c>
      <c r="G246" s="1">
        <v>39522</v>
      </c>
      <c r="H246">
        <v>47</v>
      </c>
      <c r="I246">
        <v>51.65</v>
      </c>
      <c r="J246">
        <v>1200</v>
      </c>
      <c r="L246" t="s">
        <v>79</v>
      </c>
      <c r="M246" s="1">
        <v>39156</v>
      </c>
      <c r="N246">
        <v>63.16</v>
      </c>
      <c r="O246">
        <v>1200</v>
      </c>
      <c r="Q246" t="s">
        <v>79</v>
      </c>
      <c r="R246" s="1">
        <v>40162</v>
      </c>
      <c r="S246">
        <v>54.44</v>
      </c>
      <c r="T246">
        <v>1200</v>
      </c>
    </row>
    <row r="247" spans="6:20" x14ac:dyDescent="0.2">
      <c r="F247" t="s">
        <v>79</v>
      </c>
      <c r="G247" s="1">
        <v>39603</v>
      </c>
      <c r="H247">
        <v>47</v>
      </c>
      <c r="I247">
        <v>51.09</v>
      </c>
      <c r="J247">
        <v>1200</v>
      </c>
      <c r="L247" t="s">
        <v>79</v>
      </c>
      <c r="M247" s="1">
        <v>39248</v>
      </c>
      <c r="N247">
        <v>63.44</v>
      </c>
      <c r="O247">
        <v>1200</v>
      </c>
      <c r="Q247" t="s">
        <v>79</v>
      </c>
      <c r="R247" s="1">
        <v>40250</v>
      </c>
      <c r="S247">
        <v>46.74</v>
      </c>
      <c r="T247">
        <v>1200</v>
      </c>
    </row>
    <row r="248" spans="6:20" x14ac:dyDescent="0.2">
      <c r="F248" t="s">
        <v>79</v>
      </c>
      <c r="G248" s="1">
        <v>39706</v>
      </c>
      <c r="H248">
        <v>47</v>
      </c>
      <c r="I248">
        <v>53.41</v>
      </c>
      <c r="J248">
        <v>1200</v>
      </c>
      <c r="L248" t="s">
        <v>79</v>
      </c>
      <c r="M248" s="1">
        <v>39345</v>
      </c>
      <c r="N248">
        <v>61.96</v>
      </c>
      <c r="O248">
        <v>1200</v>
      </c>
      <c r="Q248" t="s">
        <v>79</v>
      </c>
      <c r="R248" s="1">
        <v>40798</v>
      </c>
      <c r="S248">
        <v>60.64</v>
      </c>
      <c r="T248">
        <v>1200</v>
      </c>
    </row>
    <row r="249" spans="6:20" x14ac:dyDescent="0.2">
      <c r="F249" t="s">
        <v>79</v>
      </c>
      <c r="G249" s="1">
        <v>39797</v>
      </c>
      <c r="H249">
        <v>52</v>
      </c>
      <c r="I249">
        <v>55.91</v>
      </c>
      <c r="J249">
        <v>1200</v>
      </c>
      <c r="L249" t="s">
        <v>79</v>
      </c>
      <c r="M249" s="1">
        <v>39431</v>
      </c>
      <c r="N249">
        <v>53.26</v>
      </c>
      <c r="O249">
        <v>1200</v>
      </c>
      <c r="Q249" t="s">
        <v>79</v>
      </c>
      <c r="R249" s="1">
        <v>40866</v>
      </c>
      <c r="S249">
        <v>53.19</v>
      </c>
      <c r="T249">
        <v>1200</v>
      </c>
    </row>
    <row r="250" spans="6:20" x14ac:dyDescent="0.2">
      <c r="F250" t="s">
        <v>79</v>
      </c>
      <c r="G250" s="1">
        <v>39887</v>
      </c>
      <c r="H250">
        <v>56</v>
      </c>
      <c r="I250">
        <v>60.87</v>
      </c>
      <c r="J250">
        <v>1200</v>
      </c>
      <c r="L250" t="s">
        <v>79</v>
      </c>
      <c r="M250" s="1">
        <v>39522</v>
      </c>
      <c r="N250">
        <v>51.65</v>
      </c>
      <c r="O250">
        <v>1200</v>
      </c>
      <c r="Q250" t="s">
        <v>79</v>
      </c>
      <c r="R250" s="1">
        <v>41783</v>
      </c>
      <c r="S250">
        <v>40</v>
      </c>
      <c r="T250">
        <v>1200</v>
      </c>
    </row>
    <row r="251" spans="6:20" x14ac:dyDescent="0.2">
      <c r="F251" t="s">
        <v>79</v>
      </c>
      <c r="G251" s="1">
        <v>39979</v>
      </c>
      <c r="H251">
        <v>50</v>
      </c>
      <c r="I251">
        <v>54.35</v>
      </c>
      <c r="J251">
        <v>1200</v>
      </c>
      <c r="L251" t="s">
        <v>79</v>
      </c>
      <c r="M251" s="1">
        <v>39603</v>
      </c>
      <c r="N251">
        <v>51.09</v>
      </c>
      <c r="O251">
        <v>1200</v>
      </c>
      <c r="Q251" t="s">
        <v>79</v>
      </c>
      <c r="R251" s="1">
        <v>42076</v>
      </c>
      <c r="S251">
        <v>31.87</v>
      </c>
      <c r="T251">
        <v>1200</v>
      </c>
    </row>
    <row r="252" spans="6:20" x14ac:dyDescent="0.2">
      <c r="F252" t="s">
        <v>79</v>
      </c>
      <c r="G252" s="1">
        <v>40071</v>
      </c>
      <c r="H252">
        <v>45</v>
      </c>
      <c r="I252">
        <v>50</v>
      </c>
      <c r="J252">
        <v>1200</v>
      </c>
      <c r="L252" t="s">
        <v>79</v>
      </c>
      <c r="M252" s="1">
        <v>39706</v>
      </c>
      <c r="N252">
        <v>53.41</v>
      </c>
      <c r="O252">
        <v>1200</v>
      </c>
      <c r="Q252" t="s">
        <v>79</v>
      </c>
      <c r="R252" s="1">
        <v>42432</v>
      </c>
      <c r="S252">
        <v>8</v>
      </c>
      <c r="T252">
        <v>1200</v>
      </c>
    </row>
    <row r="253" spans="6:20" x14ac:dyDescent="0.2">
      <c r="F253" t="s">
        <v>79</v>
      </c>
      <c r="G253" s="1">
        <v>40162</v>
      </c>
      <c r="H253">
        <v>49</v>
      </c>
      <c r="I253">
        <v>54.44</v>
      </c>
      <c r="J253">
        <v>1200</v>
      </c>
      <c r="L253" t="s">
        <v>79</v>
      </c>
      <c r="M253" s="1">
        <v>39797</v>
      </c>
      <c r="N253">
        <v>55.91</v>
      </c>
      <c r="O253">
        <v>1200</v>
      </c>
      <c r="Q253" t="s">
        <v>34</v>
      </c>
      <c r="R253" s="1">
        <v>38424</v>
      </c>
      <c r="S253">
        <v>58.24</v>
      </c>
      <c r="T253">
        <v>1500</v>
      </c>
    </row>
    <row r="254" spans="6:20" x14ac:dyDescent="0.2">
      <c r="F254" t="s">
        <v>79</v>
      </c>
      <c r="G254" s="1">
        <v>40250</v>
      </c>
      <c r="H254">
        <v>43</v>
      </c>
      <c r="I254">
        <v>46.74</v>
      </c>
      <c r="J254">
        <v>1200</v>
      </c>
      <c r="L254" t="s">
        <v>79</v>
      </c>
      <c r="M254" s="1">
        <v>39887</v>
      </c>
      <c r="N254">
        <v>60.87</v>
      </c>
      <c r="O254">
        <v>1200</v>
      </c>
      <c r="Q254" t="s">
        <v>34</v>
      </c>
      <c r="R254" s="1">
        <v>39036</v>
      </c>
      <c r="S254">
        <v>60</v>
      </c>
      <c r="T254">
        <v>1250</v>
      </c>
    </row>
    <row r="255" spans="6:20" x14ac:dyDescent="0.2">
      <c r="F255" t="s">
        <v>79</v>
      </c>
      <c r="G255" s="1">
        <v>40798</v>
      </c>
      <c r="H255">
        <v>57</v>
      </c>
      <c r="I255">
        <v>60.64</v>
      </c>
      <c r="J255">
        <v>1200</v>
      </c>
      <c r="L255" t="s">
        <v>79</v>
      </c>
      <c r="M255" s="1">
        <v>39979</v>
      </c>
      <c r="N255">
        <v>54.35</v>
      </c>
      <c r="O255">
        <v>1200</v>
      </c>
      <c r="Q255" t="s">
        <v>34</v>
      </c>
      <c r="R255" s="1">
        <v>39128</v>
      </c>
      <c r="S255">
        <v>52.33</v>
      </c>
      <c r="T255">
        <v>1213</v>
      </c>
    </row>
    <row r="256" spans="6:20" x14ac:dyDescent="0.2">
      <c r="F256" t="s">
        <v>79</v>
      </c>
      <c r="G256" s="1">
        <v>40866</v>
      </c>
      <c r="H256">
        <v>50</v>
      </c>
      <c r="I256">
        <v>53.19</v>
      </c>
      <c r="J256">
        <v>1200</v>
      </c>
      <c r="L256" t="s">
        <v>79</v>
      </c>
      <c r="M256" s="1">
        <v>40071</v>
      </c>
      <c r="N256">
        <v>50</v>
      </c>
      <c r="O256">
        <v>1200</v>
      </c>
      <c r="Q256" t="s">
        <v>34</v>
      </c>
      <c r="R256" s="1">
        <v>39217</v>
      </c>
      <c r="S256">
        <v>41.18</v>
      </c>
      <c r="T256">
        <v>1177</v>
      </c>
    </row>
    <row r="257" spans="6:20" x14ac:dyDescent="0.2">
      <c r="F257" t="s">
        <v>79</v>
      </c>
      <c r="G257" s="1">
        <v>41783</v>
      </c>
      <c r="H257">
        <v>40</v>
      </c>
      <c r="I257">
        <v>40</v>
      </c>
      <c r="J257">
        <v>1200</v>
      </c>
      <c r="L257" t="s">
        <v>79</v>
      </c>
      <c r="M257" s="1">
        <v>40162</v>
      </c>
      <c r="N257">
        <v>54.44</v>
      </c>
      <c r="O257">
        <v>1200</v>
      </c>
      <c r="Q257" t="s">
        <v>34</v>
      </c>
      <c r="R257" s="1">
        <v>39257</v>
      </c>
      <c r="S257">
        <v>46.25</v>
      </c>
      <c r="T257">
        <v>1160</v>
      </c>
    </row>
    <row r="258" spans="6:20" x14ac:dyDescent="0.2">
      <c r="F258" t="s">
        <v>79</v>
      </c>
      <c r="G258" s="1">
        <v>42076</v>
      </c>
      <c r="H258">
        <v>29</v>
      </c>
      <c r="I258">
        <v>31.87</v>
      </c>
      <c r="J258">
        <v>1200</v>
      </c>
      <c r="L258" t="s">
        <v>79</v>
      </c>
      <c r="M258" s="1">
        <v>40250</v>
      </c>
      <c r="N258">
        <v>46.74</v>
      </c>
      <c r="O258">
        <v>1200</v>
      </c>
      <c r="Q258" t="s">
        <v>34</v>
      </c>
      <c r="R258" s="1">
        <v>39287</v>
      </c>
      <c r="S258">
        <v>54.22</v>
      </c>
      <c r="T258">
        <v>1148</v>
      </c>
    </row>
    <row r="259" spans="6:20" x14ac:dyDescent="0.2">
      <c r="F259" t="s">
        <v>79</v>
      </c>
      <c r="G259" s="1">
        <v>42432</v>
      </c>
      <c r="H259">
        <v>8</v>
      </c>
      <c r="I259">
        <v>8</v>
      </c>
      <c r="J259">
        <v>1200</v>
      </c>
      <c r="L259" t="s">
        <v>79</v>
      </c>
      <c r="M259" s="1">
        <v>40798</v>
      </c>
      <c r="N259">
        <v>60.64</v>
      </c>
      <c r="O259">
        <v>1200</v>
      </c>
      <c r="Q259" t="s">
        <v>34</v>
      </c>
      <c r="R259" s="1">
        <v>41136</v>
      </c>
      <c r="S259">
        <v>68.37</v>
      </c>
      <c r="T259">
        <v>1188</v>
      </c>
    </row>
    <row r="260" spans="6:20" x14ac:dyDescent="0.2">
      <c r="F260" t="s">
        <v>34</v>
      </c>
      <c r="G260" s="1">
        <v>38424</v>
      </c>
      <c r="H260">
        <v>53</v>
      </c>
      <c r="I260">
        <v>58.24</v>
      </c>
      <c r="J260">
        <v>1289</v>
      </c>
      <c r="L260" t="s">
        <v>79</v>
      </c>
      <c r="M260" s="1">
        <v>40866</v>
      </c>
      <c r="N260">
        <v>53.19</v>
      </c>
      <c r="O260">
        <v>1200</v>
      </c>
      <c r="Q260" t="s">
        <v>82</v>
      </c>
      <c r="R260" s="1">
        <v>40057</v>
      </c>
      <c r="S260">
        <v>46.03</v>
      </c>
      <c r="T260">
        <v>1300</v>
      </c>
    </row>
    <row r="261" spans="6:20" x14ac:dyDescent="0.2">
      <c r="F261" t="s">
        <v>34</v>
      </c>
      <c r="G261" s="1">
        <v>39036</v>
      </c>
      <c r="H261">
        <v>54</v>
      </c>
      <c r="I261">
        <v>60</v>
      </c>
      <c r="J261">
        <v>1289</v>
      </c>
      <c r="L261" t="s">
        <v>79</v>
      </c>
      <c r="M261" s="1">
        <v>41783</v>
      </c>
      <c r="N261">
        <v>40</v>
      </c>
      <c r="O261">
        <v>1200</v>
      </c>
      <c r="Q261" t="s">
        <v>82</v>
      </c>
      <c r="R261" s="1">
        <v>40101</v>
      </c>
      <c r="S261">
        <v>44.44</v>
      </c>
      <c r="T261">
        <v>1300</v>
      </c>
    </row>
    <row r="262" spans="6:20" x14ac:dyDescent="0.2">
      <c r="F262" t="s">
        <v>34</v>
      </c>
      <c r="G262" s="1">
        <v>39128</v>
      </c>
      <c r="H262">
        <v>45</v>
      </c>
      <c r="I262">
        <v>52.33</v>
      </c>
      <c r="J262">
        <v>1289</v>
      </c>
      <c r="L262" t="s">
        <v>79</v>
      </c>
      <c r="M262" s="1">
        <v>42076</v>
      </c>
      <c r="N262">
        <v>31.87</v>
      </c>
      <c r="O262">
        <v>1200</v>
      </c>
      <c r="Q262" t="s">
        <v>82</v>
      </c>
      <c r="R262" s="1">
        <v>40139</v>
      </c>
      <c r="S262">
        <v>41.49</v>
      </c>
      <c r="T262">
        <v>1396</v>
      </c>
    </row>
    <row r="263" spans="6:20" x14ac:dyDescent="0.2">
      <c r="F263" t="s">
        <v>34</v>
      </c>
      <c r="G263" s="1">
        <v>39217</v>
      </c>
      <c r="H263">
        <v>35</v>
      </c>
      <c r="I263">
        <v>41.18</v>
      </c>
      <c r="J263">
        <v>1289</v>
      </c>
      <c r="L263" t="s">
        <v>79</v>
      </c>
      <c r="M263" s="1">
        <v>42432</v>
      </c>
      <c r="N263">
        <v>8</v>
      </c>
      <c r="O263">
        <v>1200</v>
      </c>
      <c r="Q263" t="s">
        <v>82</v>
      </c>
      <c r="R263" s="1">
        <v>40342</v>
      </c>
      <c r="S263">
        <v>42.71</v>
      </c>
      <c r="T263">
        <v>1269</v>
      </c>
    </row>
    <row r="264" spans="6:20" x14ac:dyDescent="0.2">
      <c r="F264" t="s">
        <v>34</v>
      </c>
      <c r="G264" s="1">
        <v>39257</v>
      </c>
      <c r="H264">
        <v>37</v>
      </c>
      <c r="I264">
        <v>46.25</v>
      </c>
      <c r="J264">
        <v>1289</v>
      </c>
      <c r="L264" t="s">
        <v>34</v>
      </c>
      <c r="M264" s="1">
        <v>38424</v>
      </c>
      <c r="N264">
        <v>58.24</v>
      </c>
      <c r="O264">
        <v>1289</v>
      </c>
      <c r="Q264" t="s">
        <v>82</v>
      </c>
      <c r="R264" s="1">
        <v>40422</v>
      </c>
      <c r="S264">
        <v>47.42</v>
      </c>
      <c r="T264">
        <v>1269</v>
      </c>
    </row>
    <row r="265" spans="6:20" x14ac:dyDescent="0.2">
      <c r="F265" t="s">
        <v>34</v>
      </c>
      <c r="G265" s="1">
        <v>39287</v>
      </c>
      <c r="H265">
        <v>45</v>
      </c>
      <c r="I265">
        <v>54.22</v>
      </c>
      <c r="J265">
        <v>1289</v>
      </c>
      <c r="L265" t="s">
        <v>34</v>
      </c>
      <c r="M265" s="1">
        <v>39036</v>
      </c>
      <c r="N265">
        <v>60</v>
      </c>
      <c r="O265">
        <v>1289</v>
      </c>
      <c r="Q265" t="s">
        <v>82</v>
      </c>
      <c r="R265" s="1">
        <v>39736</v>
      </c>
      <c r="S265">
        <v>66.3</v>
      </c>
      <c r="T265">
        <v>1269</v>
      </c>
    </row>
    <row r="266" spans="6:20" x14ac:dyDescent="0.2">
      <c r="F266" t="s">
        <v>34</v>
      </c>
      <c r="G266" s="1">
        <v>41136</v>
      </c>
      <c r="H266">
        <v>67</v>
      </c>
      <c r="I266">
        <v>68.37</v>
      </c>
      <c r="J266">
        <v>1289</v>
      </c>
      <c r="L266" t="s">
        <v>34</v>
      </c>
      <c r="M266" s="1">
        <v>39128</v>
      </c>
      <c r="N266">
        <v>52.33</v>
      </c>
      <c r="O266">
        <v>1289</v>
      </c>
      <c r="Q266" t="s">
        <v>82</v>
      </c>
      <c r="R266" s="1">
        <v>40313</v>
      </c>
      <c r="S266">
        <v>65.31</v>
      </c>
      <c r="T266">
        <v>1269</v>
      </c>
    </row>
    <row r="267" spans="6:20" x14ac:dyDescent="0.2">
      <c r="F267" t="s">
        <v>82</v>
      </c>
      <c r="G267" s="1">
        <v>40057</v>
      </c>
      <c r="H267">
        <v>29</v>
      </c>
      <c r="I267">
        <v>46.03</v>
      </c>
      <c r="J267">
        <v>1289</v>
      </c>
      <c r="L267" t="s">
        <v>34</v>
      </c>
      <c r="M267" s="1">
        <v>39217</v>
      </c>
      <c r="N267">
        <v>41.18</v>
      </c>
      <c r="O267">
        <v>1289</v>
      </c>
      <c r="Q267" t="s">
        <v>242</v>
      </c>
      <c r="R267" s="1">
        <v>39614</v>
      </c>
      <c r="S267">
        <v>75.099999999999994</v>
      </c>
      <c r="T267">
        <v>2500</v>
      </c>
    </row>
    <row r="268" spans="6:20" x14ac:dyDescent="0.2">
      <c r="F268" t="s">
        <v>82</v>
      </c>
      <c r="G268" s="1">
        <v>40101</v>
      </c>
      <c r="H268">
        <v>40</v>
      </c>
      <c r="I268">
        <v>44.44</v>
      </c>
      <c r="J268">
        <v>1289</v>
      </c>
      <c r="L268" t="s">
        <v>34</v>
      </c>
      <c r="M268" s="1">
        <v>39257</v>
      </c>
      <c r="N268">
        <v>46.25</v>
      </c>
      <c r="O268">
        <v>1289</v>
      </c>
      <c r="Q268" t="s">
        <v>242</v>
      </c>
      <c r="R268" s="1">
        <v>39644</v>
      </c>
      <c r="S268">
        <v>71.52</v>
      </c>
      <c r="T268">
        <v>2500</v>
      </c>
    </row>
    <row r="269" spans="6:20" x14ac:dyDescent="0.2">
      <c r="F269" t="s">
        <v>82</v>
      </c>
      <c r="G269" s="1">
        <v>40139</v>
      </c>
      <c r="H269">
        <v>39</v>
      </c>
      <c r="I269">
        <v>41.49</v>
      </c>
      <c r="J269">
        <v>1289</v>
      </c>
      <c r="L269" t="s">
        <v>34</v>
      </c>
      <c r="M269" s="1">
        <v>39287</v>
      </c>
      <c r="N269">
        <v>54.22</v>
      </c>
      <c r="O269">
        <v>1289</v>
      </c>
      <c r="Q269" t="s">
        <v>242</v>
      </c>
      <c r="R269" s="1">
        <v>39701</v>
      </c>
      <c r="S269">
        <v>71.78</v>
      </c>
      <c r="T269">
        <v>2500</v>
      </c>
    </row>
    <row r="270" spans="6:20" x14ac:dyDescent="0.2">
      <c r="F270" t="s">
        <v>82</v>
      </c>
      <c r="G270" s="1">
        <v>40342</v>
      </c>
      <c r="H270">
        <v>41</v>
      </c>
      <c r="I270">
        <v>42.71</v>
      </c>
      <c r="J270">
        <v>1289</v>
      </c>
      <c r="L270" t="s">
        <v>34</v>
      </c>
      <c r="M270" s="1">
        <v>41136</v>
      </c>
      <c r="N270">
        <v>68.37</v>
      </c>
      <c r="O270">
        <v>1289</v>
      </c>
      <c r="Q270" t="s">
        <v>242</v>
      </c>
      <c r="R270" s="1">
        <v>39731</v>
      </c>
      <c r="S270">
        <v>76.099999999999994</v>
      </c>
      <c r="T270">
        <v>2500</v>
      </c>
    </row>
    <row r="271" spans="6:20" x14ac:dyDescent="0.2">
      <c r="F271" t="s">
        <v>82</v>
      </c>
      <c r="G271" s="1">
        <v>40422</v>
      </c>
      <c r="H271">
        <v>46</v>
      </c>
      <c r="I271">
        <v>47.42</v>
      </c>
      <c r="J271">
        <v>1289</v>
      </c>
      <c r="L271" t="s">
        <v>82</v>
      </c>
      <c r="M271" s="1">
        <v>40057</v>
      </c>
      <c r="N271">
        <v>46.03</v>
      </c>
      <c r="O271">
        <v>1289</v>
      </c>
      <c r="Q271" t="s">
        <v>242</v>
      </c>
      <c r="R271" s="1">
        <v>39797</v>
      </c>
      <c r="S271">
        <v>73.95</v>
      </c>
      <c r="T271">
        <v>2500</v>
      </c>
    </row>
    <row r="272" spans="6:20" x14ac:dyDescent="0.2">
      <c r="F272" t="s">
        <v>82</v>
      </c>
      <c r="G272" s="1">
        <v>39736</v>
      </c>
      <c r="H272">
        <v>61</v>
      </c>
      <c r="I272">
        <v>66.3</v>
      </c>
      <c r="J272">
        <v>1289</v>
      </c>
      <c r="L272" t="s">
        <v>82</v>
      </c>
      <c r="M272" s="1">
        <v>40101</v>
      </c>
      <c r="N272">
        <v>44.44</v>
      </c>
      <c r="O272">
        <v>1289</v>
      </c>
      <c r="Q272" t="s">
        <v>242</v>
      </c>
      <c r="R272" s="1">
        <v>39828</v>
      </c>
      <c r="S272">
        <v>72.900000000000006</v>
      </c>
      <c r="T272">
        <v>2500</v>
      </c>
    </row>
    <row r="273" spans="6:20" x14ac:dyDescent="0.2">
      <c r="F273" t="s">
        <v>82</v>
      </c>
      <c r="G273" s="1">
        <v>40313</v>
      </c>
      <c r="H273">
        <v>64</v>
      </c>
      <c r="I273">
        <v>65.31</v>
      </c>
      <c r="J273">
        <v>1289</v>
      </c>
      <c r="L273" t="s">
        <v>82</v>
      </c>
      <c r="M273" s="1">
        <v>40139</v>
      </c>
      <c r="N273">
        <v>41.49</v>
      </c>
      <c r="O273">
        <v>1289</v>
      </c>
      <c r="Q273" t="s">
        <v>242</v>
      </c>
      <c r="R273" s="1">
        <v>40071</v>
      </c>
      <c r="S273">
        <v>75.239999999999995</v>
      </c>
      <c r="T273">
        <v>2500</v>
      </c>
    </row>
    <row r="274" spans="6:20" x14ac:dyDescent="0.2">
      <c r="F274" t="s">
        <v>242</v>
      </c>
      <c r="G274" s="1">
        <v>39614</v>
      </c>
      <c r="H274">
        <v>57.3</v>
      </c>
      <c r="I274">
        <v>75.099999999999994</v>
      </c>
      <c r="J274">
        <v>2605</v>
      </c>
      <c r="L274" t="s">
        <v>82</v>
      </c>
      <c r="M274" s="1">
        <v>40342</v>
      </c>
      <c r="N274">
        <v>42.71</v>
      </c>
      <c r="O274">
        <v>1289</v>
      </c>
      <c r="Q274" t="s">
        <v>242</v>
      </c>
      <c r="R274" s="1">
        <v>40132</v>
      </c>
      <c r="S274">
        <v>66.62</v>
      </c>
      <c r="T274">
        <v>2500</v>
      </c>
    </row>
    <row r="275" spans="6:20" x14ac:dyDescent="0.2">
      <c r="F275" t="s">
        <v>242</v>
      </c>
      <c r="G275" s="1">
        <v>39644</v>
      </c>
      <c r="H275">
        <v>55.5</v>
      </c>
      <c r="I275">
        <v>71.52</v>
      </c>
      <c r="J275">
        <v>2605</v>
      </c>
      <c r="L275" t="s">
        <v>82</v>
      </c>
      <c r="M275" s="1">
        <v>40422</v>
      </c>
      <c r="N275">
        <v>47.42</v>
      </c>
      <c r="O275">
        <v>1289</v>
      </c>
      <c r="Q275" t="s">
        <v>242</v>
      </c>
      <c r="R275" s="1">
        <v>40162</v>
      </c>
      <c r="S275">
        <v>69.72</v>
      </c>
      <c r="T275">
        <v>2500</v>
      </c>
    </row>
    <row r="276" spans="6:20" x14ac:dyDescent="0.2">
      <c r="F276" t="s">
        <v>242</v>
      </c>
      <c r="G276" s="1">
        <v>39701</v>
      </c>
      <c r="H276">
        <v>52.4</v>
      </c>
      <c r="I276">
        <v>71.78</v>
      </c>
      <c r="J276">
        <v>2605</v>
      </c>
      <c r="L276" t="s">
        <v>82</v>
      </c>
      <c r="M276" s="1">
        <v>39736</v>
      </c>
      <c r="N276">
        <v>66.3</v>
      </c>
      <c r="O276">
        <v>1289</v>
      </c>
      <c r="Q276" t="s">
        <v>242</v>
      </c>
      <c r="R276" s="1">
        <v>40219</v>
      </c>
      <c r="S276">
        <v>64.78</v>
      </c>
      <c r="T276">
        <v>2500</v>
      </c>
    </row>
    <row r="277" spans="6:20" x14ac:dyDescent="0.2">
      <c r="F277" t="s">
        <v>242</v>
      </c>
      <c r="G277" s="1">
        <v>39731</v>
      </c>
      <c r="H277">
        <v>57</v>
      </c>
      <c r="I277">
        <v>76.099999999999994</v>
      </c>
      <c r="J277">
        <v>2605</v>
      </c>
      <c r="L277" t="s">
        <v>82</v>
      </c>
      <c r="M277" s="1">
        <v>40313</v>
      </c>
      <c r="N277">
        <v>65.31</v>
      </c>
      <c r="O277">
        <v>1289</v>
      </c>
      <c r="Q277" t="s">
        <v>242</v>
      </c>
      <c r="R277" s="1">
        <v>40252</v>
      </c>
      <c r="S277">
        <v>66.77</v>
      </c>
      <c r="T277">
        <v>2500</v>
      </c>
    </row>
    <row r="278" spans="6:20" x14ac:dyDescent="0.2">
      <c r="F278" t="s">
        <v>242</v>
      </c>
      <c r="G278" s="1">
        <v>39797</v>
      </c>
      <c r="H278">
        <v>56.2</v>
      </c>
      <c r="I278">
        <v>73.95</v>
      </c>
      <c r="J278">
        <v>2605</v>
      </c>
      <c r="L278" t="s">
        <v>242</v>
      </c>
      <c r="M278" s="1">
        <v>39614</v>
      </c>
      <c r="N278">
        <v>75.099999999999994</v>
      </c>
      <c r="O278">
        <v>2605</v>
      </c>
      <c r="Q278" t="s">
        <v>242</v>
      </c>
      <c r="R278" s="1">
        <v>40313</v>
      </c>
      <c r="S278">
        <v>63.95</v>
      </c>
      <c r="T278">
        <v>2500</v>
      </c>
    </row>
    <row r="279" spans="6:20" x14ac:dyDescent="0.2">
      <c r="F279" t="s">
        <v>242</v>
      </c>
      <c r="G279" s="1">
        <v>39828</v>
      </c>
      <c r="H279">
        <v>53.8</v>
      </c>
      <c r="I279">
        <v>72.900000000000006</v>
      </c>
      <c r="J279">
        <v>2605</v>
      </c>
      <c r="L279" t="s">
        <v>242</v>
      </c>
      <c r="M279" s="1">
        <v>39644</v>
      </c>
      <c r="N279">
        <v>71.52</v>
      </c>
      <c r="O279">
        <v>2605</v>
      </c>
      <c r="Q279" t="s">
        <v>242</v>
      </c>
      <c r="R279" s="1">
        <v>40347</v>
      </c>
      <c r="S279">
        <v>68.33</v>
      </c>
      <c r="T279">
        <v>2499</v>
      </c>
    </row>
    <row r="280" spans="6:20" x14ac:dyDescent="0.2">
      <c r="F280" t="s">
        <v>242</v>
      </c>
      <c r="G280" s="1">
        <v>40071</v>
      </c>
      <c r="H280">
        <v>55.6</v>
      </c>
      <c r="I280">
        <v>75.239999999999995</v>
      </c>
      <c r="J280">
        <v>2605</v>
      </c>
      <c r="L280" t="s">
        <v>242</v>
      </c>
      <c r="M280" s="1">
        <v>39701</v>
      </c>
      <c r="N280">
        <v>71.78</v>
      </c>
      <c r="O280">
        <v>2605</v>
      </c>
      <c r="Q280" t="s">
        <v>242</v>
      </c>
      <c r="R280" s="1">
        <v>40386</v>
      </c>
      <c r="S280">
        <v>68.53</v>
      </c>
      <c r="T280">
        <v>2501</v>
      </c>
    </row>
    <row r="281" spans="6:20" x14ac:dyDescent="0.2">
      <c r="F281" t="s">
        <v>242</v>
      </c>
      <c r="G281" s="1">
        <v>40132</v>
      </c>
      <c r="H281">
        <v>44.1</v>
      </c>
      <c r="I281">
        <v>66.62</v>
      </c>
      <c r="J281">
        <v>2605</v>
      </c>
      <c r="L281" t="s">
        <v>242</v>
      </c>
      <c r="M281" s="1">
        <v>39731</v>
      </c>
      <c r="N281">
        <v>76.099999999999994</v>
      </c>
      <c r="O281">
        <v>2605</v>
      </c>
      <c r="Q281" t="s">
        <v>242</v>
      </c>
      <c r="R281" s="1">
        <v>40425</v>
      </c>
      <c r="S281">
        <v>67.58</v>
      </c>
      <c r="T281">
        <v>2500</v>
      </c>
    </row>
    <row r="282" spans="6:20" x14ac:dyDescent="0.2">
      <c r="F282" t="s">
        <v>242</v>
      </c>
      <c r="G282" s="1">
        <v>40162</v>
      </c>
      <c r="H282">
        <v>47.2</v>
      </c>
      <c r="I282">
        <v>69.72</v>
      </c>
      <c r="J282">
        <v>2605</v>
      </c>
      <c r="L282" t="s">
        <v>242</v>
      </c>
      <c r="M282" s="1">
        <v>39797</v>
      </c>
      <c r="N282">
        <v>73.95</v>
      </c>
      <c r="O282">
        <v>2605</v>
      </c>
      <c r="Q282" t="s">
        <v>242</v>
      </c>
      <c r="R282" s="1">
        <v>40441</v>
      </c>
      <c r="S282">
        <v>68.88</v>
      </c>
      <c r="T282">
        <v>2500</v>
      </c>
    </row>
    <row r="283" spans="6:20" x14ac:dyDescent="0.2">
      <c r="F283" t="s">
        <v>242</v>
      </c>
      <c r="G283" s="1">
        <v>40219</v>
      </c>
      <c r="H283">
        <v>37.700000000000003</v>
      </c>
      <c r="I283">
        <v>64.78</v>
      </c>
      <c r="J283">
        <v>2605</v>
      </c>
      <c r="L283" t="s">
        <v>242</v>
      </c>
      <c r="M283" s="1">
        <v>39828</v>
      </c>
      <c r="N283">
        <v>72.900000000000006</v>
      </c>
      <c r="O283">
        <v>2605</v>
      </c>
      <c r="Q283" t="s">
        <v>242</v>
      </c>
      <c r="R283" s="1">
        <v>40471</v>
      </c>
      <c r="S283">
        <v>71.08</v>
      </c>
      <c r="T283">
        <v>2500</v>
      </c>
    </row>
    <row r="284" spans="6:20" x14ac:dyDescent="0.2">
      <c r="F284" t="s">
        <v>242</v>
      </c>
      <c r="G284" s="1">
        <v>40252</v>
      </c>
      <c r="H284">
        <v>43</v>
      </c>
      <c r="I284">
        <v>66.77</v>
      </c>
      <c r="J284">
        <v>2605</v>
      </c>
      <c r="L284" t="s">
        <v>242</v>
      </c>
      <c r="M284" s="1">
        <v>40071</v>
      </c>
      <c r="N284">
        <v>75.239999999999995</v>
      </c>
      <c r="O284">
        <v>2605</v>
      </c>
      <c r="Q284" t="s">
        <v>242</v>
      </c>
      <c r="R284" s="1">
        <v>40558</v>
      </c>
      <c r="S284">
        <v>71.69</v>
      </c>
      <c r="T284">
        <v>2500</v>
      </c>
    </row>
    <row r="285" spans="6:20" x14ac:dyDescent="0.2">
      <c r="F285" t="s">
        <v>242</v>
      </c>
      <c r="G285" s="1">
        <v>40313</v>
      </c>
      <c r="H285">
        <v>42.4</v>
      </c>
      <c r="I285">
        <v>63.95</v>
      </c>
      <c r="J285">
        <v>2605</v>
      </c>
      <c r="L285" t="s">
        <v>242</v>
      </c>
      <c r="M285" s="1">
        <v>40132</v>
      </c>
      <c r="N285">
        <v>66.62</v>
      </c>
      <c r="O285">
        <v>2605</v>
      </c>
      <c r="Q285" t="s">
        <v>272</v>
      </c>
      <c r="R285" s="1">
        <v>40597</v>
      </c>
      <c r="S285">
        <v>72.150000000000006</v>
      </c>
      <c r="T285">
        <v>1000</v>
      </c>
    </row>
    <row r="286" spans="6:20" x14ac:dyDescent="0.2">
      <c r="F286" t="s">
        <v>242</v>
      </c>
      <c r="G286" s="1">
        <v>40347</v>
      </c>
      <c r="H286">
        <v>47.9</v>
      </c>
      <c r="I286">
        <v>68.33</v>
      </c>
      <c r="J286">
        <v>2605</v>
      </c>
      <c r="L286" t="s">
        <v>242</v>
      </c>
      <c r="M286" s="1">
        <v>40162</v>
      </c>
      <c r="N286">
        <v>69.72</v>
      </c>
      <c r="O286">
        <v>2605</v>
      </c>
      <c r="Q286" t="s">
        <v>272</v>
      </c>
      <c r="R286" s="1">
        <v>40619</v>
      </c>
      <c r="S286">
        <v>70.83</v>
      </c>
      <c r="T286">
        <v>2500</v>
      </c>
    </row>
    <row r="287" spans="6:20" x14ac:dyDescent="0.2">
      <c r="F287" t="s">
        <v>242</v>
      </c>
      <c r="G287" s="1">
        <v>40386</v>
      </c>
      <c r="H287">
        <v>46.6</v>
      </c>
      <c r="I287">
        <v>68.53</v>
      </c>
      <c r="J287">
        <v>2605</v>
      </c>
      <c r="L287" t="s">
        <v>242</v>
      </c>
      <c r="M287" s="1">
        <v>40219</v>
      </c>
      <c r="N287">
        <v>64.78</v>
      </c>
      <c r="O287">
        <v>2605</v>
      </c>
      <c r="Q287" t="s">
        <v>272</v>
      </c>
      <c r="R287" s="1">
        <v>40667</v>
      </c>
      <c r="S287">
        <v>71.23</v>
      </c>
      <c r="T287">
        <v>2500</v>
      </c>
    </row>
    <row r="288" spans="6:20" x14ac:dyDescent="0.2">
      <c r="F288" t="s">
        <v>242</v>
      </c>
      <c r="G288" s="1">
        <v>40425</v>
      </c>
      <c r="H288">
        <v>49.2</v>
      </c>
      <c r="I288">
        <v>67.58</v>
      </c>
      <c r="J288">
        <v>2605</v>
      </c>
      <c r="L288" t="s">
        <v>242</v>
      </c>
      <c r="M288" s="1">
        <v>40252</v>
      </c>
      <c r="N288">
        <v>66.77</v>
      </c>
      <c r="O288">
        <v>2605</v>
      </c>
      <c r="Q288" t="s">
        <v>272</v>
      </c>
      <c r="R288" s="1">
        <v>40687</v>
      </c>
      <c r="S288">
        <v>68.86</v>
      </c>
      <c r="T288">
        <v>1500</v>
      </c>
    </row>
    <row r="289" spans="6:20" x14ac:dyDescent="0.2">
      <c r="F289" t="s">
        <v>242</v>
      </c>
      <c r="G289" s="1">
        <v>40441</v>
      </c>
      <c r="H289">
        <v>48.7</v>
      </c>
      <c r="I289">
        <v>68.88</v>
      </c>
      <c r="J289">
        <v>2605</v>
      </c>
      <c r="L289" t="s">
        <v>242</v>
      </c>
      <c r="M289" s="1">
        <v>40313</v>
      </c>
      <c r="N289">
        <v>63.95</v>
      </c>
      <c r="O289">
        <v>2605</v>
      </c>
      <c r="Q289" t="s">
        <v>272</v>
      </c>
      <c r="R289" s="1">
        <v>40727</v>
      </c>
      <c r="S289">
        <v>71.430000000000007</v>
      </c>
      <c r="T289">
        <v>2500</v>
      </c>
    </row>
    <row r="290" spans="6:20" x14ac:dyDescent="0.2">
      <c r="F290" t="s">
        <v>242</v>
      </c>
      <c r="G290" s="1">
        <v>40471</v>
      </c>
      <c r="H290">
        <v>53.1</v>
      </c>
      <c r="I290">
        <v>71.08</v>
      </c>
      <c r="J290">
        <v>2605</v>
      </c>
      <c r="L290" t="s">
        <v>242</v>
      </c>
      <c r="M290" s="1">
        <v>40347</v>
      </c>
      <c r="N290">
        <v>68.33</v>
      </c>
      <c r="O290">
        <v>2605</v>
      </c>
      <c r="Q290" t="s">
        <v>272</v>
      </c>
      <c r="R290" s="1">
        <v>40784</v>
      </c>
      <c r="S290">
        <v>72.84</v>
      </c>
      <c r="T290">
        <v>2500</v>
      </c>
    </row>
    <row r="291" spans="6:20" x14ac:dyDescent="0.2">
      <c r="F291" t="s">
        <v>242</v>
      </c>
      <c r="G291" s="1">
        <v>40558</v>
      </c>
      <c r="H291">
        <v>54.7</v>
      </c>
      <c r="I291">
        <v>71.69</v>
      </c>
      <c r="J291">
        <v>2605</v>
      </c>
      <c r="L291" t="s">
        <v>242</v>
      </c>
      <c r="M291" s="1">
        <v>40386</v>
      </c>
      <c r="N291">
        <v>68.53</v>
      </c>
      <c r="O291">
        <v>2605</v>
      </c>
      <c r="Q291" t="s">
        <v>272</v>
      </c>
      <c r="R291" s="1">
        <v>40813</v>
      </c>
      <c r="S291">
        <v>75.31</v>
      </c>
      <c r="T291">
        <v>2500</v>
      </c>
    </row>
    <row r="292" spans="6:20" x14ac:dyDescent="0.2">
      <c r="F292" t="s">
        <v>272</v>
      </c>
      <c r="G292" s="1">
        <v>40597</v>
      </c>
      <c r="H292">
        <v>57</v>
      </c>
      <c r="I292">
        <v>72.150000000000006</v>
      </c>
      <c r="J292">
        <v>2605</v>
      </c>
      <c r="L292" t="s">
        <v>242</v>
      </c>
      <c r="M292" s="1">
        <v>40425</v>
      </c>
      <c r="N292">
        <v>67.58</v>
      </c>
      <c r="O292">
        <v>2605</v>
      </c>
      <c r="Q292" t="s">
        <v>272</v>
      </c>
      <c r="R292" s="1">
        <v>40852</v>
      </c>
      <c r="S292">
        <v>77.5</v>
      </c>
      <c r="T292">
        <v>2500</v>
      </c>
    </row>
    <row r="293" spans="6:20" x14ac:dyDescent="0.2">
      <c r="F293" t="s">
        <v>272</v>
      </c>
      <c r="G293" s="1">
        <v>40619</v>
      </c>
      <c r="H293">
        <v>51</v>
      </c>
      <c r="I293">
        <v>70.83</v>
      </c>
      <c r="J293">
        <v>2605</v>
      </c>
      <c r="L293" t="s">
        <v>242</v>
      </c>
      <c r="M293" s="1">
        <v>40441</v>
      </c>
      <c r="N293">
        <v>68.88</v>
      </c>
      <c r="O293">
        <v>2605</v>
      </c>
      <c r="Q293" t="s">
        <v>272</v>
      </c>
      <c r="R293" s="1">
        <v>40887</v>
      </c>
      <c r="S293">
        <v>75</v>
      </c>
      <c r="T293">
        <v>2500</v>
      </c>
    </row>
    <row r="294" spans="6:20" x14ac:dyDescent="0.2">
      <c r="F294" t="s">
        <v>272</v>
      </c>
      <c r="G294" s="1">
        <v>40667</v>
      </c>
      <c r="H294">
        <v>52</v>
      </c>
      <c r="I294">
        <v>71.23</v>
      </c>
      <c r="J294">
        <v>2605</v>
      </c>
      <c r="L294" t="s">
        <v>242</v>
      </c>
      <c r="M294" s="1">
        <v>40471</v>
      </c>
      <c r="N294">
        <v>71.08</v>
      </c>
      <c r="O294">
        <v>2605</v>
      </c>
      <c r="Q294" t="s">
        <v>272</v>
      </c>
      <c r="R294" s="1">
        <v>40929</v>
      </c>
      <c r="S294">
        <v>76.25</v>
      </c>
      <c r="T294">
        <v>1500</v>
      </c>
    </row>
    <row r="295" spans="6:20" x14ac:dyDescent="0.2">
      <c r="F295" t="s">
        <v>272</v>
      </c>
      <c r="G295" s="1">
        <v>40687</v>
      </c>
      <c r="H295">
        <v>53.3</v>
      </c>
      <c r="I295">
        <v>68.86</v>
      </c>
      <c r="J295">
        <v>2605</v>
      </c>
      <c r="L295" t="s">
        <v>242</v>
      </c>
      <c r="M295" s="1">
        <v>40558</v>
      </c>
      <c r="N295">
        <v>71.69</v>
      </c>
      <c r="O295">
        <v>2605</v>
      </c>
      <c r="Q295" t="s">
        <v>272</v>
      </c>
      <c r="R295" s="1">
        <v>40973</v>
      </c>
      <c r="S295">
        <v>76.83</v>
      </c>
      <c r="T295">
        <v>2500</v>
      </c>
    </row>
    <row r="296" spans="6:20" x14ac:dyDescent="0.2">
      <c r="F296" t="s">
        <v>272</v>
      </c>
      <c r="G296" s="1">
        <v>40727</v>
      </c>
      <c r="H296">
        <v>55</v>
      </c>
      <c r="I296">
        <v>71.430000000000007</v>
      </c>
      <c r="J296">
        <v>2605</v>
      </c>
      <c r="L296" t="s">
        <v>272</v>
      </c>
      <c r="M296" s="1">
        <v>40597</v>
      </c>
      <c r="N296">
        <v>72.150000000000006</v>
      </c>
      <c r="O296">
        <v>2605</v>
      </c>
      <c r="Q296" t="s">
        <v>272</v>
      </c>
      <c r="R296" s="1">
        <v>41034</v>
      </c>
      <c r="S296">
        <v>78.569999999999993</v>
      </c>
      <c r="T296">
        <v>9300</v>
      </c>
    </row>
    <row r="297" spans="6:20" x14ac:dyDescent="0.2">
      <c r="F297" t="s">
        <v>272</v>
      </c>
      <c r="G297" s="1">
        <v>40784</v>
      </c>
      <c r="H297">
        <v>59</v>
      </c>
      <c r="I297">
        <v>72.84</v>
      </c>
      <c r="J297">
        <v>2605</v>
      </c>
      <c r="L297" t="s">
        <v>272</v>
      </c>
      <c r="M297" s="1">
        <v>40619</v>
      </c>
      <c r="N297">
        <v>70.83</v>
      </c>
      <c r="O297">
        <v>2605</v>
      </c>
      <c r="Q297" t="s">
        <v>272</v>
      </c>
      <c r="R297" s="1">
        <v>41065</v>
      </c>
      <c r="S297">
        <v>78.75</v>
      </c>
      <c r="T297">
        <v>2500</v>
      </c>
    </row>
    <row r="298" spans="6:20" x14ac:dyDescent="0.2">
      <c r="F298" t="s">
        <v>272</v>
      </c>
      <c r="G298" s="1">
        <v>40813</v>
      </c>
      <c r="H298">
        <v>61</v>
      </c>
      <c r="I298">
        <v>75.31</v>
      </c>
      <c r="J298">
        <v>2605</v>
      </c>
      <c r="L298" t="s">
        <v>272</v>
      </c>
      <c r="M298" s="1">
        <v>40667</v>
      </c>
      <c r="N298">
        <v>71.23</v>
      </c>
      <c r="O298">
        <v>2605</v>
      </c>
      <c r="Q298" t="s">
        <v>272</v>
      </c>
      <c r="R298" s="1">
        <v>41123</v>
      </c>
      <c r="S298">
        <v>82.05</v>
      </c>
      <c r="T298">
        <v>2500</v>
      </c>
    </row>
    <row r="299" spans="6:20" x14ac:dyDescent="0.2">
      <c r="F299" t="s">
        <v>272</v>
      </c>
      <c r="G299" s="1">
        <v>40852</v>
      </c>
      <c r="H299">
        <v>62</v>
      </c>
      <c r="I299">
        <v>77.5</v>
      </c>
      <c r="J299">
        <v>2605</v>
      </c>
      <c r="L299" t="s">
        <v>272</v>
      </c>
      <c r="M299" s="1">
        <v>40687</v>
      </c>
      <c r="N299">
        <v>68.86</v>
      </c>
      <c r="O299">
        <v>2605</v>
      </c>
      <c r="Q299" t="s">
        <v>272</v>
      </c>
      <c r="R299" s="1">
        <v>41218</v>
      </c>
      <c r="S299">
        <v>75.95</v>
      </c>
      <c r="T299">
        <v>2500</v>
      </c>
    </row>
    <row r="300" spans="6:20" x14ac:dyDescent="0.2">
      <c r="F300" t="s">
        <v>272</v>
      </c>
      <c r="G300" s="1">
        <v>40887</v>
      </c>
      <c r="H300">
        <v>60</v>
      </c>
      <c r="I300">
        <v>75</v>
      </c>
      <c r="J300">
        <v>2605</v>
      </c>
      <c r="L300" t="s">
        <v>272</v>
      </c>
      <c r="M300" s="1">
        <v>40727</v>
      </c>
      <c r="N300">
        <v>71.430000000000007</v>
      </c>
      <c r="O300">
        <v>2605</v>
      </c>
      <c r="Q300" t="s">
        <v>272</v>
      </c>
      <c r="R300" s="1">
        <v>41250</v>
      </c>
      <c r="S300">
        <v>75</v>
      </c>
      <c r="T300">
        <v>1500</v>
      </c>
    </row>
    <row r="301" spans="6:20" x14ac:dyDescent="0.2">
      <c r="F301" t="s">
        <v>272</v>
      </c>
      <c r="G301" s="1">
        <v>40929</v>
      </c>
      <c r="H301">
        <v>61</v>
      </c>
      <c r="I301">
        <v>76.25</v>
      </c>
      <c r="J301">
        <v>2605</v>
      </c>
      <c r="L301" t="s">
        <v>272</v>
      </c>
      <c r="M301" s="1">
        <v>40784</v>
      </c>
      <c r="N301">
        <v>72.84</v>
      </c>
      <c r="O301">
        <v>2605</v>
      </c>
      <c r="Q301" t="s">
        <v>272</v>
      </c>
      <c r="R301" s="1">
        <v>41297</v>
      </c>
      <c r="S301">
        <v>82.35</v>
      </c>
      <c r="T301">
        <v>2500</v>
      </c>
    </row>
    <row r="302" spans="6:20" x14ac:dyDescent="0.2">
      <c r="F302" t="s">
        <v>272</v>
      </c>
      <c r="G302" s="1">
        <v>40973</v>
      </c>
      <c r="H302">
        <v>63</v>
      </c>
      <c r="I302">
        <v>76.83</v>
      </c>
      <c r="J302">
        <v>2605</v>
      </c>
      <c r="L302" t="s">
        <v>272</v>
      </c>
      <c r="M302" s="1">
        <v>40813</v>
      </c>
      <c r="N302">
        <v>75.31</v>
      </c>
      <c r="O302">
        <v>2605</v>
      </c>
      <c r="Q302" t="s">
        <v>7</v>
      </c>
      <c r="R302" s="1">
        <v>40235</v>
      </c>
      <c r="S302">
        <v>47.78</v>
      </c>
      <c r="T302">
        <v>1300</v>
      </c>
    </row>
    <row r="303" spans="6:20" x14ac:dyDescent="0.2">
      <c r="F303" t="s">
        <v>272</v>
      </c>
      <c r="G303" s="1">
        <v>41034</v>
      </c>
      <c r="H303">
        <v>66</v>
      </c>
      <c r="I303">
        <v>78.569999999999993</v>
      </c>
      <c r="J303">
        <v>2605</v>
      </c>
      <c r="L303" t="s">
        <v>272</v>
      </c>
      <c r="M303" s="1">
        <v>40852</v>
      </c>
      <c r="N303">
        <v>77.5</v>
      </c>
      <c r="O303">
        <v>2605</v>
      </c>
      <c r="Q303" t="s">
        <v>7</v>
      </c>
      <c r="R303" s="1">
        <v>40326</v>
      </c>
      <c r="S303">
        <v>49.46</v>
      </c>
      <c r="T303">
        <v>1300</v>
      </c>
    </row>
    <row r="304" spans="6:20" x14ac:dyDescent="0.2">
      <c r="F304" t="s">
        <v>272</v>
      </c>
      <c r="G304" s="1">
        <v>41065</v>
      </c>
      <c r="H304">
        <v>63</v>
      </c>
      <c r="I304">
        <v>78.75</v>
      </c>
      <c r="J304">
        <v>2605</v>
      </c>
      <c r="L304" t="s">
        <v>272</v>
      </c>
      <c r="M304" s="1">
        <v>40887</v>
      </c>
      <c r="N304">
        <v>75</v>
      </c>
      <c r="O304">
        <v>2605</v>
      </c>
      <c r="Q304" t="s">
        <v>7</v>
      </c>
      <c r="R304" s="1">
        <v>40595</v>
      </c>
      <c r="S304">
        <v>46.46</v>
      </c>
      <c r="T304">
        <v>1474</v>
      </c>
    </row>
    <row r="305" spans="6:20" x14ac:dyDescent="0.2">
      <c r="F305" t="s">
        <v>272</v>
      </c>
      <c r="G305" s="1">
        <v>41123</v>
      </c>
      <c r="H305">
        <v>64</v>
      </c>
      <c r="I305">
        <v>82.05</v>
      </c>
      <c r="J305">
        <v>2605</v>
      </c>
      <c r="L305" t="s">
        <v>272</v>
      </c>
      <c r="M305" s="1">
        <v>40929</v>
      </c>
      <c r="N305">
        <v>76.25</v>
      </c>
      <c r="O305">
        <v>2605</v>
      </c>
      <c r="Q305" t="s">
        <v>7</v>
      </c>
      <c r="R305" s="1">
        <v>41348</v>
      </c>
      <c r="S305">
        <v>54.84</v>
      </c>
      <c r="T305">
        <v>1960</v>
      </c>
    </row>
    <row r="306" spans="6:20" x14ac:dyDescent="0.2">
      <c r="F306" t="s">
        <v>272</v>
      </c>
      <c r="G306" s="1">
        <v>41218</v>
      </c>
      <c r="H306">
        <v>60</v>
      </c>
      <c r="I306">
        <v>75.95</v>
      </c>
      <c r="J306">
        <v>2605</v>
      </c>
      <c r="L306" t="s">
        <v>272</v>
      </c>
      <c r="M306" s="1">
        <v>40973</v>
      </c>
      <c r="N306">
        <v>76.83</v>
      </c>
      <c r="O306">
        <v>2605</v>
      </c>
      <c r="Q306" t="s">
        <v>7</v>
      </c>
      <c r="R306" s="1">
        <v>41410</v>
      </c>
      <c r="S306">
        <v>48.95</v>
      </c>
      <c r="T306">
        <v>2000</v>
      </c>
    </row>
    <row r="307" spans="6:20" x14ac:dyDescent="0.2">
      <c r="F307" t="s">
        <v>272</v>
      </c>
      <c r="G307" s="1">
        <v>41250</v>
      </c>
      <c r="H307">
        <v>60</v>
      </c>
      <c r="I307">
        <v>75</v>
      </c>
      <c r="J307">
        <v>2605</v>
      </c>
      <c r="L307" t="s">
        <v>272</v>
      </c>
      <c r="M307" s="1">
        <v>41034</v>
      </c>
      <c r="N307">
        <v>78.569999999999993</v>
      </c>
      <c r="O307">
        <v>2605</v>
      </c>
      <c r="Q307" t="s">
        <v>7</v>
      </c>
      <c r="R307" s="1">
        <v>41461</v>
      </c>
      <c r="S307">
        <v>48.18</v>
      </c>
      <c r="T307">
        <v>2000</v>
      </c>
    </row>
    <row r="308" spans="6:20" x14ac:dyDescent="0.2">
      <c r="F308" t="s">
        <v>272</v>
      </c>
      <c r="G308" s="1">
        <v>41297</v>
      </c>
      <c r="H308">
        <v>70</v>
      </c>
      <c r="I308">
        <v>82.35</v>
      </c>
      <c r="J308">
        <v>2605</v>
      </c>
      <c r="L308" t="s">
        <v>272</v>
      </c>
      <c r="M308" s="1">
        <v>41065</v>
      </c>
      <c r="N308">
        <v>78.75</v>
      </c>
      <c r="O308">
        <v>2605</v>
      </c>
      <c r="Q308" t="s">
        <v>4</v>
      </c>
      <c r="R308" s="1">
        <v>40235</v>
      </c>
      <c r="S308">
        <v>46.51</v>
      </c>
      <c r="T308">
        <v>1300</v>
      </c>
    </row>
    <row r="309" spans="6:20" x14ac:dyDescent="0.2">
      <c r="F309" t="s">
        <v>7</v>
      </c>
      <c r="G309" s="1">
        <v>40235</v>
      </c>
      <c r="H309">
        <v>43</v>
      </c>
      <c r="I309">
        <v>47.78</v>
      </c>
      <c r="J309">
        <v>1686</v>
      </c>
      <c r="L309" t="s">
        <v>272</v>
      </c>
      <c r="M309" s="1">
        <v>41123</v>
      </c>
      <c r="N309">
        <v>82.05</v>
      </c>
      <c r="O309">
        <v>2605</v>
      </c>
      <c r="Q309" t="s">
        <v>4</v>
      </c>
      <c r="R309" s="1">
        <v>40326</v>
      </c>
      <c r="S309">
        <v>46.59</v>
      </c>
      <c r="T309">
        <v>1300</v>
      </c>
    </row>
    <row r="310" spans="6:20" x14ac:dyDescent="0.2">
      <c r="F310" t="s">
        <v>7</v>
      </c>
      <c r="G310" s="1">
        <v>40326</v>
      </c>
      <c r="H310">
        <v>46</v>
      </c>
      <c r="I310">
        <v>49.46</v>
      </c>
      <c r="J310">
        <v>1686</v>
      </c>
      <c r="L310" t="s">
        <v>272</v>
      </c>
      <c r="M310" s="1">
        <v>41218</v>
      </c>
      <c r="N310">
        <v>75.95</v>
      </c>
      <c r="O310">
        <v>2605</v>
      </c>
      <c r="Q310" t="s">
        <v>4</v>
      </c>
      <c r="R310" s="1">
        <v>40594</v>
      </c>
      <c r="S310">
        <v>46.74</v>
      </c>
      <c r="T310">
        <v>1538</v>
      </c>
    </row>
    <row r="311" spans="6:20" x14ac:dyDescent="0.2">
      <c r="F311" t="s">
        <v>7</v>
      </c>
      <c r="G311" s="1">
        <v>40595</v>
      </c>
      <c r="H311">
        <v>46</v>
      </c>
      <c r="I311">
        <v>46.46</v>
      </c>
      <c r="J311">
        <v>1686</v>
      </c>
      <c r="L311" t="s">
        <v>272</v>
      </c>
      <c r="M311" s="1">
        <v>41250</v>
      </c>
      <c r="N311">
        <v>75</v>
      </c>
      <c r="O311">
        <v>2605</v>
      </c>
      <c r="Q311" t="s">
        <v>4</v>
      </c>
      <c r="R311" s="1">
        <v>41002</v>
      </c>
      <c r="S311">
        <v>50.83</v>
      </c>
      <c r="T311">
        <v>1900</v>
      </c>
    </row>
    <row r="312" spans="6:20" x14ac:dyDescent="0.2">
      <c r="F312" t="s">
        <v>7</v>
      </c>
      <c r="G312" s="1">
        <v>41348</v>
      </c>
      <c r="H312">
        <v>51</v>
      </c>
      <c r="I312">
        <v>54.84</v>
      </c>
      <c r="J312">
        <v>1686</v>
      </c>
      <c r="L312" t="s">
        <v>272</v>
      </c>
      <c r="M312" s="1">
        <v>41297</v>
      </c>
      <c r="N312">
        <v>82.35</v>
      </c>
      <c r="O312">
        <v>2605</v>
      </c>
      <c r="Q312" t="s">
        <v>4</v>
      </c>
      <c r="R312" s="1">
        <v>41348</v>
      </c>
      <c r="S312">
        <v>54.95</v>
      </c>
      <c r="T312">
        <v>1975</v>
      </c>
    </row>
    <row r="313" spans="6:20" x14ac:dyDescent="0.2">
      <c r="F313" t="s">
        <v>7</v>
      </c>
      <c r="G313" s="1">
        <v>41410</v>
      </c>
      <c r="H313">
        <v>46.8</v>
      </c>
      <c r="I313">
        <v>48.95</v>
      </c>
      <c r="J313">
        <v>1686</v>
      </c>
      <c r="L313" t="s">
        <v>7</v>
      </c>
      <c r="M313" s="1">
        <v>40235</v>
      </c>
      <c r="N313">
        <v>47.78</v>
      </c>
      <c r="O313">
        <v>1686</v>
      </c>
      <c r="Q313" t="s">
        <v>4</v>
      </c>
      <c r="R313" s="1">
        <v>41461</v>
      </c>
      <c r="S313">
        <v>45.16</v>
      </c>
      <c r="T313">
        <v>2000</v>
      </c>
    </row>
    <row r="314" spans="6:20" x14ac:dyDescent="0.2">
      <c r="F314" t="s">
        <v>7</v>
      </c>
      <c r="G314" s="1">
        <v>41461</v>
      </c>
      <c r="H314">
        <v>44.9</v>
      </c>
      <c r="I314">
        <v>48.18</v>
      </c>
      <c r="J314">
        <v>1686</v>
      </c>
      <c r="L314" t="s">
        <v>7</v>
      </c>
      <c r="M314" s="1">
        <v>40326</v>
      </c>
      <c r="N314">
        <v>49.46</v>
      </c>
      <c r="O314">
        <v>1686</v>
      </c>
      <c r="Q314" t="s">
        <v>8</v>
      </c>
      <c r="R314" s="1">
        <v>39706</v>
      </c>
      <c r="S314">
        <v>50</v>
      </c>
      <c r="T314">
        <v>1000</v>
      </c>
    </row>
    <row r="315" spans="6:20" x14ac:dyDescent="0.2">
      <c r="F315" t="s">
        <v>4</v>
      </c>
      <c r="G315" s="1">
        <v>40235</v>
      </c>
      <c r="H315">
        <v>40</v>
      </c>
      <c r="I315">
        <v>46.51</v>
      </c>
      <c r="J315">
        <v>1686</v>
      </c>
      <c r="L315" t="s">
        <v>7</v>
      </c>
      <c r="M315" s="1">
        <v>40595</v>
      </c>
      <c r="N315">
        <v>46.46</v>
      </c>
      <c r="O315">
        <v>1686</v>
      </c>
      <c r="Q315" t="s">
        <v>8</v>
      </c>
      <c r="R315" s="1">
        <v>39850</v>
      </c>
      <c r="S315">
        <v>40</v>
      </c>
      <c r="T315">
        <v>1000</v>
      </c>
    </row>
    <row r="316" spans="6:20" x14ac:dyDescent="0.2">
      <c r="F316" t="s">
        <v>4</v>
      </c>
      <c r="G316" s="1">
        <v>40326</v>
      </c>
      <c r="H316">
        <v>41</v>
      </c>
      <c r="I316">
        <v>46.59</v>
      </c>
      <c r="J316">
        <v>1686</v>
      </c>
      <c r="L316" t="s">
        <v>7</v>
      </c>
      <c r="M316" s="1">
        <v>41348</v>
      </c>
      <c r="N316">
        <v>54.84</v>
      </c>
      <c r="O316">
        <v>1686</v>
      </c>
      <c r="Q316" t="s">
        <v>120</v>
      </c>
      <c r="R316" s="1">
        <v>37909</v>
      </c>
      <c r="S316">
        <v>46.32</v>
      </c>
      <c r="T316">
        <v>1000</v>
      </c>
    </row>
    <row r="317" spans="6:20" x14ac:dyDescent="0.2">
      <c r="F317" t="s">
        <v>4</v>
      </c>
      <c r="G317" s="1">
        <v>40594</v>
      </c>
      <c r="H317">
        <v>43</v>
      </c>
      <c r="I317">
        <v>46.74</v>
      </c>
      <c r="J317">
        <v>1686</v>
      </c>
      <c r="L317" t="s">
        <v>7</v>
      </c>
      <c r="M317" s="1">
        <v>41410</v>
      </c>
      <c r="N317">
        <v>48.95</v>
      </c>
      <c r="O317">
        <v>1686</v>
      </c>
      <c r="Q317" t="s">
        <v>120</v>
      </c>
      <c r="R317" s="1">
        <v>38068</v>
      </c>
      <c r="S317">
        <v>37.5</v>
      </c>
      <c r="T317">
        <v>1000</v>
      </c>
    </row>
    <row r="318" spans="6:20" x14ac:dyDescent="0.2">
      <c r="F318" t="s">
        <v>4</v>
      </c>
      <c r="G318" s="1">
        <v>41002</v>
      </c>
      <c r="H318">
        <v>46.2</v>
      </c>
      <c r="I318">
        <v>50.83</v>
      </c>
      <c r="J318">
        <v>1686</v>
      </c>
      <c r="L318" t="s">
        <v>7</v>
      </c>
      <c r="M318" s="1">
        <v>41461</v>
      </c>
      <c r="N318">
        <v>48.18</v>
      </c>
      <c r="O318">
        <v>1686</v>
      </c>
      <c r="Q318" t="s">
        <v>94</v>
      </c>
      <c r="R318" s="1">
        <v>38190</v>
      </c>
      <c r="S318">
        <v>54.22</v>
      </c>
      <c r="T318">
        <v>2000</v>
      </c>
    </row>
    <row r="319" spans="6:20" x14ac:dyDescent="0.2">
      <c r="F319" t="s">
        <v>4</v>
      </c>
      <c r="G319" s="1">
        <v>41348</v>
      </c>
      <c r="H319">
        <v>50</v>
      </c>
      <c r="I319">
        <v>54.95</v>
      </c>
      <c r="J319">
        <v>1686</v>
      </c>
      <c r="L319" t="s">
        <v>4</v>
      </c>
      <c r="M319" s="1">
        <v>40235</v>
      </c>
      <c r="N319">
        <v>46.51</v>
      </c>
      <c r="O319">
        <v>1686</v>
      </c>
      <c r="Q319" t="s">
        <v>94</v>
      </c>
      <c r="R319" s="1">
        <v>39024</v>
      </c>
      <c r="S319">
        <v>58.89</v>
      </c>
      <c r="T319">
        <v>2000</v>
      </c>
    </row>
    <row r="320" spans="6:20" x14ac:dyDescent="0.2">
      <c r="F320" t="s">
        <v>4</v>
      </c>
      <c r="G320" s="1">
        <v>41461</v>
      </c>
      <c r="H320">
        <v>40.6</v>
      </c>
      <c r="I320">
        <v>45.16</v>
      </c>
      <c r="J320">
        <v>1686</v>
      </c>
      <c r="L320" t="s">
        <v>4</v>
      </c>
      <c r="M320" s="1">
        <v>40326</v>
      </c>
      <c r="N320">
        <v>46.59</v>
      </c>
      <c r="O320">
        <v>1686</v>
      </c>
      <c r="Q320" t="s">
        <v>115</v>
      </c>
      <c r="R320" s="1">
        <v>37892</v>
      </c>
      <c r="S320">
        <v>39.799999999999997</v>
      </c>
      <c r="T320">
        <v>1000</v>
      </c>
    </row>
    <row r="321" spans="6:20" x14ac:dyDescent="0.2">
      <c r="F321" t="s">
        <v>8</v>
      </c>
      <c r="G321" s="1">
        <v>39706</v>
      </c>
      <c r="H321">
        <v>32</v>
      </c>
      <c r="I321">
        <v>50</v>
      </c>
      <c r="J321">
        <v>1197</v>
      </c>
      <c r="L321" t="s">
        <v>4</v>
      </c>
      <c r="M321" s="1">
        <v>40594</v>
      </c>
      <c r="N321">
        <v>46.74</v>
      </c>
      <c r="O321">
        <v>1686</v>
      </c>
      <c r="Q321" t="s">
        <v>227</v>
      </c>
      <c r="R321" s="1">
        <v>41685</v>
      </c>
      <c r="S321">
        <v>36.840000000000003</v>
      </c>
      <c r="T321">
        <v>1304</v>
      </c>
    </row>
    <row r="322" spans="6:20" x14ac:dyDescent="0.2">
      <c r="F322" t="s">
        <v>8</v>
      </c>
      <c r="G322" s="1">
        <v>39850</v>
      </c>
      <c r="H322">
        <v>32</v>
      </c>
      <c r="I322">
        <v>40</v>
      </c>
      <c r="J322">
        <v>1197</v>
      </c>
      <c r="L322" t="s">
        <v>4</v>
      </c>
      <c r="M322" s="1">
        <v>41002</v>
      </c>
      <c r="N322">
        <v>50.83</v>
      </c>
      <c r="O322">
        <v>1686</v>
      </c>
      <c r="Q322" t="s">
        <v>227</v>
      </c>
      <c r="R322" s="1">
        <v>41744</v>
      </c>
      <c r="S322">
        <v>33.33</v>
      </c>
      <c r="T322">
        <v>1304</v>
      </c>
    </row>
    <row r="323" spans="6:20" x14ac:dyDescent="0.2">
      <c r="F323" t="s">
        <v>120</v>
      </c>
      <c r="G323" s="1">
        <v>37909</v>
      </c>
      <c r="H323">
        <v>44</v>
      </c>
      <c r="I323">
        <v>46.32</v>
      </c>
      <c r="J323">
        <v>1000</v>
      </c>
      <c r="L323" t="s">
        <v>4</v>
      </c>
      <c r="M323" s="1">
        <v>41348</v>
      </c>
      <c r="N323">
        <v>54.95</v>
      </c>
      <c r="O323">
        <v>1686</v>
      </c>
      <c r="Q323" t="s">
        <v>227</v>
      </c>
      <c r="R323" s="1">
        <v>41883</v>
      </c>
      <c r="S323">
        <v>31.31</v>
      </c>
      <c r="T323">
        <v>1304</v>
      </c>
    </row>
    <row r="324" spans="6:20" x14ac:dyDescent="0.2">
      <c r="F324" t="s">
        <v>120</v>
      </c>
      <c r="G324" s="1">
        <v>38068</v>
      </c>
      <c r="H324">
        <v>36</v>
      </c>
      <c r="I324">
        <v>37.5</v>
      </c>
      <c r="J324">
        <v>1000</v>
      </c>
      <c r="L324" t="s">
        <v>4</v>
      </c>
      <c r="M324" s="1">
        <v>41461</v>
      </c>
      <c r="N324">
        <v>45.16</v>
      </c>
      <c r="O324">
        <v>1686</v>
      </c>
      <c r="Q324" t="s">
        <v>227</v>
      </c>
      <c r="R324" s="1">
        <v>42050</v>
      </c>
      <c r="S324">
        <v>24.49</v>
      </c>
      <c r="T324">
        <v>1236</v>
      </c>
    </row>
    <row r="325" spans="6:20" x14ac:dyDescent="0.2">
      <c r="F325" t="s">
        <v>94</v>
      </c>
      <c r="G325" s="1">
        <v>38190</v>
      </c>
      <c r="H325">
        <v>45</v>
      </c>
      <c r="I325">
        <v>54.22</v>
      </c>
      <c r="J325">
        <v>2000</v>
      </c>
      <c r="L325" t="s">
        <v>8</v>
      </c>
      <c r="M325" s="1">
        <v>39706</v>
      </c>
      <c r="N325">
        <v>50</v>
      </c>
      <c r="O325">
        <v>1197</v>
      </c>
      <c r="Q325" t="s">
        <v>227</v>
      </c>
      <c r="R325" s="1">
        <v>42139</v>
      </c>
      <c r="S325">
        <v>22.45</v>
      </c>
      <c r="T325">
        <v>1200</v>
      </c>
    </row>
    <row r="326" spans="6:20" x14ac:dyDescent="0.2">
      <c r="F326" t="s">
        <v>94</v>
      </c>
      <c r="G326" s="1">
        <v>39024</v>
      </c>
      <c r="H326">
        <v>53</v>
      </c>
      <c r="I326">
        <v>58.89</v>
      </c>
      <c r="J326">
        <v>2000</v>
      </c>
      <c r="L326" t="s">
        <v>8</v>
      </c>
      <c r="M326" s="1">
        <v>39850</v>
      </c>
      <c r="N326">
        <v>40</v>
      </c>
      <c r="O326">
        <v>1197</v>
      </c>
      <c r="Q326" t="s">
        <v>227</v>
      </c>
      <c r="R326" s="1">
        <v>42211</v>
      </c>
      <c r="S326">
        <v>21.43</v>
      </c>
      <c r="T326">
        <v>1200</v>
      </c>
    </row>
    <row r="327" spans="6:20" x14ac:dyDescent="0.2">
      <c r="F327" t="s">
        <v>227</v>
      </c>
      <c r="G327" s="1">
        <v>41685</v>
      </c>
      <c r="H327">
        <v>35</v>
      </c>
      <c r="I327">
        <v>36.840000000000003</v>
      </c>
      <c r="J327">
        <v>1235</v>
      </c>
      <c r="L327" t="s">
        <v>120</v>
      </c>
      <c r="M327" s="1">
        <v>37909</v>
      </c>
      <c r="N327">
        <v>46.32</v>
      </c>
      <c r="O327">
        <v>1000</v>
      </c>
      <c r="Q327" t="s">
        <v>238</v>
      </c>
      <c r="R327" s="1">
        <v>41379</v>
      </c>
      <c r="S327">
        <v>39.32</v>
      </c>
      <c r="T327">
        <v>1300</v>
      </c>
    </row>
    <row r="328" spans="6:20" x14ac:dyDescent="0.2">
      <c r="F328" t="s">
        <v>227</v>
      </c>
      <c r="G328" s="1">
        <v>41744</v>
      </c>
      <c r="H328">
        <v>33</v>
      </c>
      <c r="I328">
        <v>33.33</v>
      </c>
      <c r="J328">
        <v>1235</v>
      </c>
      <c r="L328" t="s">
        <v>120</v>
      </c>
      <c r="M328" s="1">
        <v>38068</v>
      </c>
      <c r="N328">
        <v>37.5</v>
      </c>
      <c r="O328">
        <v>1000</v>
      </c>
      <c r="Q328" t="s">
        <v>238</v>
      </c>
      <c r="R328" s="1">
        <v>41405</v>
      </c>
      <c r="S328">
        <v>47.29</v>
      </c>
      <c r="T328">
        <v>1300</v>
      </c>
    </row>
    <row r="329" spans="6:20" x14ac:dyDescent="0.2">
      <c r="F329" t="s">
        <v>227</v>
      </c>
      <c r="G329" s="1">
        <v>41883</v>
      </c>
      <c r="H329">
        <v>31</v>
      </c>
      <c r="I329">
        <v>31.31</v>
      </c>
      <c r="J329">
        <v>1235</v>
      </c>
      <c r="L329" t="s">
        <v>94</v>
      </c>
      <c r="M329" s="1">
        <v>38190</v>
      </c>
      <c r="N329">
        <v>54.22</v>
      </c>
      <c r="O329">
        <v>2000</v>
      </c>
      <c r="Q329" t="s">
        <v>238</v>
      </c>
      <c r="R329" s="1">
        <v>41440</v>
      </c>
      <c r="S329">
        <v>46.95</v>
      </c>
      <c r="T329">
        <v>1253</v>
      </c>
    </row>
    <row r="330" spans="6:20" x14ac:dyDescent="0.2">
      <c r="F330" t="s">
        <v>227</v>
      </c>
      <c r="G330" s="1">
        <v>42050</v>
      </c>
      <c r="H330">
        <v>24</v>
      </c>
      <c r="I330">
        <v>24.49</v>
      </c>
      <c r="J330">
        <v>1235</v>
      </c>
      <c r="L330" t="s">
        <v>94</v>
      </c>
      <c r="M330" s="1">
        <v>39024</v>
      </c>
      <c r="N330">
        <v>58.89</v>
      </c>
      <c r="O330">
        <v>2000</v>
      </c>
      <c r="Q330" t="s">
        <v>238</v>
      </c>
      <c r="R330" s="1">
        <v>41480</v>
      </c>
      <c r="S330">
        <v>36.83</v>
      </c>
      <c r="T330">
        <v>1200</v>
      </c>
    </row>
    <row r="331" spans="6:20" x14ac:dyDescent="0.2">
      <c r="F331" t="s">
        <v>227</v>
      </c>
      <c r="G331" s="1">
        <v>42139</v>
      </c>
      <c r="H331">
        <v>22</v>
      </c>
      <c r="I331">
        <v>22.45</v>
      </c>
      <c r="J331">
        <v>1235</v>
      </c>
      <c r="L331" t="s">
        <v>115</v>
      </c>
      <c r="M331" s="1">
        <v>37892</v>
      </c>
      <c r="N331">
        <v>39.799999999999997</v>
      </c>
      <c r="O331">
        <v>1010</v>
      </c>
      <c r="Q331" t="s">
        <v>238</v>
      </c>
      <c r="R331" s="1">
        <v>41537</v>
      </c>
      <c r="S331">
        <v>32.29</v>
      </c>
      <c r="T331">
        <v>1200</v>
      </c>
    </row>
    <row r="332" spans="6:20" x14ac:dyDescent="0.2">
      <c r="F332" t="s">
        <v>227</v>
      </c>
      <c r="G332" s="1">
        <v>42211</v>
      </c>
      <c r="H332">
        <v>21</v>
      </c>
      <c r="I332">
        <v>21.43</v>
      </c>
      <c r="J332">
        <v>1235</v>
      </c>
      <c r="L332" t="s">
        <v>227</v>
      </c>
      <c r="M332" s="1">
        <v>41685</v>
      </c>
      <c r="N332">
        <v>36.840000000000003</v>
      </c>
      <c r="O332">
        <v>1235</v>
      </c>
      <c r="Q332" t="s">
        <v>238</v>
      </c>
      <c r="R332" s="1">
        <v>41576</v>
      </c>
      <c r="S332">
        <v>33.659999999999997</v>
      </c>
      <c r="T332">
        <v>1000</v>
      </c>
    </row>
    <row r="333" spans="6:20" x14ac:dyDescent="0.2">
      <c r="F333" t="s">
        <v>238</v>
      </c>
      <c r="G333" s="1">
        <v>41379</v>
      </c>
      <c r="H333">
        <v>37.9</v>
      </c>
      <c r="I333">
        <v>39.32</v>
      </c>
      <c r="J333">
        <v>1238</v>
      </c>
      <c r="L333" t="s">
        <v>227</v>
      </c>
      <c r="M333" s="1">
        <v>41744</v>
      </c>
      <c r="N333">
        <v>33.33</v>
      </c>
      <c r="O333">
        <v>1235</v>
      </c>
      <c r="Q333" t="s">
        <v>238</v>
      </c>
      <c r="R333" s="1">
        <v>41623</v>
      </c>
      <c r="S333">
        <v>38.14</v>
      </c>
      <c r="T333">
        <v>1063</v>
      </c>
    </row>
    <row r="334" spans="6:20" x14ac:dyDescent="0.2">
      <c r="F334" t="s">
        <v>238</v>
      </c>
      <c r="G334" s="1">
        <v>41405</v>
      </c>
      <c r="H334">
        <v>44.5</v>
      </c>
      <c r="I334">
        <v>47.29</v>
      </c>
      <c r="J334">
        <v>1238</v>
      </c>
      <c r="L334" t="s">
        <v>227</v>
      </c>
      <c r="M334" s="1">
        <v>41883</v>
      </c>
      <c r="N334">
        <v>31.31</v>
      </c>
      <c r="O334">
        <v>1235</v>
      </c>
      <c r="Q334" t="s">
        <v>238</v>
      </c>
      <c r="R334" s="1">
        <v>41654</v>
      </c>
      <c r="S334">
        <v>37.42</v>
      </c>
      <c r="T334">
        <v>1105</v>
      </c>
    </row>
    <row r="335" spans="6:20" x14ac:dyDescent="0.2">
      <c r="F335" t="s">
        <v>238</v>
      </c>
      <c r="G335" s="1">
        <v>41440</v>
      </c>
      <c r="H335">
        <v>43.9</v>
      </c>
      <c r="I335">
        <v>46.95</v>
      </c>
      <c r="J335">
        <v>1238</v>
      </c>
      <c r="L335" t="s">
        <v>227</v>
      </c>
      <c r="M335" s="1">
        <v>42050</v>
      </c>
      <c r="N335">
        <v>24.49</v>
      </c>
      <c r="O335">
        <v>1235</v>
      </c>
      <c r="Q335" t="s">
        <v>238</v>
      </c>
      <c r="R335" s="1">
        <v>41725</v>
      </c>
      <c r="S335">
        <v>30.63</v>
      </c>
      <c r="T335">
        <v>1200</v>
      </c>
    </row>
    <row r="336" spans="6:20" x14ac:dyDescent="0.2">
      <c r="F336" t="s">
        <v>238</v>
      </c>
      <c r="G336" s="1">
        <v>41480</v>
      </c>
      <c r="H336">
        <v>35.5</v>
      </c>
      <c r="I336">
        <v>36.83</v>
      </c>
      <c r="J336">
        <v>1238</v>
      </c>
      <c r="L336" t="s">
        <v>227</v>
      </c>
      <c r="M336" s="1">
        <v>42139</v>
      </c>
      <c r="N336">
        <v>22.45</v>
      </c>
      <c r="O336">
        <v>1235</v>
      </c>
      <c r="Q336" t="s">
        <v>238</v>
      </c>
      <c r="R336" s="1">
        <v>41802</v>
      </c>
      <c r="S336">
        <v>27.15</v>
      </c>
      <c r="T336">
        <v>1200</v>
      </c>
    </row>
    <row r="337" spans="6:20" x14ac:dyDescent="0.2">
      <c r="F337" t="s">
        <v>238</v>
      </c>
      <c r="G337" s="1">
        <v>41537</v>
      </c>
      <c r="H337">
        <v>31</v>
      </c>
      <c r="I337">
        <v>32.29</v>
      </c>
      <c r="J337">
        <v>1238</v>
      </c>
      <c r="L337" t="s">
        <v>227</v>
      </c>
      <c r="M337" s="1">
        <v>42211</v>
      </c>
      <c r="N337">
        <v>21.43</v>
      </c>
      <c r="O337">
        <v>1235</v>
      </c>
      <c r="Q337" t="s">
        <v>238</v>
      </c>
      <c r="R337" s="1">
        <v>41858</v>
      </c>
      <c r="S337">
        <v>25.97</v>
      </c>
      <c r="T337">
        <v>1200</v>
      </c>
    </row>
    <row r="338" spans="6:20" x14ac:dyDescent="0.2">
      <c r="F338" t="s">
        <v>238</v>
      </c>
      <c r="G338" s="1">
        <v>41576</v>
      </c>
      <c r="H338">
        <v>31.3</v>
      </c>
      <c r="I338">
        <v>33.659999999999997</v>
      </c>
      <c r="J338">
        <v>1238</v>
      </c>
      <c r="L338" t="s">
        <v>238</v>
      </c>
      <c r="M338" s="1">
        <v>41379</v>
      </c>
      <c r="N338">
        <v>39.32</v>
      </c>
      <c r="O338">
        <v>1238</v>
      </c>
      <c r="Q338" t="s">
        <v>238</v>
      </c>
      <c r="R338" s="1">
        <v>41968</v>
      </c>
      <c r="S338">
        <v>22.62</v>
      </c>
      <c r="T338">
        <v>1200</v>
      </c>
    </row>
    <row r="339" spans="6:20" x14ac:dyDescent="0.2">
      <c r="F339" t="s">
        <v>238</v>
      </c>
      <c r="G339" s="1">
        <v>41623</v>
      </c>
      <c r="H339">
        <v>37</v>
      </c>
      <c r="I339">
        <v>38.14</v>
      </c>
      <c r="J339">
        <v>1238</v>
      </c>
      <c r="L339" t="s">
        <v>238</v>
      </c>
      <c r="M339" s="1">
        <v>41405</v>
      </c>
      <c r="N339">
        <v>47.29</v>
      </c>
      <c r="O339">
        <v>1238</v>
      </c>
      <c r="Q339" t="s">
        <v>238</v>
      </c>
      <c r="R339" s="1">
        <v>42019</v>
      </c>
      <c r="S339">
        <v>21.33</v>
      </c>
      <c r="T339">
        <v>1200</v>
      </c>
    </row>
    <row r="340" spans="6:20" x14ac:dyDescent="0.2">
      <c r="F340" t="s">
        <v>238</v>
      </c>
      <c r="G340" s="1">
        <v>41654</v>
      </c>
      <c r="H340">
        <v>36.6</v>
      </c>
      <c r="I340">
        <v>37.42</v>
      </c>
      <c r="J340">
        <v>1238</v>
      </c>
      <c r="L340" t="s">
        <v>238</v>
      </c>
      <c r="M340" s="1">
        <v>41440</v>
      </c>
      <c r="N340">
        <v>46.95</v>
      </c>
      <c r="O340">
        <v>1238</v>
      </c>
      <c r="Q340" t="s">
        <v>238</v>
      </c>
      <c r="R340" s="1">
        <v>42078</v>
      </c>
      <c r="S340">
        <v>24.54</v>
      </c>
      <c r="T340">
        <v>1200</v>
      </c>
    </row>
    <row r="341" spans="6:20" x14ac:dyDescent="0.2">
      <c r="F341" t="s">
        <v>238</v>
      </c>
      <c r="G341" s="1">
        <v>41725</v>
      </c>
      <c r="H341">
        <v>29.8</v>
      </c>
      <c r="I341">
        <v>30.63</v>
      </c>
      <c r="J341">
        <v>1238</v>
      </c>
      <c r="L341" t="s">
        <v>238</v>
      </c>
      <c r="M341" s="1">
        <v>41480</v>
      </c>
      <c r="N341">
        <v>36.83</v>
      </c>
      <c r="O341">
        <v>1238</v>
      </c>
      <c r="Q341" t="s">
        <v>238</v>
      </c>
      <c r="R341" s="1">
        <v>42182</v>
      </c>
      <c r="S341">
        <v>18.27</v>
      </c>
      <c r="T341">
        <v>1200</v>
      </c>
    </row>
    <row r="342" spans="6:20" x14ac:dyDescent="0.2">
      <c r="F342" t="s">
        <v>238</v>
      </c>
      <c r="G342" s="1">
        <v>41802</v>
      </c>
      <c r="H342">
        <v>26.5</v>
      </c>
      <c r="I342">
        <v>27.15</v>
      </c>
      <c r="J342">
        <v>1238</v>
      </c>
      <c r="L342" t="s">
        <v>238</v>
      </c>
      <c r="M342" s="1">
        <v>41537</v>
      </c>
      <c r="N342">
        <v>32.29</v>
      </c>
      <c r="O342">
        <v>1238</v>
      </c>
      <c r="Q342" t="s">
        <v>238</v>
      </c>
      <c r="R342" s="1">
        <v>42267</v>
      </c>
      <c r="S342">
        <v>16.8</v>
      </c>
      <c r="T342">
        <v>1200</v>
      </c>
    </row>
    <row r="343" spans="6:20" x14ac:dyDescent="0.2">
      <c r="F343" t="s">
        <v>238</v>
      </c>
      <c r="G343" s="1">
        <v>41858</v>
      </c>
      <c r="H343">
        <v>25.4</v>
      </c>
      <c r="I343">
        <v>25.97</v>
      </c>
      <c r="J343">
        <v>1238</v>
      </c>
      <c r="L343" t="s">
        <v>238</v>
      </c>
      <c r="M343" s="1">
        <v>41576</v>
      </c>
      <c r="N343">
        <v>33.659999999999997</v>
      </c>
      <c r="O343">
        <v>1238</v>
      </c>
      <c r="Q343" t="s">
        <v>238</v>
      </c>
      <c r="R343" s="1">
        <v>42333</v>
      </c>
      <c r="S343">
        <v>14.26</v>
      </c>
      <c r="T343">
        <v>1385</v>
      </c>
    </row>
    <row r="344" spans="6:20" x14ac:dyDescent="0.2">
      <c r="F344" t="s">
        <v>238</v>
      </c>
      <c r="G344" s="1">
        <v>41968</v>
      </c>
      <c r="H344">
        <v>22.1</v>
      </c>
      <c r="I344">
        <v>22.62</v>
      </c>
      <c r="J344">
        <v>1238</v>
      </c>
      <c r="L344" t="s">
        <v>238</v>
      </c>
      <c r="M344" s="1">
        <v>41623</v>
      </c>
      <c r="N344">
        <v>38.14</v>
      </c>
      <c r="O344">
        <v>1238</v>
      </c>
      <c r="Q344" t="s">
        <v>238</v>
      </c>
      <c r="R344" s="1">
        <v>42410</v>
      </c>
      <c r="S344">
        <v>14.23</v>
      </c>
      <c r="T344">
        <v>1600</v>
      </c>
    </row>
    <row r="345" spans="6:20" x14ac:dyDescent="0.2">
      <c r="F345" t="s">
        <v>238</v>
      </c>
      <c r="G345" s="1">
        <v>42019</v>
      </c>
      <c r="H345">
        <v>20.9</v>
      </c>
      <c r="I345">
        <v>21.33</v>
      </c>
      <c r="J345">
        <v>1238</v>
      </c>
      <c r="L345" t="s">
        <v>238</v>
      </c>
      <c r="M345" s="1">
        <v>41654</v>
      </c>
      <c r="N345">
        <v>37.42</v>
      </c>
      <c r="O345">
        <v>1238</v>
      </c>
      <c r="Q345" t="s">
        <v>85</v>
      </c>
      <c r="R345" s="1">
        <v>32523</v>
      </c>
      <c r="S345">
        <v>70</v>
      </c>
      <c r="T345">
        <v>1500</v>
      </c>
    </row>
    <row r="346" spans="6:20" x14ac:dyDescent="0.2">
      <c r="F346" t="s">
        <v>238</v>
      </c>
      <c r="G346" s="1">
        <v>42078</v>
      </c>
      <c r="H346">
        <v>24.1</v>
      </c>
      <c r="I346">
        <v>24.54</v>
      </c>
      <c r="J346">
        <v>1238</v>
      </c>
      <c r="L346" t="s">
        <v>238</v>
      </c>
      <c r="M346" s="1">
        <v>41725</v>
      </c>
      <c r="N346">
        <v>30.63</v>
      </c>
      <c r="O346">
        <v>1238</v>
      </c>
      <c r="Q346" t="s">
        <v>85</v>
      </c>
      <c r="R346" s="1">
        <v>33939</v>
      </c>
      <c r="S346">
        <v>20</v>
      </c>
      <c r="T346">
        <v>1500</v>
      </c>
    </row>
    <row r="347" spans="6:20" x14ac:dyDescent="0.2">
      <c r="F347" t="s">
        <v>238</v>
      </c>
      <c r="G347" s="1">
        <v>42182</v>
      </c>
      <c r="H347">
        <v>18</v>
      </c>
      <c r="I347">
        <v>18.27</v>
      </c>
      <c r="J347">
        <v>1238</v>
      </c>
      <c r="L347" t="s">
        <v>238</v>
      </c>
      <c r="M347" s="1">
        <v>41802</v>
      </c>
      <c r="N347">
        <v>27.15</v>
      </c>
      <c r="O347">
        <v>1238</v>
      </c>
      <c r="Q347" t="s">
        <v>85</v>
      </c>
      <c r="R347" s="1">
        <v>34029</v>
      </c>
      <c r="S347">
        <v>19</v>
      </c>
      <c r="T347">
        <v>1500</v>
      </c>
    </row>
    <row r="348" spans="6:20" x14ac:dyDescent="0.2">
      <c r="F348" t="s">
        <v>238</v>
      </c>
      <c r="G348" s="1">
        <v>42267</v>
      </c>
      <c r="H348">
        <v>16.7</v>
      </c>
      <c r="I348">
        <v>16.8</v>
      </c>
      <c r="J348">
        <v>1238</v>
      </c>
      <c r="L348" t="s">
        <v>238</v>
      </c>
      <c r="M348" s="1">
        <v>41858</v>
      </c>
      <c r="N348">
        <v>25.97</v>
      </c>
      <c r="O348">
        <v>1238</v>
      </c>
      <c r="Q348" t="s">
        <v>85</v>
      </c>
      <c r="R348" s="1">
        <v>40224</v>
      </c>
      <c r="S348">
        <v>46</v>
      </c>
      <c r="T348">
        <v>1500</v>
      </c>
    </row>
    <row r="349" spans="6:20" x14ac:dyDescent="0.2">
      <c r="F349" t="s">
        <v>238</v>
      </c>
      <c r="G349" s="1">
        <v>42333</v>
      </c>
      <c r="H349">
        <v>14</v>
      </c>
      <c r="I349">
        <v>14.26</v>
      </c>
      <c r="J349">
        <v>1238</v>
      </c>
      <c r="L349" t="s">
        <v>238</v>
      </c>
      <c r="M349" s="1">
        <v>41968</v>
      </c>
      <c r="N349">
        <v>22.62</v>
      </c>
      <c r="O349">
        <v>1238</v>
      </c>
      <c r="Q349" t="s">
        <v>85</v>
      </c>
      <c r="R349" s="1">
        <v>40428</v>
      </c>
      <c r="S349">
        <v>45.45</v>
      </c>
      <c r="T349">
        <v>2000</v>
      </c>
    </row>
    <row r="350" spans="6:20" x14ac:dyDescent="0.2">
      <c r="F350" t="s">
        <v>238</v>
      </c>
      <c r="G350" s="1">
        <v>42410</v>
      </c>
      <c r="H350">
        <v>14</v>
      </c>
      <c r="I350">
        <v>14.23</v>
      </c>
      <c r="J350">
        <v>1238</v>
      </c>
      <c r="L350" t="s">
        <v>238</v>
      </c>
      <c r="M350" s="1">
        <v>42019</v>
      </c>
      <c r="N350">
        <v>21.33</v>
      </c>
      <c r="O350">
        <v>1238</v>
      </c>
      <c r="Q350" t="s">
        <v>85</v>
      </c>
      <c r="R350" s="1">
        <v>40518</v>
      </c>
      <c r="S350">
        <v>43.33</v>
      </c>
      <c r="T350">
        <v>1500</v>
      </c>
    </row>
    <row r="351" spans="6:20" x14ac:dyDescent="0.2">
      <c r="L351" t="s">
        <v>238</v>
      </c>
      <c r="M351" s="1">
        <v>42078</v>
      </c>
      <c r="N351">
        <v>24.54</v>
      </c>
      <c r="O351">
        <v>1238</v>
      </c>
      <c r="Q351" t="s">
        <v>85</v>
      </c>
      <c r="R351" s="1">
        <v>40627</v>
      </c>
      <c r="S351">
        <v>47</v>
      </c>
      <c r="T351">
        <v>2000</v>
      </c>
    </row>
    <row r="352" spans="6:20" x14ac:dyDescent="0.2">
      <c r="L352" t="s">
        <v>238</v>
      </c>
      <c r="M352" s="1">
        <v>42182</v>
      </c>
      <c r="N352">
        <v>18.27</v>
      </c>
      <c r="O352">
        <v>1238</v>
      </c>
      <c r="Q352" t="s">
        <v>85</v>
      </c>
      <c r="R352" s="1">
        <v>40821</v>
      </c>
      <c r="S352">
        <v>58.33</v>
      </c>
      <c r="T352">
        <v>1288</v>
      </c>
    </row>
    <row r="353" spans="12:20" x14ac:dyDescent="0.2">
      <c r="L353" t="s">
        <v>238</v>
      </c>
      <c r="M353" s="1">
        <v>42267</v>
      </c>
      <c r="N353">
        <v>16.8</v>
      </c>
      <c r="O353">
        <v>1238</v>
      </c>
      <c r="Q353" t="s">
        <v>85</v>
      </c>
      <c r="R353" s="1">
        <v>41455</v>
      </c>
      <c r="S353">
        <v>46.17</v>
      </c>
      <c r="T353">
        <v>2000</v>
      </c>
    </row>
    <row r="354" spans="12:20" x14ac:dyDescent="0.2">
      <c r="L354" t="s">
        <v>238</v>
      </c>
      <c r="M354" s="1">
        <v>42333</v>
      </c>
      <c r="N354">
        <v>14.26</v>
      </c>
      <c r="O354">
        <v>1238</v>
      </c>
      <c r="Q354" t="s">
        <v>85</v>
      </c>
      <c r="R354" s="1">
        <v>41812</v>
      </c>
      <c r="S354">
        <v>41.48</v>
      </c>
      <c r="T354">
        <v>2000</v>
      </c>
    </row>
    <row r="355" spans="12:20" x14ac:dyDescent="0.2">
      <c r="L355" t="s">
        <v>238</v>
      </c>
      <c r="M355" s="1">
        <v>42410</v>
      </c>
      <c r="N355">
        <v>14.23</v>
      </c>
      <c r="O355">
        <v>1238</v>
      </c>
      <c r="Q355" t="s">
        <v>85</v>
      </c>
      <c r="R355" s="1">
        <v>42267</v>
      </c>
      <c r="S355">
        <v>33.33</v>
      </c>
      <c r="T355">
        <v>2000</v>
      </c>
    </row>
  </sheetData>
  <phoneticPr fontId="15" type="noConversion"/>
  <pageMargins left="0.75" right="0.75" top="1" bottom="1" header="0.5" footer="0.5"/>
  <pageSetup paperSize="0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M351"/>
  <sheetViews>
    <sheetView topLeftCell="BV333" workbookViewId="0">
      <selection activeCell="CL2" sqref="CK2:CL351"/>
    </sheetView>
  </sheetViews>
  <sheetFormatPr defaultColWidth="8.7109375" defaultRowHeight="12.75" x14ac:dyDescent="0.2"/>
  <cols>
    <col min="9" max="9" width="10.140625" bestFit="1" customWidth="1"/>
    <col min="13" max="13" width="12" customWidth="1"/>
    <col min="23" max="23" width="9.140625" bestFit="1" customWidth="1"/>
    <col min="48" max="48" width="0" hidden="1" customWidth="1"/>
    <col min="81" max="81" width="9.140625" bestFit="1" customWidth="1"/>
    <col min="87" max="87" width="10.7109375" customWidth="1"/>
  </cols>
  <sheetData>
    <row r="1" spans="1:91" x14ac:dyDescent="0.2">
      <c r="A1" s="6">
        <v>39612</v>
      </c>
      <c r="E1" s="6" t="s">
        <v>145</v>
      </c>
      <c r="I1" s="6">
        <v>40139</v>
      </c>
      <c r="M1" s="6">
        <v>40139</v>
      </c>
      <c r="P1" s="6">
        <v>40605</v>
      </c>
      <c r="W1" s="6" t="s">
        <v>161</v>
      </c>
      <c r="AE1" s="6" t="s">
        <v>163</v>
      </c>
      <c r="AM1" s="6" t="s">
        <v>165</v>
      </c>
      <c r="AT1" s="6" t="s">
        <v>164</v>
      </c>
      <c r="BA1" s="6" t="s">
        <v>166</v>
      </c>
      <c r="BG1" s="6" t="s">
        <v>167</v>
      </c>
      <c r="BM1" s="6">
        <v>42522</v>
      </c>
      <c r="BU1" s="6">
        <v>42522</v>
      </c>
      <c r="CC1" s="6">
        <v>42565</v>
      </c>
      <c r="CE1" s="10" t="s">
        <v>276</v>
      </c>
      <c r="CF1" s="10" t="s">
        <v>277</v>
      </c>
      <c r="CG1" s="10" t="s">
        <v>278</v>
      </c>
      <c r="CI1" s="6">
        <v>42565</v>
      </c>
      <c r="CK1" s="10" t="s">
        <v>276</v>
      </c>
      <c r="CL1" s="10" t="s">
        <v>277</v>
      </c>
      <c r="CM1" s="10" t="s">
        <v>278</v>
      </c>
    </row>
    <row r="2" spans="1:91" x14ac:dyDescent="0.2">
      <c r="A2">
        <v>1989</v>
      </c>
      <c r="B2">
        <v>1</v>
      </c>
      <c r="C2">
        <v>52.09</v>
      </c>
      <c r="E2">
        <v>1989</v>
      </c>
      <c r="F2">
        <v>3</v>
      </c>
      <c r="G2">
        <v>52.185000000000002</v>
      </c>
      <c r="I2">
        <v>1989</v>
      </c>
      <c r="J2">
        <v>1</v>
      </c>
      <c r="K2">
        <v>46.420999999999999</v>
      </c>
      <c r="M2">
        <v>1989</v>
      </c>
      <c r="N2">
        <v>41.088999999999999</v>
      </c>
      <c r="P2">
        <v>1989</v>
      </c>
      <c r="Q2">
        <v>1</v>
      </c>
      <c r="R2">
        <v>42.828000000000003</v>
      </c>
      <c r="U2">
        <f>R2+5.979</f>
        <v>48.807000000000002</v>
      </c>
      <c r="W2" s="10" t="s">
        <v>162</v>
      </c>
      <c r="X2">
        <v>18</v>
      </c>
      <c r="Y2">
        <v>1989</v>
      </c>
      <c r="Z2">
        <v>1</v>
      </c>
      <c r="AA2">
        <v>45.664000000000001</v>
      </c>
      <c r="AB2">
        <v>1</v>
      </c>
      <c r="AC2">
        <v>57</v>
      </c>
      <c r="AE2" s="10" t="s">
        <v>162</v>
      </c>
      <c r="AF2">
        <v>18</v>
      </c>
      <c r="AG2">
        <v>1989</v>
      </c>
      <c r="AH2">
        <v>3</v>
      </c>
      <c r="AI2">
        <v>47.076000000000001</v>
      </c>
      <c r="AJ2">
        <v>1</v>
      </c>
      <c r="AK2">
        <v>60</v>
      </c>
      <c r="AM2">
        <v>1999</v>
      </c>
      <c r="AN2">
        <v>1</v>
      </c>
      <c r="AO2">
        <v>134.74299999999999</v>
      </c>
      <c r="AP2">
        <f>AO2-100</f>
        <v>34.742999999999995</v>
      </c>
      <c r="AQ2">
        <v>2</v>
      </c>
      <c r="AR2">
        <v>87</v>
      </c>
      <c r="AT2">
        <v>1999</v>
      </c>
      <c r="AU2">
        <v>2</v>
      </c>
      <c r="AV2">
        <v>135.12899999999999</v>
      </c>
      <c r="AW2">
        <f>AV2-100</f>
        <v>35.128999999999991</v>
      </c>
      <c r="AX2">
        <v>1</v>
      </c>
      <c r="AY2">
        <v>92</v>
      </c>
      <c r="BA2">
        <v>1999</v>
      </c>
      <c r="BB2">
        <v>1</v>
      </c>
      <c r="BC2">
        <v>69.369</v>
      </c>
      <c r="BD2">
        <v>2</v>
      </c>
      <c r="BE2">
        <v>87</v>
      </c>
      <c r="BG2">
        <v>1999</v>
      </c>
      <c r="BH2">
        <v>2</v>
      </c>
      <c r="BI2">
        <v>69.308000000000007</v>
      </c>
      <c r="BJ2">
        <v>1</v>
      </c>
      <c r="BK2">
        <v>92</v>
      </c>
      <c r="BM2" s="10" t="s">
        <v>162</v>
      </c>
      <c r="BN2" s="10">
        <v>101</v>
      </c>
      <c r="BO2">
        <v>1987</v>
      </c>
      <c r="BP2">
        <v>1</v>
      </c>
      <c r="BQ2">
        <f>BS2-100</f>
        <v>3.7240000000000038</v>
      </c>
      <c r="BR2">
        <v>55.323999999999998</v>
      </c>
      <c r="BS2">
        <v>103.724</v>
      </c>
      <c r="BU2" s="10" t="s">
        <v>162</v>
      </c>
      <c r="BV2" s="10">
        <v>101</v>
      </c>
      <c r="BW2">
        <v>1987</v>
      </c>
      <c r="BX2">
        <v>2</v>
      </c>
      <c r="BY2">
        <f>CA2-100</f>
        <v>7.9159999999999968</v>
      </c>
      <c r="BZ2">
        <v>54.404000000000003</v>
      </c>
      <c r="CA2">
        <v>107.916</v>
      </c>
      <c r="CC2">
        <v>1987</v>
      </c>
      <c r="CD2">
        <v>1</v>
      </c>
      <c r="CE2">
        <f>CG2-100</f>
        <v>3.8239999999999981</v>
      </c>
      <c r="CF2">
        <v>55.293999999999997</v>
      </c>
      <c r="CG2">
        <v>103.824</v>
      </c>
      <c r="CI2">
        <v>1987</v>
      </c>
      <c r="CJ2">
        <v>2</v>
      </c>
      <c r="CK2">
        <f>CM2-100</f>
        <v>7.8599999999999994</v>
      </c>
      <c r="CL2">
        <v>54.378999999999998</v>
      </c>
      <c r="CM2">
        <v>107.86</v>
      </c>
    </row>
    <row r="3" spans="1:91" x14ac:dyDescent="0.2">
      <c r="A3">
        <v>1989</v>
      </c>
      <c r="B3">
        <v>2</v>
      </c>
      <c r="C3">
        <v>52.494</v>
      </c>
      <c r="E3">
        <v>1989</v>
      </c>
      <c r="F3">
        <v>4</v>
      </c>
      <c r="G3">
        <v>52.478999999999999</v>
      </c>
      <c r="I3">
        <v>1989</v>
      </c>
      <c r="J3">
        <v>2</v>
      </c>
      <c r="K3">
        <v>46.728000000000002</v>
      </c>
      <c r="M3">
        <v>1990</v>
      </c>
      <c r="N3">
        <v>40.058999999999997</v>
      </c>
      <c r="P3">
        <v>1989</v>
      </c>
      <c r="Q3">
        <v>2</v>
      </c>
      <c r="R3">
        <v>43.262999999999998</v>
      </c>
      <c r="U3">
        <f t="shared" ref="U3:U66" si="0">R3+5.979</f>
        <v>49.241999999999997</v>
      </c>
      <c r="W3" s="10" t="s">
        <v>162</v>
      </c>
      <c r="X3">
        <v>18</v>
      </c>
      <c r="Y3">
        <v>1989</v>
      </c>
      <c r="Z3">
        <v>2</v>
      </c>
      <c r="AA3">
        <v>46.165999999999997</v>
      </c>
      <c r="AB3">
        <v>1</v>
      </c>
      <c r="AC3">
        <v>57</v>
      </c>
      <c r="AE3" s="10" t="s">
        <v>162</v>
      </c>
      <c r="AF3">
        <v>18</v>
      </c>
      <c r="AG3">
        <v>1989</v>
      </c>
      <c r="AH3">
        <v>4</v>
      </c>
      <c r="AI3">
        <v>47.329000000000001</v>
      </c>
      <c r="AJ3">
        <v>0</v>
      </c>
      <c r="AK3">
        <v>0</v>
      </c>
      <c r="AM3">
        <v>1999</v>
      </c>
      <c r="AN3">
        <v>2</v>
      </c>
      <c r="AO3">
        <v>129.54</v>
      </c>
      <c r="AP3">
        <f t="shared" ref="AP3:AP59" si="1">AO3-100</f>
        <v>29.539999999999992</v>
      </c>
      <c r="AQ3">
        <v>1</v>
      </c>
      <c r="AR3">
        <v>39</v>
      </c>
      <c r="AT3">
        <v>1999</v>
      </c>
      <c r="AU3">
        <v>3</v>
      </c>
      <c r="AV3">
        <v>134.245</v>
      </c>
      <c r="AW3">
        <f t="shared" ref="AW3:AW66" si="2">AV3-100</f>
        <v>34.245000000000005</v>
      </c>
      <c r="AX3">
        <v>1</v>
      </c>
      <c r="AY3">
        <v>39</v>
      </c>
      <c r="BA3">
        <v>1999</v>
      </c>
      <c r="BB3">
        <v>2</v>
      </c>
      <c r="BC3">
        <v>66.548000000000002</v>
      </c>
      <c r="BD3">
        <v>1</v>
      </c>
      <c r="BE3">
        <v>39</v>
      </c>
      <c r="BG3">
        <v>1999</v>
      </c>
      <c r="BH3">
        <v>3</v>
      </c>
      <c r="BI3">
        <v>68.825999999999993</v>
      </c>
      <c r="BJ3">
        <v>1</v>
      </c>
      <c r="BK3">
        <v>39</v>
      </c>
      <c r="BM3" s="10" t="s">
        <v>162</v>
      </c>
      <c r="BN3" s="10">
        <v>101</v>
      </c>
      <c r="BO3">
        <v>1987</v>
      </c>
      <c r="BP3">
        <v>2</v>
      </c>
      <c r="BQ3">
        <f t="shared" ref="BQ3:BQ66" si="3">BS3-100</f>
        <v>5.6929999999999978</v>
      </c>
      <c r="BR3">
        <v>56.220999999999997</v>
      </c>
      <c r="BS3">
        <v>105.693</v>
      </c>
      <c r="BU3" s="10" t="s">
        <v>162</v>
      </c>
      <c r="BV3" s="10">
        <v>101</v>
      </c>
      <c r="BW3">
        <v>1987</v>
      </c>
      <c r="BX3">
        <v>3</v>
      </c>
      <c r="BY3">
        <f t="shared" ref="BY3:BY66" si="4">CA3-100</f>
        <v>9.6280000000000001</v>
      </c>
      <c r="BZ3">
        <v>54.904000000000003</v>
      </c>
      <c r="CA3">
        <v>109.628</v>
      </c>
      <c r="CC3">
        <v>1987</v>
      </c>
      <c r="CD3">
        <v>2</v>
      </c>
      <c r="CE3">
        <f t="shared" ref="CE3:CE66" si="5">CG3-100</f>
        <v>5.7930000000000064</v>
      </c>
      <c r="CF3">
        <v>56.191000000000003</v>
      </c>
      <c r="CG3">
        <v>105.79300000000001</v>
      </c>
      <c r="CI3">
        <v>1987</v>
      </c>
      <c r="CJ3">
        <v>3</v>
      </c>
      <c r="CK3">
        <f t="shared" ref="CK3:CK66" si="6">CM3-100</f>
        <v>9.5690000000000026</v>
      </c>
      <c r="CL3">
        <v>54.875999999999998</v>
      </c>
      <c r="CM3">
        <v>109.569</v>
      </c>
    </row>
    <row r="4" spans="1:91" x14ac:dyDescent="0.2">
      <c r="A4">
        <v>1989</v>
      </c>
      <c r="B4">
        <v>3</v>
      </c>
      <c r="C4">
        <v>51.06</v>
      </c>
      <c r="E4">
        <v>1989</v>
      </c>
      <c r="F4">
        <v>5</v>
      </c>
      <c r="G4">
        <v>52.478000000000002</v>
      </c>
      <c r="I4">
        <v>1989</v>
      </c>
      <c r="J4">
        <v>3</v>
      </c>
      <c r="K4">
        <v>45.476999999999997</v>
      </c>
      <c r="M4">
        <v>1991</v>
      </c>
      <c r="N4">
        <v>40.250999999999998</v>
      </c>
      <c r="P4">
        <v>1989</v>
      </c>
      <c r="Q4">
        <v>3</v>
      </c>
      <c r="R4">
        <v>41.845999999999997</v>
      </c>
      <c r="U4">
        <f t="shared" si="0"/>
        <v>47.824999999999996</v>
      </c>
      <c r="W4" s="10" t="s">
        <v>162</v>
      </c>
      <c r="X4">
        <v>18</v>
      </c>
      <c r="Y4">
        <v>1989</v>
      </c>
      <c r="Z4">
        <v>3</v>
      </c>
      <c r="AA4">
        <v>44.755000000000003</v>
      </c>
      <c r="AB4">
        <v>1</v>
      </c>
      <c r="AC4">
        <v>57</v>
      </c>
      <c r="AE4" s="10" t="s">
        <v>162</v>
      </c>
      <c r="AF4">
        <v>18</v>
      </c>
      <c r="AG4">
        <v>1989</v>
      </c>
      <c r="AH4">
        <v>5</v>
      </c>
      <c r="AI4">
        <v>47.368000000000002</v>
      </c>
      <c r="AJ4">
        <v>0</v>
      </c>
      <c r="AK4">
        <v>0</v>
      </c>
      <c r="AM4">
        <v>1999</v>
      </c>
      <c r="AN4">
        <v>3</v>
      </c>
      <c r="AO4">
        <v>126.444</v>
      </c>
      <c r="AP4">
        <f t="shared" si="1"/>
        <v>26.444000000000003</v>
      </c>
      <c r="AQ4">
        <v>0</v>
      </c>
      <c r="AR4">
        <v>0</v>
      </c>
      <c r="AT4">
        <v>1999</v>
      </c>
      <c r="AU4">
        <v>4</v>
      </c>
      <c r="AV4">
        <v>132.40299999999999</v>
      </c>
      <c r="AW4">
        <f t="shared" si="2"/>
        <v>32.402999999999992</v>
      </c>
      <c r="AX4">
        <v>0</v>
      </c>
      <c r="AY4">
        <v>0</v>
      </c>
      <c r="BA4">
        <v>1999</v>
      </c>
      <c r="BB4">
        <v>3</v>
      </c>
      <c r="BC4">
        <v>65.039000000000001</v>
      </c>
      <c r="BD4">
        <v>0</v>
      </c>
      <c r="BE4">
        <v>0</v>
      </c>
      <c r="BG4">
        <v>1999</v>
      </c>
      <c r="BH4">
        <v>4</v>
      </c>
      <c r="BI4">
        <v>67.867999999999995</v>
      </c>
      <c r="BJ4">
        <v>0</v>
      </c>
      <c r="BK4">
        <v>0</v>
      </c>
      <c r="BM4" s="10" t="s">
        <v>162</v>
      </c>
      <c r="BN4" s="10">
        <v>101</v>
      </c>
      <c r="BO4">
        <v>1987</v>
      </c>
      <c r="BP4">
        <v>3</v>
      </c>
      <c r="BQ4">
        <f t="shared" si="3"/>
        <v>6.3719999999999999</v>
      </c>
      <c r="BR4">
        <v>56.478999999999999</v>
      </c>
      <c r="BS4">
        <v>106.372</v>
      </c>
      <c r="BU4" s="10" t="s">
        <v>162</v>
      </c>
      <c r="BV4" s="10">
        <v>101</v>
      </c>
      <c r="BW4">
        <v>1987</v>
      </c>
      <c r="BX4">
        <v>4</v>
      </c>
      <c r="BY4">
        <f t="shared" si="4"/>
        <v>10.260000000000005</v>
      </c>
      <c r="BZ4">
        <v>55.143000000000001</v>
      </c>
      <c r="CA4">
        <v>110.26</v>
      </c>
      <c r="CC4">
        <v>1987</v>
      </c>
      <c r="CD4">
        <v>3</v>
      </c>
      <c r="CE4">
        <f t="shared" si="5"/>
        <v>6.4719999999999942</v>
      </c>
      <c r="CF4">
        <v>56.448999999999998</v>
      </c>
      <c r="CG4">
        <v>106.47199999999999</v>
      </c>
      <c r="CI4">
        <v>1987</v>
      </c>
      <c r="CJ4">
        <v>4</v>
      </c>
      <c r="CK4">
        <f t="shared" si="6"/>
        <v>10.200000000000003</v>
      </c>
      <c r="CL4">
        <v>55.116</v>
      </c>
      <c r="CM4">
        <v>110.2</v>
      </c>
    </row>
    <row r="5" spans="1:91" x14ac:dyDescent="0.2">
      <c r="A5">
        <v>1989</v>
      </c>
      <c r="B5">
        <v>4</v>
      </c>
      <c r="C5">
        <v>51.826999999999998</v>
      </c>
      <c r="E5">
        <v>1989</v>
      </c>
      <c r="F5">
        <v>6</v>
      </c>
      <c r="G5">
        <v>52.741</v>
      </c>
      <c r="I5">
        <v>1989</v>
      </c>
      <c r="J5">
        <v>4</v>
      </c>
      <c r="K5">
        <v>46.042000000000002</v>
      </c>
      <c r="M5">
        <v>1992</v>
      </c>
      <c r="N5">
        <v>38.302</v>
      </c>
      <c r="P5">
        <v>1989</v>
      </c>
      <c r="Q5">
        <v>4</v>
      </c>
      <c r="R5">
        <v>42.682000000000002</v>
      </c>
      <c r="U5">
        <f t="shared" si="0"/>
        <v>48.661000000000001</v>
      </c>
      <c r="W5" s="10" t="s">
        <v>162</v>
      </c>
      <c r="X5">
        <v>18</v>
      </c>
      <c r="Y5">
        <v>1989</v>
      </c>
      <c r="Z5">
        <v>4</v>
      </c>
      <c r="AA5">
        <v>45.494</v>
      </c>
      <c r="AB5">
        <v>1</v>
      </c>
      <c r="AC5">
        <v>57</v>
      </c>
      <c r="AE5" s="10" t="s">
        <v>162</v>
      </c>
      <c r="AF5">
        <v>18</v>
      </c>
      <c r="AG5">
        <v>1989</v>
      </c>
      <c r="AH5">
        <v>6</v>
      </c>
      <c r="AI5">
        <v>47.537999999999997</v>
      </c>
      <c r="AJ5">
        <v>1</v>
      </c>
      <c r="AK5">
        <v>60</v>
      </c>
      <c r="AM5">
        <v>1999</v>
      </c>
      <c r="AN5">
        <v>4</v>
      </c>
      <c r="AO5">
        <v>122.961</v>
      </c>
      <c r="AP5">
        <f t="shared" si="1"/>
        <v>22.960999999999999</v>
      </c>
      <c r="AQ5">
        <v>1</v>
      </c>
      <c r="AR5">
        <v>39</v>
      </c>
      <c r="AT5">
        <v>1999</v>
      </c>
      <c r="AU5">
        <v>5</v>
      </c>
      <c r="AV5">
        <v>131.66300000000001</v>
      </c>
      <c r="AW5">
        <f t="shared" si="2"/>
        <v>31.663000000000011</v>
      </c>
      <c r="AX5">
        <v>0</v>
      </c>
      <c r="AY5">
        <v>0</v>
      </c>
      <c r="BA5">
        <v>1999</v>
      </c>
      <c r="BB5">
        <v>4</v>
      </c>
      <c r="BC5">
        <v>63.22</v>
      </c>
      <c r="BD5">
        <v>1</v>
      </c>
      <c r="BE5">
        <v>39</v>
      </c>
      <c r="BG5">
        <v>1999</v>
      </c>
      <c r="BH5">
        <v>5</v>
      </c>
      <c r="BI5">
        <v>67.466999999999999</v>
      </c>
      <c r="BJ5">
        <v>0</v>
      </c>
      <c r="BK5">
        <v>0</v>
      </c>
      <c r="BM5" s="10" t="s">
        <v>162</v>
      </c>
      <c r="BN5" s="10">
        <v>101</v>
      </c>
      <c r="BO5">
        <v>1987</v>
      </c>
      <c r="BP5">
        <v>4</v>
      </c>
      <c r="BQ5">
        <f t="shared" si="3"/>
        <v>8.7789999999999964</v>
      </c>
      <c r="BR5">
        <v>57.5</v>
      </c>
      <c r="BS5">
        <v>108.779</v>
      </c>
      <c r="BU5" s="10" t="s">
        <v>162</v>
      </c>
      <c r="BV5" s="10">
        <v>101</v>
      </c>
      <c r="BW5">
        <v>1987</v>
      </c>
      <c r="BX5">
        <v>5</v>
      </c>
      <c r="BY5">
        <f t="shared" si="4"/>
        <v>10.494</v>
      </c>
      <c r="BZ5">
        <v>55.258000000000003</v>
      </c>
      <c r="CA5">
        <v>110.494</v>
      </c>
      <c r="CC5">
        <v>1987</v>
      </c>
      <c r="CD5">
        <v>4</v>
      </c>
      <c r="CE5">
        <f t="shared" si="5"/>
        <v>8.8790000000000049</v>
      </c>
      <c r="CF5">
        <v>57.47</v>
      </c>
      <c r="CG5">
        <v>108.879</v>
      </c>
      <c r="CI5">
        <v>1987</v>
      </c>
      <c r="CJ5">
        <v>5</v>
      </c>
      <c r="CK5">
        <f t="shared" si="6"/>
        <v>10.433000000000007</v>
      </c>
      <c r="CL5">
        <v>55.231000000000002</v>
      </c>
      <c r="CM5">
        <v>110.43300000000001</v>
      </c>
    </row>
    <row r="6" spans="1:91" x14ac:dyDescent="0.2">
      <c r="A6">
        <v>1990</v>
      </c>
      <c r="B6">
        <v>1</v>
      </c>
      <c r="C6">
        <v>50.53</v>
      </c>
      <c r="E6">
        <v>1989</v>
      </c>
      <c r="F6">
        <v>7</v>
      </c>
      <c r="G6">
        <v>51.89</v>
      </c>
      <c r="I6">
        <v>1990</v>
      </c>
      <c r="J6">
        <v>1</v>
      </c>
      <c r="K6">
        <v>44.759</v>
      </c>
      <c r="M6">
        <v>1993</v>
      </c>
      <c r="N6">
        <v>42.917999999999999</v>
      </c>
      <c r="P6">
        <v>1990</v>
      </c>
      <c r="Q6">
        <v>1</v>
      </c>
      <c r="R6">
        <v>41.552999999999997</v>
      </c>
      <c r="U6">
        <f t="shared" si="0"/>
        <v>47.531999999999996</v>
      </c>
      <c r="W6" s="10" t="s">
        <v>162</v>
      </c>
      <c r="X6">
        <v>18</v>
      </c>
      <c r="Y6">
        <v>1990</v>
      </c>
      <c r="Z6">
        <v>1</v>
      </c>
      <c r="AA6">
        <v>44.628999999999998</v>
      </c>
      <c r="AB6">
        <v>1</v>
      </c>
      <c r="AC6">
        <v>57</v>
      </c>
      <c r="AE6" s="10" t="s">
        <v>162</v>
      </c>
      <c r="AF6">
        <v>18</v>
      </c>
      <c r="AG6">
        <v>1989</v>
      </c>
      <c r="AH6">
        <v>7</v>
      </c>
      <c r="AI6">
        <v>46.860999999999997</v>
      </c>
      <c r="AJ6">
        <v>0</v>
      </c>
      <c r="AK6">
        <v>0</v>
      </c>
      <c r="AM6">
        <v>2000</v>
      </c>
      <c r="AN6">
        <v>1</v>
      </c>
      <c r="AO6">
        <v>122.19799999999999</v>
      </c>
      <c r="AP6">
        <f t="shared" si="1"/>
        <v>22.197999999999993</v>
      </c>
      <c r="AQ6">
        <v>1</v>
      </c>
      <c r="AR6">
        <v>48</v>
      </c>
      <c r="AT6">
        <v>1999</v>
      </c>
      <c r="AU6">
        <v>6</v>
      </c>
      <c r="AV6">
        <v>129.61600000000001</v>
      </c>
      <c r="AW6">
        <f t="shared" si="2"/>
        <v>29.616000000000014</v>
      </c>
      <c r="AX6">
        <v>1</v>
      </c>
      <c r="AY6">
        <v>39</v>
      </c>
      <c r="BA6">
        <v>2000</v>
      </c>
      <c r="BB6">
        <v>1</v>
      </c>
      <c r="BC6">
        <v>62.533999999999999</v>
      </c>
      <c r="BD6">
        <v>1</v>
      </c>
      <c r="BE6">
        <v>48</v>
      </c>
      <c r="BG6">
        <v>1999</v>
      </c>
      <c r="BH6">
        <v>6</v>
      </c>
      <c r="BI6">
        <v>66.378</v>
      </c>
      <c r="BJ6">
        <v>1</v>
      </c>
      <c r="BK6">
        <v>39</v>
      </c>
      <c r="BM6" s="10" t="s">
        <v>162</v>
      </c>
      <c r="BN6" s="10">
        <v>101</v>
      </c>
      <c r="BO6">
        <v>1988</v>
      </c>
      <c r="BP6">
        <v>1</v>
      </c>
      <c r="BQ6">
        <f t="shared" si="3"/>
        <v>13.549999999999997</v>
      </c>
      <c r="BR6">
        <v>62.57</v>
      </c>
      <c r="BS6">
        <v>113.55</v>
      </c>
      <c r="BU6" s="10" t="s">
        <v>162</v>
      </c>
      <c r="BV6" s="10">
        <v>101</v>
      </c>
      <c r="BW6">
        <v>1987</v>
      </c>
      <c r="BX6">
        <v>6</v>
      </c>
      <c r="BY6">
        <f t="shared" si="4"/>
        <v>10.579999999999998</v>
      </c>
      <c r="BZ6">
        <v>55.313000000000002</v>
      </c>
      <c r="CA6">
        <v>110.58</v>
      </c>
      <c r="CC6">
        <v>1988</v>
      </c>
      <c r="CD6">
        <v>1</v>
      </c>
      <c r="CE6">
        <f t="shared" si="5"/>
        <v>13.650000000000006</v>
      </c>
      <c r="CF6">
        <v>62.536999999999999</v>
      </c>
      <c r="CG6">
        <v>113.65</v>
      </c>
      <c r="CI6">
        <v>1987</v>
      </c>
      <c r="CJ6">
        <v>6</v>
      </c>
      <c r="CK6">
        <f t="shared" si="6"/>
        <v>10.519000000000005</v>
      </c>
      <c r="CL6">
        <v>55.286000000000001</v>
      </c>
      <c r="CM6">
        <v>110.51900000000001</v>
      </c>
    </row>
    <row r="7" spans="1:91" x14ac:dyDescent="0.2">
      <c r="A7">
        <v>1990</v>
      </c>
      <c r="B7">
        <v>2</v>
      </c>
      <c r="C7">
        <v>45.938000000000002</v>
      </c>
      <c r="E7">
        <v>1989</v>
      </c>
      <c r="F7">
        <v>8</v>
      </c>
      <c r="G7">
        <v>51.893999999999998</v>
      </c>
      <c r="I7">
        <v>1990</v>
      </c>
      <c r="J7">
        <v>2</v>
      </c>
      <c r="K7">
        <v>40.76</v>
      </c>
      <c r="M7">
        <v>1994</v>
      </c>
      <c r="N7">
        <v>45.319000000000003</v>
      </c>
      <c r="P7">
        <v>1990</v>
      </c>
      <c r="Q7">
        <v>2</v>
      </c>
      <c r="R7">
        <v>37.078000000000003</v>
      </c>
      <c r="U7">
        <f t="shared" si="0"/>
        <v>43.057000000000002</v>
      </c>
      <c r="W7" s="10" t="s">
        <v>162</v>
      </c>
      <c r="X7">
        <v>18</v>
      </c>
      <c r="Y7">
        <v>1990</v>
      </c>
      <c r="Z7">
        <v>2</v>
      </c>
      <c r="AA7">
        <v>39.951000000000001</v>
      </c>
      <c r="AB7">
        <v>1</v>
      </c>
      <c r="AC7">
        <v>57</v>
      </c>
      <c r="AE7" s="10" t="s">
        <v>162</v>
      </c>
      <c r="AF7">
        <v>18</v>
      </c>
      <c r="AG7">
        <v>1989</v>
      </c>
      <c r="AH7">
        <v>8</v>
      </c>
      <c r="AI7">
        <v>46.786000000000001</v>
      </c>
      <c r="AJ7">
        <v>0</v>
      </c>
      <c r="AK7">
        <v>0</v>
      </c>
      <c r="AM7">
        <v>2000</v>
      </c>
      <c r="AN7">
        <v>2</v>
      </c>
      <c r="AO7">
        <v>112.164</v>
      </c>
      <c r="AP7">
        <f t="shared" si="1"/>
        <v>12.164000000000001</v>
      </c>
      <c r="AQ7">
        <v>2</v>
      </c>
      <c r="AR7">
        <v>87</v>
      </c>
      <c r="AT7">
        <v>1999</v>
      </c>
      <c r="AU7">
        <v>7</v>
      </c>
      <c r="AV7">
        <v>127.334</v>
      </c>
      <c r="AW7">
        <f t="shared" si="2"/>
        <v>27.334000000000003</v>
      </c>
      <c r="AX7">
        <v>0</v>
      </c>
      <c r="AY7">
        <v>0</v>
      </c>
      <c r="BA7">
        <v>2000</v>
      </c>
      <c r="BB7">
        <v>2</v>
      </c>
      <c r="BC7">
        <v>57.362000000000002</v>
      </c>
      <c r="BD7">
        <v>2</v>
      </c>
      <c r="BE7">
        <v>87</v>
      </c>
      <c r="BG7">
        <v>1999</v>
      </c>
      <c r="BH7">
        <v>7</v>
      </c>
      <c r="BI7">
        <v>65.248000000000005</v>
      </c>
      <c r="BJ7">
        <v>0</v>
      </c>
      <c r="BK7">
        <v>0</v>
      </c>
      <c r="BM7" s="10" t="s">
        <v>162</v>
      </c>
      <c r="BN7" s="10">
        <v>101</v>
      </c>
      <c r="BO7">
        <v>1988</v>
      </c>
      <c r="BP7">
        <v>2</v>
      </c>
      <c r="BQ7">
        <f t="shared" si="3"/>
        <v>23.683999999999997</v>
      </c>
      <c r="BR7">
        <v>69.037000000000006</v>
      </c>
      <c r="BS7">
        <v>123.684</v>
      </c>
      <c r="BU7" s="10" t="s">
        <v>162</v>
      </c>
      <c r="BV7" s="10">
        <v>101</v>
      </c>
      <c r="BW7">
        <v>1987</v>
      </c>
      <c r="BX7">
        <v>7</v>
      </c>
      <c r="BY7">
        <f t="shared" si="4"/>
        <v>10.611999999999995</v>
      </c>
      <c r="BZ7">
        <v>55.338999999999999</v>
      </c>
      <c r="CA7">
        <v>110.61199999999999</v>
      </c>
      <c r="CC7">
        <v>1988</v>
      </c>
      <c r="CD7">
        <v>2</v>
      </c>
      <c r="CE7">
        <f t="shared" si="5"/>
        <v>23.784999999999997</v>
      </c>
      <c r="CF7">
        <v>69.003</v>
      </c>
      <c r="CG7">
        <v>123.785</v>
      </c>
      <c r="CI7">
        <v>1987</v>
      </c>
      <c r="CJ7">
        <v>7</v>
      </c>
      <c r="CK7">
        <f t="shared" si="6"/>
        <v>10.551000000000002</v>
      </c>
      <c r="CL7">
        <v>55.311999999999998</v>
      </c>
      <c r="CM7">
        <v>110.551</v>
      </c>
    </row>
    <row r="8" spans="1:91" x14ac:dyDescent="0.2">
      <c r="A8">
        <v>1990</v>
      </c>
      <c r="B8">
        <v>3</v>
      </c>
      <c r="C8">
        <v>46.716000000000001</v>
      </c>
      <c r="E8">
        <v>1989</v>
      </c>
      <c r="F8">
        <v>9</v>
      </c>
      <c r="G8">
        <v>51.03</v>
      </c>
      <c r="I8">
        <v>1990</v>
      </c>
      <c r="J8">
        <v>3</v>
      </c>
      <c r="K8">
        <v>41.460999999999999</v>
      </c>
      <c r="M8">
        <v>1995</v>
      </c>
      <c r="N8">
        <v>43.210999999999999</v>
      </c>
      <c r="P8">
        <v>1990</v>
      </c>
      <c r="Q8">
        <v>3</v>
      </c>
      <c r="R8">
        <v>37.850999999999999</v>
      </c>
      <c r="U8">
        <f t="shared" si="0"/>
        <v>43.83</v>
      </c>
      <c r="W8" s="10" t="s">
        <v>162</v>
      </c>
      <c r="X8">
        <v>18</v>
      </c>
      <c r="Y8">
        <v>1990</v>
      </c>
      <c r="Z8">
        <v>3</v>
      </c>
      <c r="AA8">
        <v>40.078000000000003</v>
      </c>
      <c r="AB8">
        <v>1</v>
      </c>
      <c r="AC8">
        <v>57</v>
      </c>
      <c r="AE8" s="10" t="s">
        <v>162</v>
      </c>
      <c r="AF8">
        <v>18</v>
      </c>
      <c r="AG8">
        <v>1989</v>
      </c>
      <c r="AH8">
        <v>9</v>
      </c>
      <c r="AI8">
        <v>46.296999999999997</v>
      </c>
      <c r="AJ8">
        <v>1</v>
      </c>
      <c r="AK8">
        <v>60</v>
      </c>
      <c r="AM8">
        <v>2000</v>
      </c>
      <c r="AN8">
        <v>3</v>
      </c>
      <c r="AO8">
        <v>112.41</v>
      </c>
      <c r="AP8">
        <f t="shared" si="1"/>
        <v>12.409999999999997</v>
      </c>
      <c r="AQ8">
        <v>1</v>
      </c>
      <c r="AR8">
        <v>39</v>
      </c>
      <c r="AT8">
        <v>1999</v>
      </c>
      <c r="AU8">
        <v>8</v>
      </c>
      <c r="AV8">
        <v>126.46599999999999</v>
      </c>
      <c r="AW8">
        <f t="shared" si="2"/>
        <v>26.465999999999994</v>
      </c>
      <c r="AX8">
        <v>0</v>
      </c>
      <c r="AY8">
        <v>0</v>
      </c>
      <c r="BA8">
        <v>2000</v>
      </c>
      <c r="BB8">
        <v>3</v>
      </c>
      <c r="BC8">
        <v>57.817999999999998</v>
      </c>
      <c r="BD8">
        <v>1</v>
      </c>
      <c r="BE8">
        <v>39</v>
      </c>
      <c r="BG8">
        <v>1999</v>
      </c>
      <c r="BH8">
        <v>8</v>
      </c>
      <c r="BI8">
        <v>64.808999999999997</v>
      </c>
      <c r="BJ8">
        <v>0</v>
      </c>
      <c r="BK8">
        <v>0</v>
      </c>
      <c r="BM8" s="10" t="s">
        <v>162</v>
      </c>
      <c r="BN8" s="10">
        <v>101</v>
      </c>
      <c r="BO8">
        <v>1988</v>
      </c>
      <c r="BP8">
        <v>3</v>
      </c>
      <c r="BQ8">
        <f t="shared" si="3"/>
        <v>15.194000000000003</v>
      </c>
      <c r="BR8">
        <v>63.390999999999998</v>
      </c>
      <c r="BS8">
        <v>115.194</v>
      </c>
      <c r="BU8" s="10" t="s">
        <v>162</v>
      </c>
      <c r="BV8" s="10">
        <v>101</v>
      </c>
      <c r="BW8">
        <v>1987</v>
      </c>
      <c r="BX8">
        <v>8</v>
      </c>
      <c r="BY8">
        <f t="shared" si="4"/>
        <v>10.623999999999995</v>
      </c>
      <c r="BZ8">
        <v>55.351999999999997</v>
      </c>
      <c r="CA8">
        <v>110.624</v>
      </c>
      <c r="CC8">
        <v>1988</v>
      </c>
      <c r="CD8">
        <v>3</v>
      </c>
      <c r="CE8">
        <f t="shared" si="5"/>
        <v>15.295000000000002</v>
      </c>
      <c r="CF8">
        <v>63.356999999999999</v>
      </c>
      <c r="CG8">
        <v>115.295</v>
      </c>
      <c r="CI8">
        <v>1987</v>
      </c>
      <c r="CJ8">
        <v>8</v>
      </c>
      <c r="CK8">
        <f t="shared" si="6"/>
        <v>10.563000000000002</v>
      </c>
      <c r="CL8">
        <v>55.325000000000003</v>
      </c>
      <c r="CM8">
        <v>110.563</v>
      </c>
    </row>
    <row r="9" spans="1:91" x14ac:dyDescent="0.2">
      <c r="A9">
        <v>1990</v>
      </c>
      <c r="B9">
        <v>4</v>
      </c>
      <c r="C9">
        <v>48.927999999999997</v>
      </c>
      <c r="E9">
        <v>1989</v>
      </c>
      <c r="F9">
        <v>10</v>
      </c>
      <c r="G9">
        <v>51.524999999999999</v>
      </c>
      <c r="I9">
        <v>1990</v>
      </c>
      <c r="J9">
        <v>4</v>
      </c>
      <c r="K9">
        <v>43.448999999999998</v>
      </c>
      <c r="M9">
        <v>1996</v>
      </c>
      <c r="N9">
        <v>40.503999999999998</v>
      </c>
      <c r="P9">
        <v>1990</v>
      </c>
      <c r="Q9">
        <v>4</v>
      </c>
      <c r="R9">
        <v>39.944000000000003</v>
      </c>
      <c r="U9">
        <f t="shared" si="0"/>
        <v>45.923000000000002</v>
      </c>
      <c r="W9" s="10" t="s">
        <v>162</v>
      </c>
      <c r="X9">
        <v>18</v>
      </c>
      <c r="Y9">
        <v>1990</v>
      </c>
      <c r="Z9">
        <v>4</v>
      </c>
      <c r="AA9">
        <v>42.109000000000002</v>
      </c>
      <c r="AB9">
        <v>1</v>
      </c>
      <c r="AC9">
        <v>57</v>
      </c>
      <c r="AE9" s="10" t="s">
        <v>162</v>
      </c>
      <c r="AF9">
        <v>18</v>
      </c>
      <c r="AG9">
        <v>1989</v>
      </c>
      <c r="AH9">
        <v>10</v>
      </c>
      <c r="AI9">
        <v>46.564999999999998</v>
      </c>
      <c r="AJ9">
        <v>0</v>
      </c>
      <c r="AK9">
        <v>0</v>
      </c>
      <c r="AM9">
        <v>2000</v>
      </c>
      <c r="AN9">
        <v>4</v>
      </c>
      <c r="AO9">
        <v>113.01</v>
      </c>
      <c r="AP9">
        <f t="shared" si="1"/>
        <v>13.010000000000005</v>
      </c>
      <c r="AQ9">
        <v>0</v>
      </c>
      <c r="AR9">
        <v>0</v>
      </c>
      <c r="AT9">
        <v>1999</v>
      </c>
      <c r="AU9">
        <v>9</v>
      </c>
      <c r="AV9">
        <v>126.13200000000001</v>
      </c>
      <c r="AW9">
        <f t="shared" si="2"/>
        <v>26.132000000000005</v>
      </c>
      <c r="AX9">
        <v>0</v>
      </c>
      <c r="AY9">
        <v>0</v>
      </c>
      <c r="BA9">
        <v>2000</v>
      </c>
      <c r="BB9">
        <v>4</v>
      </c>
      <c r="BC9">
        <v>58.093000000000004</v>
      </c>
      <c r="BD9">
        <v>0</v>
      </c>
      <c r="BE9">
        <v>0</v>
      </c>
      <c r="BG9">
        <v>1999</v>
      </c>
      <c r="BH9">
        <v>9</v>
      </c>
      <c r="BI9">
        <v>64.635000000000005</v>
      </c>
      <c r="BJ9">
        <v>0</v>
      </c>
      <c r="BK9">
        <v>0</v>
      </c>
      <c r="BM9" s="10" t="s">
        <v>162</v>
      </c>
      <c r="BN9" s="10">
        <v>101</v>
      </c>
      <c r="BO9">
        <v>1988</v>
      </c>
      <c r="BP9">
        <v>4</v>
      </c>
      <c r="BQ9">
        <f t="shared" si="3"/>
        <v>12.072000000000003</v>
      </c>
      <c r="BR9">
        <v>61.351999999999997</v>
      </c>
      <c r="BS9">
        <v>112.072</v>
      </c>
      <c r="BU9" s="10" t="s">
        <v>162</v>
      </c>
      <c r="BV9" s="10">
        <v>101</v>
      </c>
      <c r="BW9">
        <v>1987</v>
      </c>
      <c r="BX9">
        <v>9</v>
      </c>
      <c r="BY9">
        <f t="shared" si="4"/>
        <v>10.628</v>
      </c>
      <c r="BZ9">
        <v>55.357999999999997</v>
      </c>
      <c r="CA9">
        <v>110.628</v>
      </c>
      <c r="CC9">
        <v>1988</v>
      </c>
      <c r="CD9">
        <v>4</v>
      </c>
      <c r="CE9">
        <f t="shared" si="5"/>
        <v>12.171999999999997</v>
      </c>
      <c r="CF9">
        <v>61.32</v>
      </c>
      <c r="CG9">
        <v>112.172</v>
      </c>
      <c r="CI9">
        <v>1987</v>
      </c>
      <c r="CJ9">
        <v>9</v>
      </c>
      <c r="CK9">
        <f t="shared" si="6"/>
        <v>10.566999999999993</v>
      </c>
      <c r="CL9">
        <v>55.331000000000003</v>
      </c>
      <c r="CM9">
        <v>110.56699999999999</v>
      </c>
    </row>
    <row r="10" spans="1:91" x14ac:dyDescent="0.2">
      <c r="A10">
        <v>1991</v>
      </c>
      <c r="B10">
        <v>1</v>
      </c>
      <c r="C10">
        <v>51.082999999999998</v>
      </c>
      <c r="E10">
        <v>1989</v>
      </c>
      <c r="F10">
        <v>11</v>
      </c>
      <c r="G10">
        <v>51.515000000000001</v>
      </c>
      <c r="I10">
        <v>1991</v>
      </c>
      <c r="J10">
        <v>1</v>
      </c>
      <c r="K10">
        <v>45.311</v>
      </c>
      <c r="M10">
        <v>1997</v>
      </c>
      <c r="N10">
        <v>41.161999999999999</v>
      </c>
      <c r="P10">
        <v>1991</v>
      </c>
      <c r="Q10">
        <v>1</v>
      </c>
      <c r="R10">
        <v>42.031999999999996</v>
      </c>
      <c r="U10">
        <f t="shared" si="0"/>
        <v>48.010999999999996</v>
      </c>
      <c r="W10" s="10" t="s">
        <v>162</v>
      </c>
      <c r="X10">
        <v>18</v>
      </c>
      <c r="Y10">
        <v>1991</v>
      </c>
      <c r="Z10">
        <v>1</v>
      </c>
      <c r="AA10">
        <v>44.496000000000002</v>
      </c>
      <c r="AB10">
        <v>1</v>
      </c>
      <c r="AC10">
        <v>57</v>
      </c>
      <c r="AE10" s="10" t="s">
        <v>162</v>
      </c>
      <c r="AF10">
        <v>18</v>
      </c>
      <c r="AG10">
        <v>1989</v>
      </c>
      <c r="AH10">
        <v>11</v>
      </c>
      <c r="AI10">
        <v>46.524999999999999</v>
      </c>
      <c r="AJ10">
        <v>0</v>
      </c>
      <c r="AK10">
        <v>0</v>
      </c>
      <c r="AM10">
        <v>2001</v>
      </c>
      <c r="AN10">
        <v>1</v>
      </c>
      <c r="AO10">
        <v>115.309</v>
      </c>
      <c r="AP10">
        <f t="shared" si="1"/>
        <v>15.308999999999997</v>
      </c>
      <c r="AQ10">
        <v>2</v>
      </c>
      <c r="AR10">
        <v>87</v>
      </c>
      <c r="AT10">
        <v>1999</v>
      </c>
      <c r="AU10">
        <v>10</v>
      </c>
      <c r="AV10">
        <v>126.003</v>
      </c>
      <c r="AW10">
        <f t="shared" si="2"/>
        <v>26.003</v>
      </c>
      <c r="AX10">
        <v>0</v>
      </c>
      <c r="AY10">
        <v>0</v>
      </c>
      <c r="BA10">
        <v>2001</v>
      </c>
      <c r="BB10">
        <v>1</v>
      </c>
      <c r="BC10">
        <v>59.283999999999999</v>
      </c>
      <c r="BD10">
        <v>2</v>
      </c>
      <c r="BE10">
        <v>87</v>
      </c>
      <c r="BG10">
        <v>1999</v>
      </c>
      <c r="BH10">
        <v>10</v>
      </c>
      <c r="BI10">
        <v>64.566000000000003</v>
      </c>
      <c r="BJ10">
        <v>0</v>
      </c>
      <c r="BK10">
        <v>0</v>
      </c>
      <c r="BM10" s="10" t="s">
        <v>162</v>
      </c>
      <c r="BN10" s="10">
        <v>101</v>
      </c>
      <c r="BO10">
        <v>1989</v>
      </c>
      <c r="BP10">
        <v>1</v>
      </c>
      <c r="BQ10">
        <f t="shared" si="3"/>
        <v>9.6749999999999972</v>
      </c>
      <c r="BR10">
        <v>60.424999999999997</v>
      </c>
      <c r="BS10">
        <v>109.675</v>
      </c>
      <c r="BU10" s="10" t="s">
        <v>162</v>
      </c>
      <c r="BV10" s="10">
        <v>101</v>
      </c>
      <c r="BW10">
        <v>1987</v>
      </c>
      <c r="BX10">
        <v>10</v>
      </c>
      <c r="BY10">
        <f t="shared" si="4"/>
        <v>12.980999999999995</v>
      </c>
      <c r="BZ10">
        <v>56.081000000000003</v>
      </c>
      <c r="CA10">
        <v>112.98099999999999</v>
      </c>
      <c r="CC10">
        <v>1989</v>
      </c>
      <c r="CD10">
        <v>1</v>
      </c>
      <c r="CE10">
        <f t="shared" si="5"/>
        <v>9.7740000000000009</v>
      </c>
      <c r="CF10">
        <v>60.392000000000003</v>
      </c>
      <c r="CG10">
        <v>109.774</v>
      </c>
      <c r="CI10">
        <v>1987</v>
      </c>
      <c r="CJ10">
        <v>10</v>
      </c>
      <c r="CK10">
        <f t="shared" si="6"/>
        <v>12.915000000000006</v>
      </c>
      <c r="CL10">
        <v>56.052</v>
      </c>
      <c r="CM10">
        <v>112.91500000000001</v>
      </c>
    </row>
    <row r="11" spans="1:91" x14ac:dyDescent="0.2">
      <c r="A11">
        <v>1991</v>
      </c>
      <c r="B11">
        <v>2</v>
      </c>
      <c r="C11">
        <v>50.497</v>
      </c>
      <c r="E11">
        <v>1989</v>
      </c>
      <c r="F11">
        <v>12</v>
      </c>
      <c r="G11">
        <v>52.082999999999998</v>
      </c>
      <c r="I11">
        <v>1991</v>
      </c>
      <c r="J11">
        <v>2</v>
      </c>
      <c r="K11">
        <v>44.685000000000002</v>
      </c>
      <c r="M11">
        <v>1998</v>
      </c>
      <c r="N11">
        <v>41.927999999999997</v>
      </c>
      <c r="P11">
        <v>1991</v>
      </c>
      <c r="Q11">
        <v>2</v>
      </c>
      <c r="R11">
        <v>41.536000000000001</v>
      </c>
      <c r="U11">
        <f t="shared" si="0"/>
        <v>47.515000000000001</v>
      </c>
      <c r="W11" s="10" t="s">
        <v>162</v>
      </c>
      <c r="X11">
        <v>18</v>
      </c>
      <c r="Y11">
        <v>1991</v>
      </c>
      <c r="Z11">
        <v>2</v>
      </c>
      <c r="AA11">
        <v>44.442</v>
      </c>
      <c r="AB11">
        <v>1</v>
      </c>
      <c r="AC11">
        <v>57</v>
      </c>
      <c r="AE11" s="10" t="s">
        <v>162</v>
      </c>
      <c r="AF11">
        <v>18</v>
      </c>
      <c r="AG11">
        <v>1989</v>
      </c>
      <c r="AH11">
        <v>12</v>
      </c>
      <c r="AI11">
        <v>46.805</v>
      </c>
      <c r="AJ11">
        <v>1</v>
      </c>
      <c r="AK11">
        <v>60</v>
      </c>
      <c r="AM11">
        <v>2001</v>
      </c>
      <c r="AN11">
        <v>2</v>
      </c>
      <c r="AO11">
        <v>111.188</v>
      </c>
      <c r="AP11">
        <f t="shared" si="1"/>
        <v>11.188000000000002</v>
      </c>
      <c r="AQ11">
        <v>0</v>
      </c>
      <c r="AR11">
        <v>0</v>
      </c>
      <c r="AT11">
        <v>1999</v>
      </c>
      <c r="AU11">
        <v>11</v>
      </c>
      <c r="AV11">
        <v>125.953</v>
      </c>
      <c r="AW11">
        <f t="shared" si="2"/>
        <v>25.953000000000003</v>
      </c>
      <c r="AX11">
        <v>0</v>
      </c>
      <c r="AY11">
        <v>0</v>
      </c>
      <c r="BA11">
        <v>2001</v>
      </c>
      <c r="BB11">
        <v>2</v>
      </c>
      <c r="BC11">
        <v>57.1</v>
      </c>
      <c r="BD11">
        <v>0</v>
      </c>
      <c r="BE11">
        <v>0</v>
      </c>
      <c r="BG11">
        <v>1999</v>
      </c>
      <c r="BH11">
        <v>11</v>
      </c>
      <c r="BI11">
        <v>64.537000000000006</v>
      </c>
      <c r="BJ11">
        <v>0</v>
      </c>
      <c r="BK11">
        <v>0</v>
      </c>
      <c r="BM11" s="10" t="s">
        <v>162</v>
      </c>
      <c r="BN11" s="10">
        <v>101</v>
      </c>
      <c r="BO11">
        <v>1989</v>
      </c>
      <c r="BP11">
        <v>2</v>
      </c>
      <c r="BQ11">
        <f t="shared" si="3"/>
        <v>12.403999999999996</v>
      </c>
      <c r="BR11">
        <v>61.924999999999997</v>
      </c>
      <c r="BS11">
        <v>112.404</v>
      </c>
      <c r="BU11" s="10" t="s">
        <v>162</v>
      </c>
      <c r="BV11" s="10">
        <v>101</v>
      </c>
      <c r="BW11">
        <v>1987</v>
      </c>
      <c r="BX11">
        <v>11</v>
      </c>
      <c r="BY11">
        <f t="shared" si="4"/>
        <v>13.826999999999998</v>
      </c>
      <c r="BZ11">
        <v>56.594999999999999</v>
      </c>
      <c r="CA11">
        <v>113.827</v>
      </c>
      <c r="CC11">
        <v>1989</v>
      </c>
      <c r="CD11">
        <v>2</v>
      </c>
      <c r="CE11">
        <f t="shared" si="5"/>
        <v>12.504000000000005</v>
      </c>
      <c r="CF11">
        <v>61.892000000000003</v>
      </c>
      <c r="CG11">
        <v>112.504</v>
      </c>
      <c r="CI11">
        <v>1987</v>
      </c>
      <c r="CJ11">
        <v>11</v>
      </c>
      <c r="CK11">
        <f t="shared" si="6"/>
        <v>13.760000000000005</v>
      </c>
      <c r="CL11">
        <v>56.564999999999998</v>
      </c>
      <c r="CM11">
        <v>113.76</v>
      </c>
    </row>
    <row r="12" spans="1:91" x14ac:dyDescent="0.2">
      <c r="A12">
        <v>1991</v>
      </c>
      <c r="B12">
        <v>3</v>
      </c>
      <c r="C12">
        <v>46.802</v>
      </c>
      <c r="E12">
        <v>1990</v>
      </c>
      <c r="F12">
        <v>1</v>
      </c>
      <c r="G12">
        <v>51.555999999999997</v>
      </c>
      <c r="I12">
        <v>1991</v>
      </c>
      <c r="J12">
        <v>3</v>
      </c>
      <c r="K12">
        <v>41.344999999999999</v>
      </c>
      <c r="M12">
        <v>1999</v>
      </c>
      <c r="N12">
        <v>51.972999999999999</v>
      </c>
      <c r="P12">
        <v>1991</v>
      </c>
      <c r="Q12">
        <v>3</v>
      </c>
      <c r="R12">
        <v>38.011000000000003</v>
      </c>
      <c r="U12">
        <f t="shared" si="0"/>
        <v>43.99</v>
      </c>
      <c r="W12" s="10" t="s">
        <v>162</v>
      </c>
      <c r="X12">
        <v>18</v>
      </c>
      <c r="Y12">
        <v>1991</v>
      </c>
      <c r="Z12">
        <v>3</v>
      </c>
      <c r="AA12">
        <v>40.918999999999997</v>
      </c>
      <c r="AB12">
        <v>1</v>
      </c>
      <c r="AC12">
        <v>57</v>
      </c>
      <c r="AE12" s="10" t="s">
        <v>162</v>
      </c>
      <c r="AF12">
        <v>18</v>
      </c>
      <c r="AG12">
        <v>1990</v>
      </c>
      <c r="AH12">
        <v>1</v>
      </c>
      <c r="AI12">
        <v>46.435000000000002</v>
      </c>
      <c r="AJ12">
        <v>0</v>
      </c>
      <c r="AK12">
        <v>0</v>
      </c>
      <c r="AM12">
        <v>2001</v>
      </c>
      <c r="AN12">
        <v>3</v>
      </c>
      <c r="AO12">
        <v>103.34399999999999</v>
      </c>
      <c r="AP12">
        <f t="shared" si="1"/>
        <v>3.3439999999999941</v>
      </c>
      <c r="AQ12">
        <v>2</v>
      </c>
      <c r="AR12">
        <v>87</v>
      </c>
      <c r="AT12">
        <v>1999</v>
      </c>
      <c r="AU12">
        <v>12</v>
      </c>
      <c r="AV12">
        <v>124.036</v>
      </c>
      <c r="AW12">
        <f t="shared" si="2"/>
        <v>24.036000000000001</v>
      </c>
      <c r="AX12">
        <v>1</v>
      </c>
      <c r="AY12">
        <v>39</v>
      </c>
      <c r="BA12">
        <v>2001</v>
      </c>
      <c r="BB12">
        <v>3</v>
      </c>
      <c r="BC12">
        <v>52.771999999999998</v>
      </c>
      <c r="BD12">
        <v>2</v>
      </c>
      <c r="BE12">
        <v>87</v>
      </c>
      <c r="BG12">
        <v>1999</v>
      </c>
      <c r="BH12">
        <v>12</v>
      </c>
      <c r="BI12">
        <v>63.564999999999998</v>
      </c>
      <c r="BJ12">
        <v>1</v>
      </c>
      <c r="BK12">
        <v>39</v>
      </c>
      <c r="BM12" s="10" t="s">
        <v>162</v>
      </c>
      <c r="BN12" s="10">
        <v>101</v>
      </c>
      <c r="BO12">
        <v>1989</v>
      </c>
      <c r="BP12">
        <v>3</v>
      </c>
      <c r="BQ12">
        <f t="shared" si="3"/>
        <v>10.126999999999995</v>
      </c>
      <c r="BR12">
        <v>60.322000000000003</v>
      </c>
      <c r="BS12">
        <v>110.127</v>
      </c>
      <c r="BU12" s="10" t="s">
        <v>162</v>
      </c>
      <c r="BV12" s="10">
        <v>101</v>
      </c>
      <c r="BW12">
        <v>1987</v>
      </c>
      <c r="BX12">
        <v>12</v>
      </c>
      <c r="BY12">
        <f t="shared" si="4"/>
        <v>14.799000000000007</v>
      </c>
      <c r="BZ12">
        <v>57.301000000000002</v>
      </c>
      <c r="CA12">
        <v>114.79900000000001</v>
      </c>
      <c r="CC12">
        <v>1989</v>
      </c>
      <c r="CD12">
        <v>3</v>
      </c>
      <c r="CE12">
        <f t="shared" si="5"/>
        <v>10.227000000000004</v>
      </c>
      <c r="CF12">
        <v>60.29</v>
      </c>
      <c r="CG12">
        <v>110.227</v>
      </c>
      <c r="CI12">
        <v>1987</v>
      </c>
      <c r="CJ12">
        <v>12</v>
      </c>
      <c r="CK12">
        <f t="shared" si="6"/>
        <v>14.730000000000004</v>
      </c>
      <c r="CL12">
        <v>57.27</v>
      </c>
      <c r="CM12">
        <v>114.73</v>
      </c>
    </row>
    <row r="13" spans="1:91" x14ac:dyDescent="0.2">
      <c r="A13">
        <v>1991</v>
      </c>
      <c r="B13">
        <v>4</v>
      </c>
      <c r="C13">
        <v>45.58</v>
      </c>
      <c r="E13">
        <v>1990</v>
      </c>
      <c r="F13">
        <v>2</v>
      </c>
      <c r="G13">
        <v>51.56</v>
      </c>
      <c r="I13">
        <v>1991</v>
      </c>
      <c r="J13">
        <v>4</v>
      </c>
      <c r="K13">
        <v>40.021000000000001</v>
      </c>
      <c r="M13">
        <v>2000</v>
      </c>
      <c r="N13">
        <v>51.052999999999997</v>
      </c>
      <c r="P13">
        <v>1991</v>
      </c>
      <c r="Q13">
        <v>4</v>
      </c>
      <c r="R13">
        <v>37.070999999999998</v>
      </c>
      <c r="U13">
        <f t="shared" si="0"/>
        <v>43.05</v>
      </c>
      <c r="W13" s="10" t="s">
        <v>162</v>
      </c>
      <c r="X13">
        <v>18</v>
      </c>
      <c r="Y13">
        <v>1991</v>
      </c>
      <c r="Z13">
        <v>4</v>
      </c>
      <c r="AA13">
        <v>39.758000000000003</v>
      </c>
      <c r="AB13">
        <v>1</v>
      </c>
      <c r="AC13">
        <v>57</v>
      </c>
      <c r="AE13" s="10" t="s">
        <v>162</v>
      </c>
      <c r="AF13">
        <v>18</v>
      </c>
      <c r="AG13">
        <v>1990</v>
      </c>
      <c r="AH13">
        <v>2</v>
      </c>
      <c r="AI13">
        <v>46.424999999999997</v>
      </c>
      <c r="AJ13">
        <v>0</v>
      </c>
      <c r="AK13">
        <v>0</v>
      </c>
      <c r="AM13">
        <v>2001</v>
      </c>
      <c r="AN13">
        <v>4</v>
      </c>
      <c r="AO13">
        <v>91.19</v>
      </c>
      <c r="AP13">
        <f t="shared" si="1"/>
        <v>-8.8100000000000023</v>
      </c>
      <c r="AQ13">
        <v>2</v>
      </c>
      <c r="AR13">
        <v>87</v>
      </c>
      <c r="AT13">
        <v>2000</v>
      </c>
      <c r="AU13">
        <v>1</v>
      </c>
      <c r="AV13">
        <v>123.58199999999999</v>
      </c>
      <c r="AW13">
        <f t="shared" si="2"/>
        <v>23.581999999999994</v>
      </c>
      <c r="AX13">
        <v>0</v>
      </c>
      <c r="AY13">
        <v>0</v>
      </c>
      <c r="BA13">
        <v>2001</v>
      </c>
      <c r="BB13">
        <v>4</v>
      </c>
      <c r="BC13">
        <v>46.302</v>
      </c>
      <c r="BD13">
        <v>2</v>
      </c>
      <c r="BE13">
        <v>87</v>
      </c>
      <c r="BG13">
        <v>2000</v>
      </c>
      <c r="BH13">
        <v>1</v>
      </c>
      <c r="BI13">
        <v>63.234999999999999</v>
      </c>
      <c r="BJ13">
        <v>0</v>
      </c>
      <c r="BK13">
        <v>0</v>
      </c>
      <c r="BM13" s="10" t="s">
        <v>162</v>
      </c>
      <c r="BN13" s="10">
        <v>101</v>
      </c>
      <c r="BO13">
        <v>1989</v>
      </c>
      <c r="BP13">
        <v>4</v>
      </c>
      <c r="BQ13">
        <f t="shared" si="3"/>
        <v>5.8239999999999981</v>
      </c>
      <c r="BR13">
        <v>57.725999999999999</v>
      </c>
      <c r="BS13">
        <v>105.824</v>
      </c>
      <c r="BU13" s="10" t="s">
        <v>162</v>
      </c>
      <c r="BV13" s="10">
        <v>101</v>
      </c>
      <c r="BW13">
        <v>1988</v>
      </c>
      <c r="BX13">
        <v>1</v>
      </c>
      <c r="BY13">
        <f t="shared" si="4"/>
        <v>16.656999999999996</v>
      </c>
      <c r="BZ13">
        <v>59.091000000000001</v>
      </c>
      <c r="CA13">
        <v>116.657</v>
      </c>
      <c r="CC13">
        <v>1989</v>
      </c>
      <c r="CD13">
        <v>4</v>
      </c>
      <c r="CE13">
        <f t="shared" si="5"/>
        <v>5.9240000000000066</v>
      </c>
      <c r="CF13">
        <v>57.695</v>
      </c>
      <c r="CG13">
        <v>105.92400000000001</v>
      </c>
      <c r="CI13">
        <v>1988</v>
      </c>
      <c r="CJ13">
        <v>1</v>
      </c>
      <c r="CK13">
        <f t="shared" si="6"/>
        <v>16.585999999999999</v>
      </c>
      <c r="CL13">
        <v>59.054000000000002</v>
      </c>
      <c r="CM13">
        <v>116.586</v>
      </c>
    </row>
    <row r="14" spans="1:91" x14ac:dyDescent="0.2">
      <c r="A14">
        <v>1992</v>
      </c>
      <c r="B14">
        <v>1</v>
      </c>
      <c r="C14">
        <v>40.655999999999999</v>
      </c>
      <c r="E14">
        <v>1990</v>
      </c>
      <c r="F14">
        <v>3</v>
      </c>
      <c r="G14">
        <v>50.875</v>
      </c>
      <c r="I14">
        <v>1992</v>
      </c>
      <c r="J14">
        <v>1</v>
      </c>
      <c r="K14">
        <v>35.6</v>
      </c>
      <c r="M14">
        <v>2001</v>
      </c>
      <c r="N14">
        <v>49.668999999999997</v>
      </c>
      <c r="P14">
        <v>1992</v>
      </c>
      <c r="Q14">
        <v>1</v>
      </c>
      <c r="R14">
        <v>32.412999999999997</v>
      </c>
      <c r="U14">
        <f t="shared" si="0"/>
        <v>38.391999999999996</v>
      </c>
      <c r="W14" s="10" t="s">
        <v>162</v>
      </c>
      <c r="X14">
        <v>18</v>
      </c>
      <c r="Y14">
        <v>1992</v>
      </c>
      <c r="Z14">
        <v>1</v>
      </c>
      <c r="AA14">
        <v>35.024000000000001</v>
      </c>
      <c r="AB14">
        <v>1</v>
      </c>
      <c r="AC14">
        <v>57</v>
      </c>
      <c r="AE14" s="10" t="s">
        <v>162</v>
      </c>
      <c r="AF14">
        <v>18</v>
      </c>
      <c r="AG14">
        <v>1990</v>
      </c>
      <c r="AH14">
        <v>3</v>
      </c>
      <c r="AI14">
        <v>46.119</v>
      </c>
      <c r="AJ14">
        <v>1</v>
      </c>
      <c r="AK14">
        <v>60</v>
      </c>
      <c r="AM14">
        <v>2002</v>
      </c>
      <c r="AN14">
        <v>1</v>
      </c>
      <c r="AO14">
        <v>88.230999999999995</v>
      </c>
      <c r="AP14">
        <f t="shared" si="1"/>
        <v>-11.769000000000005</v>
      </c>
      <c r="AQ14">
        <v>2</v>
      </c>
      <c r="AR14">
        <v>87</v>
      </c>
      <c r="AT14">
        <v>2000</v>
      </c>
      <c r="AU14">
        <v>2</v>
      </c>
      <c r="AV14">
        <v>122.694</v>
      </c>
      <c r="AW14">
        <f t="shared" si="2"/>
        <v>22.694000000000003</v>
      </c>
      <c r="AX14">
        <v>1</v>
      </c>
      <c r="AY14">
        <v>92</v>
      </c>
      <c r="BA14">
        <v>2002</v>
      </c>
      <c r="BB14">
        <v>1</v>
      </c>
      <c r="BC14">
        <v>44.844000000000001</v>
      </c>
      <c r="BD14">
        <v>2</v>
      </c>
      <c r="BE14">
        <v>87</v>
      </c>
      <c r="BG14">
        <v>2000</v>
      </c>
      <c r="BH14">
        <v>2</v>
      </c>
      <c r="BI14">
        <v>62.557000000000002</v>
      </c>
      <c r="BJ14">
        <v>1</v>
      </c>
      <c r="BK14">
        <v>92</v>
      </c>
      <c r="BM14" s="10" t="s">
        <v>162</v>
      </c>
      <c r="BN14" s="10">
        <v>101</v>
      </c>
      <c r="BO14">
        <v>1990</v>
      </c>
      <c r="BP14">
        <v>1</v>
      </c>
      <c r="BQ14">
        <f t="shared" si="3"/>
        <v>6.0460000000000065</v>
      </c>
      <c r="BR14">
        <v>57.850999999999999</v>
      </c>
      <c r="BS14">
        <v>106.04600000000001</v>
      </c>
      <c r="BU14" s="10" t="s">
        <v>162</v>
      </c>
      <c r="BV14" s="10">
        <v>101</v>
      </c>
      <c r="BW14">
        <v>1988</v>
      </c>
      <c r="BX14">
        <v>2</v>
      </c>
      <c r="BY14">
        <f t="shared" si="4"/>
        <v>17.319999999999993</v>
      </c>
      <c r="BZ14">
        <v>59.918999999999997</v>
      </c>
      <c r="CA14">
        <v>117.32</v>
      </c>
      <c r="CC14">
        <v>1990</v>
      </c>
      <c r="CD14">
        <v>1</v>
      </c>
      <c r="CE14">
        <f t="shared" si="5"/>
        <v>6.1460000000000008</v>
      </c>
      <c r="CF14">
        <v>57.82</v>
      </c>
      <c r="CG14">
        <v>106.146</v>
      </c>
      <c r="CI14">
        <v>1988</v>
      </c>
      <c r="CJ14">
        <v>2</v>
      </c>
      <c r="CK14">
        <f t="shared" si="6"/>
        <v>17.248000000000005</v>
      </c>
      <c r="CL14">
        <v>59.88</v>
      </c>
      <c r="CM14">
        <v>117.248</v>
      </c>
    </row>
    <row r="15" spans="1:91" x14ac:dyDescent="0.2">
      <c r="A15">
        <v>1992</v>
      </c>
      <c r="B15">
        <v>2</v>
      </c>
      <c r="C15">
        <v>37.375999999999998</v>
      </c>
      <c r="E15">
        <v>1990</v>
      </c>
      <c r="F15">
        <v>4</v>
      </c>
      <c r="G15">
        <v>48.165999999999997</v>
      </c>
      <c r="I15">
        <v>1992</v>
      </c>
      <c r="J15">
        <v>2</v>
      </c>
      <c r="K15">
        <v>32.875999999999998</v>
      </c>
      <c r="M15">
        <v>2002</v>
      </c>
      <c r="N15">
        <v>48.572000000000003</v>
      </c>
      <c r="P15">
        <v>1992</v>
      </c>
      <c r="Q15">
        <v>2</v>
      </c>
      <c r="R15">
        <v>29.193999999999999</v>
      </c>
      <c r="U15">
        <f t="shared" si="0"/>
        <v>35.173000000000002</v>
      </c>
      <c r="W15" s="10" t="s">
        <v>162</v>
      </c>
      <c r="X15">
        <v>18</v>
      </c>
      <c r="Y15">
        <v>1992</v>
      </c>
      <c r="Z15">
        <v>2</v>
      </c>
      <c r="AA15">
        <v>31.126999999999999</v>
      </c>
      <c r="AB15">
        <v>1</v>
      </c>
      <c r="AC15">
        <v>57</v>
      </c>
      <c r="AE15" s="10" t="s">
        <v>162</v>
      </c>
      <c r="AF15">
        <v>18</v>
      </c>
      <c r="AG15">
        <v>1990</v>
      </c>
      <c r="AH15">
        <v>4</v>
      </c>
      <c r="AI15">
        <v>43.691000000000003</v>
      </c>
      <c r="AJ15">
        <v>0</v>
      </c>
      <c r="AK15">
        <v>0</v>
      </c>
      <c r="AM15">
        <v>2002</v>
      </c>
      <c r="AN15">
        <v>2</v>
      </c>
      <c r="AO15">
        <v>91.084999999999994</v>
      </c>
      <c r="AP15">
        <f t="shared" si="1"/>
        <v>-8.9150000000000063</v>
      </c>
      <c r="AQ15">
        <v>2</v>
      </c>
      <c r="AR15">
        <v>87</v>
      </c>
      <c r="AT15">
        <v>2000</v>
      </c>
      <c r="AU15">
        <v>3</v>
      </c>
      <c r="AV15">
        <v>117.15300000000001</v>
      </c>
      <c r="AW15">
        <f t="shared" si="2"/>
        <v>17.153000000000006</v>
      </c>
      <c r="AX15">
        <v>0</v>
      </c>
      <c r="AY15">
        <v>0</v>
      </c>
      <c r="BA15">
        <v>2002</v>
      </c>
      <c r="BB15">
        <v>2</v>
      </c>
      <c r="BC15">
        <v>46.439</v>
      </c>
      <c r="BD15">
        <v>2</v>
      </c>
      <c r="BE15">
        <v>87</v>
      </c>
      <c r="BG15">
        <v>2000</v>
      </c>
      <c r="BH15">
        <v>3</v>
      </c>
      <c r="BI15">
        <v>59.676000000000002</v>
      </c>
      <c r="BJ15">
        <v>0</v>
      </c>
      <c r="BK15">
        <v>0</v>
      </c>
      <c r="BM15" s="10" t="s">
        <v>162</v>
      </c>
      <c r="BN15" s="10">
        <v>101</v>
      </c>
      <c r="BO15">
        <v>1990</v>
      </c>
      <c r="BP15">
        <v>2</v>
      </c>
      <c r="BQ15">
        <f t="shared" si="3"/>
        <v>7.8130000000000024</v>
      </c>
      <c r="BR15">
        <v>58.719000000000001</v>
      </c>
      <c r="BS15">
        <v>107.813</v>
      </c>
      <c r="BU15" s="10" t="s">
        <v>162</v>
      </c>
      <c r="BV15" s="10">
        <v>101</v>
      </c>
      <c r="BW15">
        <v>1988</v>
      </c>
      <c r="BX15">
        <v>3</v>
      </c>
      <c r="BY15">
        <f t="shared" si="4"/>
        <v>19.875</v>
      </c>
      <c r="BZ15">
        <v>62.594000000000001</v>
      </c>
      <c r="CA15">
        <v>119.875</v>
      </c>
      <c r="CC15">
        <v>1990</v>
      </c>
      <c r="CD15">
        <v>2</v>
      </c>
      <c r="CE15">
        <f t="shared" si="5"/>
        <v>7.9129999999999967</v>
      </c>
      <c r="CF15">
        <v>58.688000000000002</v>
      </c>
      <c r="CG15">
        <v>107.913</v>
      </c>
      <c r="CI15">
        <v>1988</v>
      </c>
      <c r="CJ15">
        <v>3</v>
      </c>
      <c r="CK15">
        <f t="shared" si="6"/>
        <v>19.796999999999997</v>
      </c>
      <c r="CL15">
        <v>62.551000000000002</v>
      </c>
      <c r="CM15">
        <v>119.797</v>
      </c>
    </row>
    <row r="16" spans="1:91" x14ac:dyDescent="0.2">
      <c r="A16">
        <v>1992</v>
      </c>
      <c r="B16">
        <v>3</v>
      </c>
      <c r="C16">
        <v>38.558</v>
      </c>
      <c r="E16">
        <v>1990</v>
      </c>
      <c r="F16">
        <v>5</v>
      </c>
      <c r="G16">
        <v>48.16</v>
      </c>
      <c r="I16">
        <v>1992</v>
      </c>
      <c r="J16">
        <v>3</v>
      </c>
      <c r="K16">
        <v>34.549999999999997</v>
      </c>
      <c r="M16">
        <v>2003</v>
      </c>
      <c r="N16">
        <v>50.378</v>
      </c>
      <c r="P16">
        <v>1992</v>
      </c>
      <c r="Q16">
        <v>3</v>
      </c>
      <c r="R16">
        <v>29.792000000000002</v>
      </c>
      <c r="U16">
        <f t="shared" si="0"/>
        <v>35.771000000000001</v>
      </c>
      <c r="W16" s="10" t="s">
        <v>162</v>
      </c>
      <c r="X16">
        <v>18</v>
      </c>
      <c r="Y16">
        <v>1992</v>
      </c>
      <c r="Z16">
        <v>3</v>
      </c>
      <c r="AA16">
        <v>30.396999999999998</v>
      </c>
      <c r="AB16">
        <v>1</v>
      </c>
      <c r="AC16">
        <v>57</v>
      </c>
      <c r="AE16" s="10" t="s">
        <v>162</v>
      </c>
      <c r="AF16">
        <v>18</v>
      </c>
      <c r="AG16">
        <v>1990</v>
      </c>
      <c r="AH16">
        <v>5</v>
      </c>
      <c r="AI16">
        <v>43.268000000000001</v>
      </c>
      <c r="AJ16">
        <v>0</v>
      </c>
      <c r="AK16">
        <v>0</v>
      </c>
      <c r="AM16">
        <v>2002</v>
      </c>
      <c r="AN16">
        <v>3</v>
      </c>
      <c r="AO16">
        <v>90.707999999999998</v>
      </c>
      <c r="AP16">
        <f t="shared" si="1"/>
        <v>-9.2920000000000016</v>
      </c>
      <c r="AQ16">
        <v>1</v>
      </c>
      <c r="AR16">
        <v>39</v>
      </c>
      <c r="AT16">
        <v>2000</v>
      </c>
      <c r="AU16">
        <v>4</v>
      </c>
      <c r="AV16">
        <v>114.955</v>
      </c>
      <c r="AW16">
        <f t="shared" si="2"/>
        <v>14.954999999999998</v>
      </c>
      <c r="AX16">
        <v>0</v>
      </c>
      <c r="AY16">
        <v>0</v>
      </c>
      <c r="BA16">
        <v>2002</v>
      </c>
      <c r="BB16">
        <v>3</v>
      </c>
      <c r="BC16">
        <v>45.984000000000002</v>
      </c>
      <c r="BD16">
        <v>1</v>
      </c>
      <c r="BE16">
        <v>39</v>
      </c>
      <c r="BG16">
        <v>2000</v>
      </c>
      <c r="BH16">
        <v>4</v>
      </c>
      <c r="BI16">
        <v>58.494999999999997</v>
      </c>
      <c r="BJ16">
        <v>0</v>
      </c>
      <c r="BK16">
        <v>0</v>
      </c>
      <c r="BM16" s="10" t="s">
        <v>162</v>
      </c>
      <c r="BN16" s="10">
        <v>101</v>
      </c>
      <c r="BO16">
        <v>1990</v>
      </c>
      <c r="BP16">
        <v>3</v>
      </c>
      <c r="BQ16">
        <f t="shared" si="3"/>
        <v>6.4050000000000011</v>
      </c>
      <c r="BR16">
        <v>58.512</v>
      </c>
      <c r="BS16">
        <v>106.405</v>
      </c>
      <c r="BU16" s="10" t="s">
        <v>162</v>
      </c>
      <c r="BV16" s="10">
        <v>101</v>
      </c>
      <c r="BW16">
        <v>1988</v>
      </c>
      <c r="BX16">
        <v>4</v>
      </c>
      <c r="BY16">
        <f t="shared" si="4"/>
        <v>24.409999999999997</v>
      </c>
      <c r="BZ16">
        <v>65.183000000000007</v>
      </c>
      <c r="CA16">
        <v>124.41</v>
      </c>
      <c r="CC16">
        <v>1990</v>
      </c>
      <c r="CD16">
        <v>3</v>
      </c>
      <c r="CE16">
        <f t="shared" si="5"/>
        <v>6.5049999999999955</v>
      </c>
      <c r="CF16">
        <v>58.481000000000002</v>
      </c>
      <c r="CG16">
        <v>106.505</v>
      </c>
      <c r="CI16">
        <v>1988</v>
      </c>
      <c r="CJ16">
        <v>4</v>
      </c>
      <c r="CK16">
        <f t="shared" si="6"/>
        <v>24.325999999999993</v>
      </c>
      <c r="CL16">
        <v>65.132000000000005</v>
      </c>
      <c r="CM16">
        <v>124.32599999999999</v>
      </c>
    </row>
    <row r="17" spans="1:91" x14ac:dyDescent="0.2">
      <c r="A17">
        <v>1992</v>
      </c>
      <c r="B17">
        <v>4</v>
      </c>
      <c r="C17">
        <v>48.706000000000003</v>
      </c>
      <c r="E17">
        <v>1990</v>
      </c>
      <c r="F17">
        <v>6</v>
      </c>
      <c r="G17">
        <v>45.524999999999999</v>
      </c>
      <c r="I17">
        <v>1992</v>
      </c>
      <c r="J17">
        <v>4</v>
      </c>
      <c r="K17">
        <v>43.686</v>
      </c>
      <c r="M17">
        <v>2004</v>
      </c>
      <c r="N17">
        <v>54.643999999999998</v>
      </c>
      <c r="P17">
        <v>1992</v>
      </c>
      <c r="Q17">
        <v>4</v>
      </c>
      <c r="R17">
        <v>39.72</v>
      </c>
      <c r="U17">
        <f t="shared" si="0"/>
        <v>45.698999999999998</v>
      </c>
      <c r="W17" s="10" t="s">
        <v>162</v>
      </c>
      <c r="X17">
        <v>18</v>
      </c>
      <c r="Y17">
        <v>1992</v>
      </c>
      <c r="Z17">
        <v>4</v>
      </c>
      <c r="AA17">
        <v>40.164000000000001</v>
      </c>
      <c r="AB17">
        <v>0</v>
      </c>
      <c r="AC17">
        <v>0</v>
      </c>
      <c r="AE17" s="10" t="s">
        <v>162</v>
      </c>
      <c r="AF17">
        <v>18</v>
      </c>
      <c r="AG17">
        <v>1990</v>
      </c>
      <c r="AH17">
        <v>6</v>
      </c>
      <c r="AI17">
        <v>41.701999999999998</v>
      </c>
      <c r="AJ17">
        <v>1</v>
      </c>
      <c r="AK17">
        <v>60</v>
      </c>
      <c r="AM17">
        <v>2002</v>
      </c>
      <c r="AN17">
        <v>4</v>
      </c>
      <c r="AO17">
        <v>88.8</v>
      </c>
      <c r="AP17">
        <f t="shared" si="1"/>
        <v>-11.200000000000003</v>
      </c>
      <c r="AQ17">
        <v>2</v>
      </c>
      <c r="AR17">
        <v>87</v>
      </c>
      <c r="AT17">
        <v>2000</v>
      </c>
      <c r="AU17">
        <v>5</v>
      </c>
      <c r="AV17">
        <v>108.027</v>
      </c>
      <c r="AW17">
        <f t="shared" si="2"/>
        <v>8.027000000000001</v>
      </c>
      <c r="AX17">
        <v>1</v>
      </c>
      <c r="AY17">
        <v>92</v>
      </c>
      <c r="BA17">
        <v>2002</v>
      </c>
      <c r="BB17">
        <v>4</v>
      </c>
      <c r="BC17">
        <v>45.252000000000002</v>
      </c>
      <c r="BD17">
        <v>2</v>
      </c>
      <c r="BE17">
        <v>87</v>
      </c>
      <c r="BG17">
        <v>2000</v>
      </c>
      <c r="BH17">
        <v>5</v>
      </c>
      <c r="BI17">
        <v>54.823999999999998</v>
      </c>
      <c r="BJ17">
        <v>1</v>
      </c>
      <c r="BK17">
        <v>92</v>
      </c>
      <c r="BM17" s="10" t="s">
        <v>162</v>
      </c>
      <c r="BN17" s="10">
        <v>101</v>
      </c>
      <c r="BO17">
        <v>1990</v>
      </c>
      <c r="BP17">
        <v>4</v>
      </c>
      <c r="BQ17">
        <f t="shared" si="3"/>
        <v>7.1700000000000017</v>
      </c>
      <c r="BR17">
        <v>58.722999999999999</v>
      </c>
      <c r="BS17">
        <v>107.17</v>
      </c>
      <c r="BU17" s="10" t="s">
        <v>162</v>
      </c>
      <c r="BV17" s="10">
        <v>101</v>
      </c>
      <c r="BW17">
        <v>1988</v>
      </c>
      <c r="BX17">
        <v>5</v>
      </c>
      <c r="BY17">
        <f t="shared" si="4"/>
        <v>26.013999999999996</v>
      </c>
      <c r="BZ17">
        <v>66.292000000000002</v>
      </c>
      <c r="CA17">
        <v>126.014</v>
      </c>
      <c r="CC17">
        <v>1990</v>
      </c>
      <c r="CD17">
        <v>4</v>
      </c>
      <c r="CE17">
        <f t="shared" si="5"/>
        <v>7.269999999999996</v>
      </c>
      <c r="CF17">
        <v>58.691000000000003</v>
      </c>
      <c r="CG17">
        <v>107.27</v>
      </c>
      <c r="CI17">
        <v>1988</v>
      </c>
      <c r="CJ17">
        <v>5</v>
      </c>
      <c r="CK17">
        <f t="shared" si="6"/>
        <v>25.927000000000007</v>
      </c>
      <c r="CL17">
        <v>66.242000000000004</v>
      </c>
      <c r="CM17">
        <v>125.92700000000001</v>
      </c>
    </row>
    <row r="18" spans="1:91" x14ac:dyDescent="0.2">
      <c r="A18">
        <v>1993</v>
      </c>
      <c r="B18">
        <v>1</v>
      </c>
      <c r="C18" s="7">
        <v>48.613</v>
      </c>
      <c r="E18">
        <v>1990</v>
      </c>
      <c r="F18">
        <v>7</v>
      </c>
      <c r="G18">
        <v>45.832999999999998</v>
      </c>
      <c r="I18">
        <v>1993</v>
      </c>
      <c r="J18">
        <v>1</v>
      </c>
      <c r="K18">
        <v>43.526000000000003</v>
      </c>
      <c r="M18">
        <v>2005</v>
      </c>
      <c r="N18">
        <v>60.140999999999998</v>
      </c>
      <c r="P18">
        <v>1993</v>
      </c>
      <c r="Q18">
        <v>1</v>
      </c>
      <c r="R18">
        <v>39.686999999999998</v>
      </c>
      <c r="U18">
        <f t="shared" si="0"/>
        <v>45.665999999999997</v>
      </c>
      <c r="W18" s="10" t="s">
        <v>162</v>
      </c>
      <c r="X18">
        <v>18</v>
      </c>
      <c r="Y18">
        <v>1993</v>
      </c>
      <c r="Z18">
        <v>1</v>
      </c>
      <c r="AA18">
        <v>41.912999999999997</v>
      </c>
      <c r="AB18">
        <v>0</v>
      </c>
      <c r="AC18">
        <v>0</v>
      </c>
      <c r="AE18" s="10" t="s">
        <v>162</v>
      </c>
      <c r="AF18">
        <v>18</v>
      </c>
      <c r="AG18">
        <v>1990</v>
      </c>
      <c r="AH18">
        <v>7</v>
      </c>
      <c r="AI18">
        <v>41.445</v>
      </c>
      <c r="AJ18">
        <v>0</v>
      </c>
      <c r="AK18">
        <v>0</v>
      </c>
      <c r="AM18">
        <v>2003</v>
      </c>
      <c r="AN18">
        <v>1</v>
      </c>
      <c r="AO18">
        <v>87.950999999999993</v>
      </c>
      <c r="AP18">
        <f t="shared" si="1"/>
        <v>-12.049000000000007</v>
      </c>
      <c r="AQ18">
        <v>1</v>
      </c>
      <c r="AR18">
        <v>48</v>
      </c>
      <c r="AT18">
        <v>2000</v>
      </c>
      <c r="AU18">
        <v>6</v>
      </c>
      <c r="AV18">
        <v>110.212</v>
      </c>
      <c r="AW18">
        <f t="shared" si="2"/>
        <v>10.212000000000003</v>
      </c>
      <c r="AX18">
        <v>2</v>
      </c>
      <c r="AY18">
        <v>131</v>
      </c>
      <c r="BA18">
        <v>2003</v>
      </c>
      <c r="BB18">
        <v>1</v>
      </c>
      <c r="BC18">
        <v>44.875999999999998</v>
      </c>
      <c r="BD18">
        <v>1</v>
      </c>
      <c r="BE18">
        <v>48</v>
      </c>
      <c r="BG18">
        <v>2000</v>
      </c>
      <c r="BH18">
        <v>6</v>
      </c>
      <c r="BI18">
        <v>56.070999999999998</v>
      </c>
      <c r="BJ18">
        <v>2</v>
      </c>
      <c r="BK18">
        <v>131</v>
      </c>
      <c r="BM18" s="10" t="s">
        <v>162</v>
      </c>
      <c r="BN18" s="10">
        <v>101</v>
      </c>
      <c r="BO18">
        <v>1991</v>
      </c>
      <c r="BP18">
        <v>1</v>
      </c>
      <c r="BQ18">
        <f t="shared" si="3"/>
        <v>13.909000000000006</v>
      </c>
      <c r="BR18">
        <v>62.953000000000003</v>
      </c>
      <c r="BS18">
        <v>113.90900000000001</v>
      </c>
      <c r="BU18" s="10" t="s">
        <v>162</v>
      </c>
      <c r="BV18" s="10">
        <v>101</v>
      </c>
      <c r="BW18">
        <v>1988</v>
      </c>
      <c r="BX18">
        <v>6</v>
      </c>
      <c r="BY18">
        <f t="shared" si="4"/>
        <v>32.284999999999997</v>
      </c>
      <c r="BZ18">
        <v>69.498000000000005</v>
      </c>
      <c r="CA18">
        <v>132.285</v>
      </c>
      <c r="CC18">
        <v>1991</v>
      </c>
      <c r="CD18">
        <v>1</v>
      </c>
      <c r="CE18">
        <f t="shared" si="5"/>
        <v>14.010000000000005</v>
      </c>
      <c r="CF18">
        <v>62.920999999999999</v>
      </c>
      <c r="CG18">
        <v>114.01</v>
      </c>
      <c r="CI18">
        <v>1988</v>
      </c>
      <c r="CJ18">
        <v>6</v>
      </c>
      <c r="CK18">
        <f t="shared" si="6"/>
        <v>32.183999999999997</v>
      </c>
      <c r="CL18">
        <v>69.442999999999998</v>
      </c>
      <c r="CM18">
        <v>132.184</v>
      </c>
    </row>
    <row r="19" spans="1:91" x14ac:dyDescent="0.2">
      <c r="A19">
        <v>1993</v>
      </c>
      <c r="B19">
        <v>2</v>
      </c>
      <c r="C19">
        <v>57.856999999999999</v>
      </c>
      <c r="E19">
        <v>1990</v>
      </c>
      <c r="F19">
        <v>8</v>
      </c>
      <c r="G19">
        <v>45.805</v>
      </c>
      <c r="I19">
        <v>1993</v>
      </c>
      <c r="J19">
        <v>2</v>
      </c>
      <c r="K19">
        <v>51.322000000000003</v>
      </c>
      <c r="M19">
        <v>2006</v>
      </c>
      <c r="N19">
        <v>60.106000000000002</v>
      </c>
      <c r="P19">
        <v>1993</v>
      </c>
      <c r="Q19">
        <v>2</v>
      </c>
      <c r="R19">
        <v>48.734999999999999</v>
      </c>
      <c r="U19">
        <f t="shared" si="0"/>
        <v>54.713999999999999</v>
      </c>
      <c r="W19" s="10" t="s">
        <v>162</v>
      </c>
      <c r="X19">
        <v>18</v>
      </c>
      <c r="Y19">
        <v>1993</v>
      </c>
      <c r="Z19">
        <v>2</v>
      </c>
      <c r="AA19">
        <v>51.892000000000003</v>
      </c>
      <c r="AB19">
        <v>1</v>
      </c>
      <c r="AC19">
        <v>57</v>
      </c>
      <c r="AE19" s="10" t="s">
        <v>162</v>
      </c>
      <c r="AF19">
        <v>18</v>
      </c>
      <c r="AG19">
        <v>1990</v>
      </c>
      <c r="AH19">
        <v>8</v>
      </c>
      <c r="AI19">
        <v>41.143000000000001</v>
      </c>
      <c r="AJ19">
        <v>0</v>
      </c>
      <c r="AK19">
        <v>0</v>
      </c>
      <c r="AM19">
        <v>2003</v>
      </c>
      <c r="AN19">
        <v>2</v>
      </c>
      <c r="AO19">
        <v>91.213999999999999</v>
      </c>
      <c r="AP19">
        <f t="shared" si="1"/>
        <v>-8.7860000000000014</v>
      </c>
      <c r="AQ19">
        <v>2</v>
      </c>
      <c r="AR19">
        <v>87</v>
      </c>
      <c r="AT19">
        <v>2000</v>
      </c>
      <c r="AU19">
        <v>7</v>
      </c>
      <c r="AV19">
        <v>111.929</v>
      </c>
      <c r="AW19">
        <f t="shared" si="2"/>
        <v>11.929000000000002</v>
      </c>
      <c r="AX19">
        <v>0</v>
      </c>
      <c r="AY19">
        <v>0</v>
      </c>
      <c r="BA19">
        <v>2003</v>
      </c>
      <c r="BB19">
        <v>2</v>
      </c>
      <c r="BC19">
        <v>46.716000000000001</v>
      </c>
      <c r="BD19">
        <v>2</v>
      </c>
      <c r="BE19">
        <v>87</v>
      </c>
      <c r="BG19">
        <v>2000</v>
      </c>
      <c r="BH19">
        <v>7</v>
      </c>
      <c r="BI19">
        <v>57.09</v>
      </c>
      <c r="BJ19">
        <v>0</v>
      </c>
      <c r="BK19">
        <v>0</v>
      </c>
      <c r="BM19" s="10" t="s">
        <v>162</v>
      </c>
      <c r="BN19" s="10">
        <v>101</v>
      </c>
      <c r="BO19">
        <v>1991</v>
      </c>
      <c r="BP19">
        <v>2</v>
      </c>
      <c r="BQ19">
        <f t="shared" si="3"/>
        <v>12.328999999999994</v>
      </c>
      <c r="BR19">
        <v>61.896999999999998</v>
      </c>
      <c r="BS19">
        <v>112.32899999999999</v>
      </c>
      <c r="BU19" s="10" t="s">
        <v>162</v>
      </c>
      <c r="BV19" s="10">
        <v>101</v>
      </c>
      <c r="BW19">
        <v>1988</v>
      </c>
      <c r="BX19">
        <v>7</v>
      </c>
      <c r="BY19">
        <f t="shared" si="4"/>
        <v>27.697000000000003</v>
      </c>
      <c r="BZ19">
        <v>67.671999999999997</v>
      </c>
      <c r="CA19">
        <v>127.697</v>
      </c>
      <c r="CC19">
        <v>1991</v>
      </c>
      <c r="CD19">
        <v>2</v>
      </c>
      <c r="CE19">
        <f t="shared" si="5"/>
        <v>12.429000000000002</v>
      </c>
      <c r="CF19">
        <v>61.863999999999997</v>
      </c>
      <c r="CG19">
        <v>112.429</v>
      </c>
      <c r="CI19">
        <v>1988</v>
      </c>
      <c r="CJ19">
        <v>7</v>
      </c>
      <c r="CK19">
        <f t="shared" si="6"/>
        <v>27.603999999999999</v>
      </c>
      <c r="CL19">
        <v>67.631</v>
      </c>
      <c r="CM19">
        <v>127.604</v>
      </c>
    </row>
    <row r="20" spans="1:91" x14ac:dyDescent="0.2">
      <c r="A20">
        <v>1993</v>
      </c>
      <c r="B20">
        <v>3</v>
      </c>
      <c r="C20">
        <v>51.543999999999997</v>
      </c>
      <c r="E20">
        <v>1990</v>
      </c>
      <c r="F20">
        <v>9</v>
      </c>
      <c r="G20">
        <v>46.435000000000002</v>
      </c>
      <c r="I20">
        <v>1993</v>
      </c>
      <c r="J20">
        <v>3</v>
      </c>
      <c r="K20">
        <v>46.581000000000003</v>
      </c>
      <c r="M20">
        <v>2007</v>
      </c>
      <c r="N20">
        <v>59.695</v>
      </c>
      <c r="P20">
        <v>1993</v>
      </c>
      <c r="Q20">
        <v>3</v>
      </c>
      <c r="R20">
        <v>41.750999999999998</v>
      </c>
      <c r="U20">
        <f t="shared" si="0"/>
        <v>47.73</v>
      </c>
      <c r="W20" s="10" t="s">
        <v>162</v>
      </c>
      <c r="X20">
        <v>18</v>
      </c>
      <c r="Y20">
        <v>1993</v>
      </c>
      <c r="Z20">
        <v>3</v>
      </c>
      <c r="AA20">
        <v>44.805</v>
      </c>
      <c r="AB20">
        <v>1</v>
      </c>
      <c r="AC20">
        <v>57</v>
      </c>
      <c r="AE20" s="10" t="s">
        <v>162</v>
      </c>
      <c r="AF20">
        <v>18</v>
      </c>
      <c r="AG20">
        <v>1990</v>
      </c>
      <c r="AH20">
        <v>9</v>
      </c>
      <c r="AI20">
        <v>41.293999999999997</v>
      </c>
      <c r="AJ20">
        <v>1</v>
      </c>
      <c r="AK20">
        <v>60</v>
      </c>
      <c r="AM20">
        <v>2003</v>
      </c>
      <c r="AN20">
        <v>3</v>
      </c>
      <c r="AO20">
        <v>86.974000000000004</v>
      </c>
      <c r="AP20">
        <f t="shared" si="1"/>
        <v>-13.025999999999996</v>
      </c>
      <c r="AQ20">
        <v>2</v>
      </c>
      <c r="AR20">
        <v>87</v>
      </c>
      <c r="AT20">
        <v>2000</v>
      </c>
      <c r="AU20">
        <v>8</v>
      </c>
      <c r="AV20">
        <v>112.59399999999999</v>
      </c>
      <c r="AW20">
        <f t="shared" si="2"/>
        <v>12.593999999999994</v>
      </c>
      <c r="AX20">
        <v>0</v>
      </c>
      <c r="AY20">
        <v>0</v>
      </c>
      <c r="BA20">
        <v>2003</v>
      </c>
      <c r="BB20">
        <v>3</v>
      </c>
      <c r="BC20">
        <v>44.302999999999997</v>
      </c>
      <c r="BD20">
        <v>2</v>
      </c>
      <c r="BE20">
        <v>87</v>
      </c>
      <c r="BG20">
        <v>2000</v>
      </c>
      <c r="BH20">
        <v>8</v>
      </c>
      <c r="BI20">
        <v>57.494</v>
      </c>
      <c r="BJ20">
        <v>0</v>
      </c>
      <c r="BK20">
        <v>0</v>
      </c>
      <c r="BM20" s="10" t="s">
        <v>162</v>
      </c>
      <c r="BN20" s="10">
        <v>101</v>
      </c>
      <c r="BO20">
        <v>1991</v>
      </c>
      <c r="BP20">
        <v>3</v>
      </c>
      <c r="BQ20">
        <f t="shared" si="3"/>
        <v>7.679000000000002</v>
      </c>
      <c r="BR20">
        <v>59.29</v>
      </c>
      <c r="BS20">
        <v>107.679</v>
      </c>
      <c r="BU20" s="10" t="s">
        <v>162</v>
      </c>
      <c r="BV20" s="10">
        <v>101</v>
      </c>
      <c r="BW20">
        <v>1988</v>
      </c>
      <c r="BX20">
        <v>8</v>
      </c>
      <c r="BY20">
        <f t="shared" si="4"/>
        <v>18.186000000000007</v>
      </c>
      <c r="BZ20">
        <v>62.777000000000001</v>
      </c>
      <c r="CA20">
        <v>118.18600000000001</v>
      </c>
      <c r="CC20">
        <v>1991</v>
      </c>
      <c r="CD20">
        <v>3</v>
      </c>
      <c r="CE20">
        <f t="shared" si="5"/>
        <v>7.7789999999999964</v>
      </c>
      <c r="CF20">
        <v>59.258000000000003</v>
      </c>
      <c r="CG20">
        <v>107.779</v>
      </c>
      <c r="CI20">
        <v>1988</v>
      </c>
      <c r="CJ20">
        <v>8</v>
      </c>
      <c r="CK20">
        <f t="shared" si="6"/>
        <v>18.114000000000004</v>
      </c>
      <c r="CL20">
        <v>62.747999999999998</v>
      </c>
      <c r="CM20">
        <v>118.114</v>
      </c>
    </row>
    <row r="21" spans="1:91" x14ac:dyDescent="0.2">
      <c r="A21">
        <v>1993</v>
      </c>
      <c r="B21">
        <v>4</v>
      </c>
      <c r="C21" s="7">
        <v>58.57</v>
      </c>
      <c r="E21">
        <v>1990</v>
      </c>
      <c r="F21">
        <v>10</v>
      </c>
      <c r="G21">
        <v>47.673000000000002</v>
      </c>
      <c r="I21">
        <v>1993</v>
      </c>
      <c r="J21">
        <v>4</v>
      </c>
      <c r="K21">
        <v>52.850999999999999</v>
      </c>
      <c r="M21">
        <v>2008</v>
      </c>
      <c r="N21">
        <v>59.654000000000003</v>
      </c>
      <c r="P21">
        <v>1993</v>
      </c>
      <c r="Q21">
        <v>4</v>
      </c>
      <c r="R21">
        <v>48.713999999999999</v>
      </c>
      <c r="U21">
        <f t="shared" si="0"/>
        <v>54.692999999999998</v>
      </c>
      <c r="W21" s="10" t="s">
        <v>162</v>
      </c>
      <c r="X21">
        <v>18</v>
      </c>
      <c r="Y21">
        <v>1993</v>
      </c>
      <c r="Z21">
        <v>4</v>
      </c>
      <c r="AA21">
        <v>50.857999999999997</v>
      </c>
      <c r="AB21">
        <v>0</v>
      </c>
      <c r="AC21">
        <v>0</v>
      </c>
      <c r="AE21" s="10" t="s">
        <v>162</v>
      </c>
      <c r="AF21">
        <v>18</v>
      </c>
      <c r="AG21">
        <v>1990</v>
      </c>
      <c r="AH21">
        <v>10</v>
      </c>
      <c r="AI21">
        <v>42.378</v>
      </c>
      <c r="AJ21">
        <v>0</v>
      </c>
      <c r="AK21">
        <v>0</v>
      </c>
      <c r="AM21">
        <v>2003</v>
      </c>
      <c r="AN21">
        <v>4</v>
      </c>
      <c r="AO21">
        <v>93.331000000000003</v>
      </c>
      <c r="AP21">
        <f t="shared" si="1"/>
        <v>-6.6689999999999969</v>
      </c>
      <c r="AQ21">
        <v>3</v>
      </c>
      <c r="AR21">
        <v>88</v>
      </c>
      <c r="AT21">
        <v>2000</v>
      </c>
      <c r="AU21">
        <v>9</v>
      </c>
      <c r="AV21">
        <v>113.45099999999999</v>
      </c>
      <c r="AW21">
        <f t="shared" si="2"/>
        <v>13.450999999999993</v>
      </c>
      <c r="AX21">
        <v>1</v>
      </c>
      <c r="AY21">
        <v>39</v>
      </c>
      <c r="BA21">
        <v>2003</v>
      </c>
      <c r="BB21">
        <v>4</v>
      </c>
      <c r="BC21">
        <v>47.743000000000002</v>
      </c>
      <c r="BD21">
        <v>3</v>
      </c>
      <c r="BE21">
        <v>88</v>
      </c>
      <c r="BG21">
        <v>2000</v>
      </c>
      <c r="BH21">
        <v>9</v>
      </c>
      <c r="BI21">
        <v>58.079000000000001</v>
      </c>
      <c r="BJ21">
        <v>1</v>
      </c>
      <c r="BK21">
        <v>39</v>
      </c>
      <c r="BM21" s="10" t="s">
        <v>162</v>
      </c>
      <c r="BN21" s="10">
        <v>101</v>
      </c>
      <c r="BO21">
        <v>1991</v>
      </c>
      <c r="BP21">
        <v>4</v>
      </c>
      <c r="BQ21">
        <f t="shared" si="3"/>
        <v>14.034999999999997</v>
      </c>
      <c r="BR21">
        <v>63.23</v>
      </c>
      <c r="BS21">
        <v>114.035</v>
      </c>
      <c r="BU21" s="10" t="s">
        <v>162</v>
      </c>
      <c r="BV21" s="10">
        <v>101</v>
      </c>
      <c r="BW21">
        <v>1988</v>
      </c>
      <c r="BX21">
        <v>9</v>
      </c>
      <c r="BY21">
        <f t="shared" si="4"/>
        <v>16.218000000000004</v>
      </c>
      <c r="BZ21">
        <v>61.152999999999999</v>
      </c>
      <c r="CA21">
        <v>116.218</v>
      </c>
      <c r="CC21">
        <v>1991</v>
      </c>
      <c r="CD21">
        <v>4</v>
      </c>
      <c r="CE21">
        <f t="shared" si="5"/>
        <v>14.135999999999996</v>
      </c>
      <c r="CF21">
        <v>63.197000000000003</v>
      </c>
      <c r="CG21">
        <v>114.136</v>
      </c>
      <c r="CI21">
        <v>1988</v>
      </c>
      <c r="CJ21">
        <v>9</v>
      </c>
      <c r="CK21">
        <f t="shared" si="6"/>
        <v>16.147000000000006</v>
      </c>
      <c r="CL21">
        <v>61.124000000000002</v>
      </c>
      <c r="CM21">
        <v>116.14700000000001</v>
      </c>
    </row>
    <row r="22" spans="1:91" x14ac:dyDescent="0.2">
      <c r="A22">
        <v>1994</v>
      </c>
      <c r="B22">
        <v>1</v>
      </c>
      <c r="C22">
        <v>65.233999999999995</v>
      </c>
      <c r="E22">
        <v>1990</v>
      </c>
      <c r="F22">
        <v>11</v>
      </c>
      <c r="G22">
        <v>47.680999999999997</v>
      </c>
      <c r="I22">
        <v>1994</v>
      </c>
      <c r="J22">
        <v>1</v>
      </c>
      <c r="K22">
        <v>58.274999999999999</v>
      </c>
      <c r="M22">
        <v>2009</v>
      </c>
      <c r="N22">
        <v>62.319000000000003</v>
      </c>
      <c r="P22">
        <v>1994</v>
      </c>
      <c r="Q22">
        <v>1</v>
      </c>
      <c r="R22">
        <v>55.359000000000002</v>
      </c>
      <c r="U22">
        <f t="shared" si="0"/>
        <v>61.338000000000001</v>
      </c>
      <c r="W22" s="10" t="s">
        <v>162</v>
      </c>
      <c r="X22">
        <v>18</v>
      </c>
      <c r="Y22">
        <v>1994</v>
      </c>
      <c r="Z22">
        <v>1</v>
      </c>
      <c r="AA22">
        <v>59.122</v>
      </c>
      <c r="AB22">
        <v>1</v>
      </c>
      <c r="AC22">
        <v>57</v>
      </c>
      <c r="AE22" s="10" t="s">
        <v>162</v>
      </c>
      <c r="AF22">
        <v>18</v>
      </c>
      <c r="AG22">
        <v>1990</v>
      </c>
      <c r="AH22">
        <v>11</v>
      </c>
      <c r="AI22">
        <v>42.567999999999998</v>
      </c>
      <c r="AJ22">
        <v>0</v>
      </c>
      <c r="AK22">
        <v>0</v>
      </c>
      <c r="AM22">
        <v>2004</v>
      </c>
      <c r="AN22">
        <v>1</v>
      </c>
      <c r="AO22">
        <v>94.68</v>
      </c>
      <c r="AP22">
        <f t="shared" si="1"/>
        <v>-5.3199999999999932</v>
      </c>
      <c r="AQ22">
        <v>2</v>
      </c>
      <c r="AR22">
        <v>49</v>
      </c>
      <c r="AT22">
        <v>2000</v>
      </c>
      <c r="AU22">
        <v>10</v>
      </c>
      <c r="AV22">
        <v>112.944</v>
      </c>
      <c r="AW22">
        <f t="shared" si="2"/>
        <v>12.944000000000003</v>
      </c>
      <c r="AX22">
        <v>0</v>
      </c>
      <c r="AY22">
        <v>0</v>
      </c>
      <c r="BA22">
        <v>2004</v>
      </c>
      <c r="BB22">
        <v>1</v>
      </c>
      <c r="BC22">
        <v>48.317</v>
      </c>
      <c r="BD22">
        <v>2</v>
      </c>
      <c r="BE22">
        <v>49</v>
      </c>
      <c r="BG22">
        <v>2000</v>
      </c>
      <c r="BH22">
        <v>10</v>
      </c>
      <c r="BI22">
        <v>57.741</v>
      </c>
      <c r="BJ22">
        <v>0</v>
      </c>
      <c r="BK22">
        <v>0</v>
      </c>
      <c r="BM22" s="10" t="s">
        <v>162</v>
      </c>
      <c r="BN22" s="10">
        <v>101</v>
      </c>
      <c r="BO22">
        <v>1992</v>
      </c>
      <c r="BP22">
        <v>1</v>
      </c>
      <c r="BQ22">
        <f t="shared" si="3"/>
        <v>19.694000000000003</v>
      </c>
      <c r="BR22">
        <v>66.751999999999995</v>
      </c>
      <c r="BS22">
        <v>119.694</v>
      </c>
      <c r="BU22" s="10" t="s">
        <v>162</v>
      </c>
      <c r="BV22" s="10">
        <v>101</v>
      </c>
      <c r="BW22">
        <v>1988</v>
      </c>
      <c r="BX22">
        <v>10</v>
      </c>
      <c r="BY22">
        <f t="shared" si="4"/>
        <v>15.727000000000004</v>
      </c>
      <c r="BZ22">
        <v>60.587000000000003</v>
      </c>
      <c r="CA22">
        <v>115.727</v>
      </c>
      <c r="CC22">
        <v>1992</v>
      </c>
      <c r="CD22">
        <v>1</v>
      </c>
      <c r="CE22">
        <f t="shared" si="5"/>
        <v>19.795000000000002</v>
      </c>
      <c r="CF22">
        <v>66.718999999999994</v>
      </c>
      <c r="CG22">
        <v>119.795</v>
      </c>
      <c r="CI22">
        <v>1988</v>
      </c>
      <c r="CJ22">
        <v>10</v>
      </c>
      <c r="CK22">
        <f t="shared" si="6"/>
        <v>15.656999999999996</v>
      </c>
      <c r="CL22">
        <v>60.557000000000002</v>
      </c>
      <c r="CM22">
        <v>115.657</v>
      </c>
    </row>
    <row r="23" spans="1:91" x14ac:dyDescent="0.2">
      <c r="A23">
        <v>1994</v>
      </c>
      <c r="B23">
        <v>2</v>
      </c>
      <c r="C23">
        <v>60.076000000000001</v>
      </c>
      <c r="E23">
        <v>1990</v>
      </c>
      <c r="F23">
        <v>12</v>
      </c>
      <c r="G23">
        <v>48.905000000000001</v>
      </c>
      <c r="I23">
        <v>1994</v>
      </c>
      <c r="J23">
        <v>2</v>
      </c>
      <c r="K23">
        <v>53.805</v>
      </c>
      <c r="P23">
        <v>1994</v>
      </c>
      <c r="Q23">
        <v>2</v>
      </c>
      <c r="R23">
        <v>50.204999999999998</v>
      </c>
      <c r="U23">
        <f t="shared" si="0"/>
        <v>56.183999999999997</v>
      </c>
      <c r="W23" s="10" t="s">
        <v>162</v>
      </c>
      <c r="X23">
        <v>18</v>
      </c>
      <c r="Y23">
        <v>1994</v>
      </c>
      <c r="Z23">
        <v>2</v>
      </c>
      <c r="AA23">
        <v>54.695999999999998</v>
      </c>
      <c r="AB23">
        <v>1</v>
      </c>
      <c r="AC23">
        <v>57</v>
      </c>
      <c r="AE23" s="10" t="s">
        <v>162</v>
      </c>
      <c r="AF23">
        <v>18</v>
      </c>
      <c r="AG23">
        <v>1990</v>
      </c>
      <c r="AH23">
        <v>12</v>
      </c>
      <c r="AI23">
        <v>43.265000000000001</v>
      </c>
      <c r="AJ23">
        <v>1</v>
      </c>
      <c r="AK23">
        <v>60</v>
      </c>
      <c r="AM23">
        <v>2004</v>
      </c>
      <c r="AN23">
        <v>2</v>
      </c>
      <c r="AO23">
        <v>97.215999999999994</v>
      </c>
      <c r="AP23">
        <f t="shared" si="1"/>
        <v>-2.784000000000006</v>
      </c>
      <c r="AQ23">
        <v>2</v>
      </c>
      <c r="AR23">
        <v>87</v>
      </c>
      <c r="AT23">
        <v>2000</v>
      </c>
      <c r="AU23">
        <v>11</v>
      </c>
      <c r="AV23">
        <v>112.724</v>
      </c>
      <c r="AW23">
        <f t="shared" si="2"/>
        <v>12.724000000000004</v>
      </c>
      <c r="AX23">
        <v>0</v>
      </c>
      <c r="AY23">
        <v>0</v>
      </c>
      <c r="BA23">
        <v>2004</v>
      </c>
      <c r="BB23">
        <v>2</v>
      </c>
      <c r="BC23">
        <v>49.768999999999998</v>
      </c>
      <c r="BD23">
        <v>2</v>
      </c>
      <c r="BE23">
        <v>87</v>
      </c>
      <c r="BG23">
        <v>2000</v>
      </c>
      <c r="BH23">
        <v>11</v>
      </c>
      <c r="BI23">
        <v>57.584000000000003</v>
      </c>
      <c r="BJ23">
        <v>0</v>
      </c>
      <c r="BK23">
        <v>0</v>
      </c>
      <c r="BM23" s="10" t="s">
        <v>162</v>
      </c>
      <c r="BN23" s="10">
        <v>101</v>
      </c>
      <c r="BO23">
        <v>1992</v>
      </c>
      <c r="BP23">
        <v>2</v>
      </c>
      <c r="BQ23">
        <f t="shared" si="3"/>
        <v>19.433999999999997</v>
      </c>
      <c r="BR23">
        <v>66.58</v>
      </c>
      <c r="BS23">
        <v>119.434</v>
      </c>
      <c r="BU23" s="10" t="s">
        <v>162</v>
      </c>
      <c r="BV23" s="10">
        <v>101</v>
      </c>
      <c r="BW23">
        <v>1988</v>
      </c>
      <c r="BX23">
        <v>11</v>
      </c>
      <c r="BY23">
        <f t="shared" si="4"/>
        <v>15.251999999999995</v>
      </c>
      <c r="BZ23">
        <v>60.07</v>
      </c>
      <c r="CA23">
        <v>115.252</v>
      </c>
      <c r="CC23">
        <v>1992</v>
      </c>
      <c r="CD23">
        <v>2</v>
      </c>
      <c r="CE23">
        <f t="shared" si="5"/>
        <v>19.534999999999997</v>
      </c>
      <c r="CF23">
        <v>66.546000000000006</v>
      </c>
      <c r="CG23">
        <v>119.535</v>
      </c>
      <c r="CI23">
        <v>1988</v>
      </c>
      <c r="CJ23">
        <v>11</v>
      </c>
      <c r="CK23">
        <f t="shared" si="6"/>
        <v>15.183000000000007</v>
      </c>
      <c r="CL23">
        <v>60.039000000000001</v>
      </c>
      <c r="CM23">
        <v>115.18300000000001</v>
      </c>
    </row>
    <row r="24" spans="1:91" x14ac:dyDescent="0.2">
      <c r="A24">
        <v>1994</v>
      </c>
      <c r="B24">
        <v>3</v>
      </c>
      <c r="C24">
        <v>57.667999999999999</v>
      </c>
      <c r="E24">
        <v>1991</v>
      </c>
      <c r="F24">
        <v>1</v>
      </c>
      <c r="G24">
        <v>50.204999999999998</v>
      </c>
      <c r="I24">
        <v>1994</v>
      </c>
      <c r="J24">
        <v>3</v>
      </c>
      <c r="K24">
        <v>51.634</v>
      </c>
      <c r="P24">
        <v>1994</v>
      </c>
      <c r="Q24">
        <v>3</v>
      </c>
      <c r="R24">
        <v>47.890999999999998</v>
      </c>
      <c r="U24">
        <f t="shared" si="0"/>
        <v>53.87</v>
      </c>
      <c r="W24" s="10" t="s">
        <v>162</v>
      </c>
      <c r="X24">
        <v>18</v>
      </c>
      <c r="Y24">
        <v>1994</v>
      </c>
      <c r="Z24">
        <v>3</v>
      </c>
      <c r="AA24">
        <v>51.845999999999997</v>
      </c>
      <c r="AB24">
        <v>0</v>
      </c>
      <c r="AC24">
        <v>0</v>
      </c>
      <c r="AE24" s="10" t="s">
        <v>162</v>
      </c>
      <c r="AF24">
        <v>18</v>
      </c>
      <c r="AG24">
        <v>1991</v>
      </c>
      <c r="AH24">
        <v>1</v>
      </c>
      <c r="AI24">
        <v>44.618000000000002</v>
      </c>
      <c r="AJ24">
        <v>0</v>
      </c>
      <c r="AK24">
        <v>0</v>
      </c>
      <c r="AM24">
        <v>2004</v>
      </c>
      <c r="AN24">
        <v>3</v>
      </c>
      <c r="AO24">
        <v>102.13800000000001</v>
      </c>
      <c r="AP24">
        <f t="shared" si="1"/>
        <v>2.1380000000000052</v>
      </c>
      <c r="AQ24">
        <v>3</v>
      </c>
      <c r="AR24">
        <v>88</v>
      </c>
      <c r="AT24">
        <v>2000</v>
      </c>
      <c r="AU24">
        <v>12</v>
      </c>
      <c r="AV24">
        <v>112.63</v>
      </c>
      <c r="AW24">
        <f t="shared" si="2"/>
        <v>12.629999999999995</v>
      </c>
      <c r="AX24">
        <v>0</v>
      </c>
      <c r="AY24">
        <v>0</v>
      </c>
      <c r="BA24">
        <v>2004</v>
      </c>
      <c r="BB24">
        <v>3</v>
      </c>
      <c r="BC24">
        <v>52.441000000000003</v>
      </c>
      <c r="BD24">
        <v>3</v>
      </c>
      <c r="BE24">
        <v>88</v>
      </c>
      <c r="BG24">
        <v>2000</v>
      </c>
      <c r="BH24">
        <v>12</v>
      </c>
      <c r="BI24">
        <v>57.512999999999998</v>
      </c>
      <c r="BJ24">
        <v>0</v>
      </c>
      <c r="BK24">
        <v>0</v>
      </c>
      <c r="BM24" s="10" t="s">
        <v>162</v>
      </c>
      <c r="BN24" s="10">
        <v>101</v>
      </c>
      <c r="BO24">
        <v>1992</v>
      </c>
      <c r="BP24">
        <v>3</v>
      </c>
      <c r="BQ24">
        <f t="shared" si="3"/>
        <v>16.656999999999996</v>
      </c>
      <c r="BR24">
        <v>65.338999999999999</v>
      </c>
      <c r="BS24">
        <v>116.657</v>
      </c>
      <c r="BU24" s="10" t="s">
        <v>162</v>
      </c>
      <c r="BV24" s="10">
        <v>101</v>
      </c>
      <c r="BW24">
        <v>1988</v>
      </c>
      <c r="BX24">
        <v>12</v>
      </c>
      <c r="BY24">
        <f t="shared" si="4"/>
        <v>13.837000000000003</v>
      </c>
      <c r="BZ24">
        <v>59.540999999999997</v>
      </c>
      <c r="CA24">
        <v>113.837</v>
      </c>
      <c r="CC24">
        <v>1992</v>
      </c>
      <c r="CD24">
        <v>3</v>
      </c>
      <c r="CE24">
        <f t="shared" si="5"/>
        <v>16.757999999999996</v>
      </c>
      <c r="CF24">
        <v>65.304000000000002</v>
      </c>
      <c r="CG24">
        <v>116.758</v>
      </c>
      <c r="CI24">
        <v>1988</v>
      </c>
      <c r="CJ24">
        <v>12</v>
      </c>
      <c r="CK24">
        <f t="shared" si="6"/>
        <v>13.772000000000006</v>
      </c>
      <c r="CL24">
        <v>59.511000000000003</v>
      </c>
      <c r="CM24">
        <v>113.77200000000001</v>
      </c>
    </row>
    <row r="25" spans="1:91" x14ac:dyDescent="0.2">
      <c r="A25">
        <v>1994</v>
      </c>
      <c r="B25">
        <v>4</v>
      </c>
      <c r="C25">
        <v>57.610999999999997</v>
      </c>
      <c r="E25">
        <v>1991</v>
      </c>
      <c r="F25">
        <v>2</v>
      </c>
      <c r="G25">
        <v>50.218000000000004</v>
      </c>
      <c r="I25">
        <v>1994</v>
      </c>
      <c r="J25">
        <v>4</v>
      </c>
      <c r="K25">
        <v>51.567999999999998</v>
      </c>
      <c r="P25">
        <v>1994</v>
      </c>
      <c r="Q25">
        <v>4</v>
      </c>
      <c r="R25">
        <v>47.853999999999999</v>
      </c>
      <c r="U25">
        <f t="shared" si="0"/>
        <v>53.832999999999998</v>
      </c>
      <c r="W25" s="10" t="s">
        <v>162</v>
      </c>
      <c r="X25">
        <v>18</v>
      </c>
      <c r="Y25">
        <v>1994</v>
      </c>
      <c r="Z25">
        <v>4</v>
      </c>
      <c r="AA25">
        <v>51.33</v>
      </c>
      <c r="AB25">
        <v>0</v>
      </c>
      <c r="AC25">
        <v>0</v>
      </c>
      <c r="AE25" s="10" t="s">
        <v>162</v>
      </c>
      <c r="AF25">
        <v>18</v>
      </c>
      <c r="AG25">
        <v>1991</v>
      </c>
      <c r="AH25">
        <v>2</v>
      </c>
      <c r="AI25">
        <v>44.942</v>
      </c>
      <c r="AJ25">
        <v>0</v>
      </c>
      <c r="AK25">
        <v>0</v>
      </c>
      <c r="AM25">
        <v>2004</v>
      </c>
      <c r="AN25">
        <v>4</v>
      </c>
      <c r="AO25">
        <v>108.752</v>
      </c>
      <c r="AP25">
        <f t="shared" si="1"/>
        <v>8.7519999999999953</v>
      </c>
      <c r="AQ25">
        <v>1</v>
      </c>
      <c r="AR25">
        <v>48</v>
      </c>
      <c r="AT25">
        <v>2001</v>
      </c>
      <c r="AU25">
        <v>1</v>
      </c>
      <c r="AV25">
        <v>112.59099999999999</v>
      </c>
      <c r="AW25">
        <f t="shared" si="2"/>
        <v>12.590999999999994</v>
      </c>
      <c r="AX25">
        <v>0</v>
      </c>
      <c r="AY25">
        <v>0</v>
      </c>
      <c r="BA25">
        <v>2004</v>
      </c>
      <c r="BB25">
        <v>4</v>
      </c>
      <c r="BC25">
        <v>55.871000000000002</v>
      </c>
      <c r="BD25">
        <v>1</v>
      </c>
      <c r="BE25">
        <v>48</v>
      </c>
      <c r="BG25">
        <v>2001</v>
      </c>
      <c r="BH25">
        <v>1</v>
      </c>
      <c r="BI25">
        <v>57.481999999999999</v>
      </c>
      <c r="BJ25">
        <v>0</v>
      </c>
      <c r="BK25">
        <v>0</v>
      </c>
      <c r="BM25" s="10" t="s">
        <v>162</v>
      </c>
      <c r="BN25" s="10">
        <v>101</v>
      </c>
      <c r="BO25">
        <v>1992</v>
      </c>
      <c r="BP25">
        <v>4</v>
      </c>
      <c r="BQ25">
        <f t="shared" si="3"/>
        <v>19.417000000000002</v>
      </c>
      <c r="BR25">
        <v>66.738</v>
      </c>
      <c r="BS25">
        <v>119.417</v>
      </c>
      <c r="BU25" s="10" t="s">
        <v>162</v>
      </c>
      <c r="BV25" s="10">
        <v>101</v>
      </c>
      <c r="BW25">
        <v>1989</v>
      </c>
      <c r="BX25">
        <v>1</v>
      </c>
      <c r="BY25">
        <f t="shared" si="4"/>
        <v>14.272000000000006</v>
      </c>
      <c r="BZ25">
        <v>60.072000000000003</v>
      </c>
      <c r="CA25">
        <v>114.27200000000001</v>
      </c>
      <c r="CC25">
        <v>1992</v>
      </c>
      <c r="CD25">
        <v>4</v>
      </c>
      <c r="CE25">
        <f t="shared" si="5"/>
        <v>19.515000000000001</v>
      </c>
      <c r="CF25">
        <v>66.700999999999993</v>
      </c>
      <c r="CG25">
        <v>119.515</v>
      </c>
      <c r="CI25">
        <v>1989</v>
      </c>
      <c r="CJ25">
        <v>1</v>
      </c>
      <c r="CK25">
        <f t="shared" si="6"/>
        <v>14.206000000000003</v>
      </c>
      <c r="CL25">
        <v>60.039000000000001</v>
      </c>
      <c r="CM25">
        <v>114.206</v>
      </c>
    </row>
    <row r="26" spans="1:91" x14ac:dyDescent="0.2">
      <c r="A26">
        <v>1995</v>
      </c>
      <c r="B26">
        <v>1</v>
      </c>
      <c r="C26">
        <v>57.594999999999999</v>
      </c>
      <c r="E26">
        <v>1991</v>
      </c>
      <c r="F26">
        <v>3</v>
      </c>
      <c r="G26">
        <v>51.389000000000003</v>
      </c>
      <c r="I26">
        <v>1995</v>
      </c>
      <c r="J26">
        <v>1</v>
      </c>
      <c r="K26">
        <v>51.533999999999999</v>
      </c>
      <c r="P26">
        <v>1995</v>
      </c>
      <c r="Q26">
        <v>1</v>
      </c>
      <c r="R26">
        <v>47.847000000000001</v>
      </c>
      <c r="U26">
        <f t="shared" si="0"/>
        <v>53.826000000000001</v>
      </c>
      <c r="W26" s="10" t="s">
        <v>162</v>
      </c>
      <c r="X26">
        <v>18</v>
      </c>
      <c r="Y26">
        <v>1995</v>
      </c>
      <c r="Z26">
        <v>1</v>
      </c>
      <c r="AA26">
        <v>51.237000000000002</v>
      </c>
      <c r="AB26">
        <v>0</v>
      </c>
      <c r="AC26">
        <v>0</v>
      </c>
      <c r="AE26" s="10" t="s">
        <v>162</v>
      </c>
      <c r="AF26">
        <v>18</v>
      </c>
      <c r="AG26">
        <v>1991</v>
      </c>
      <c r="AH26">
        <v>3</v>
      </c>
      <c r="AI26">
        <v>45.706000000000003</v>
      </c>
      <c r="AJ26">
        <v>1</v>
      </c>
      <c r="AK26">
        <v>60</v>
      </c>
      <c r="AM26">
        <v>2005</v>
      </c>
      <c r="AN26">
        <v>1</v>
      </c>
      <c r="AO26">
        <v>117.045</v>
      </c>
      <c r="AP26">
        <f t="shared" si="1"/>
        <v>17.045000000000002</v>
      </c>
      <c r="AQ26">
        <v>3</v>
      </c>
      <c r="AR26">
        <v>92</v>
      </c>
      <c r="AT26">
        <v>2001</v>
      </c>
      <c r="AU26">
        <v>2</v>
      </c>
      <c r="AV26">
        <v>111.535</v>
      </c>
      <c r="AW26">
        <f t="shared" si="2"/>
        <v>11.534999999999997</v>
      </c>
      <c r="AX26">
        <v>1</v>
      </c>
      <c r="AY26">
        <v>92</v>
      </c>
      <c r="BA26">
        <v>2005</v>
      </c>
      <c r="BB26">
        <v>1</v>
      </c>
      <c r="BC26">
        <v>60.317</v>
      </c>
      <c r="BD26">
        <v>3</v>
      </c>
      <c r="BE26">
        <v>92</v>
      </c>
      <c r="BG26">
        <v>2001</v>
      </c>
      <c r="BH26">
        <v>2</v>
      </c>
      <c r="BI26">
        <v>56.768999999999998</v>
      </c>
      <c r="BJ26">
        <v>1</v>
      </c>
      <c r="BK26">
        <v>92</v>
      </c>
      <c r="BM26" s="10" t="s">
        <v>162</v>
      </c>
      <c r="BN26" s="10">
        <v>101</v>
      </c>
      <c r="BO26">
        <v>1993</v>
      </c>
      <c r="BP26">
        <v>1</v>
      </c>
      <c r="BQ26">
        <f t="shared" si="3"/>
        <v>17.063999999999993</v>
      </c>
      <c r="BR26">
        <v>65.474000000000004</v>
      </c>
      <c r="BS26">
        <v>117.06399999999999</v>
      </c>
      <c r="BU26" s="10" t="s">
        <v>162</v>
      </c>
      <c r="BV26" s="10">
        <v>101</v>
      </c>
      <c r="BW26">
        <v>1989</v>
      </c>
      <c r="BX26">
        <v>2</v>
      </c>
      <c r="BY26">
        <f t="shared" si="4"/>
        <v>16.579999999999998</v>
      </c>
      <c r="BZ26">
        <v>61.024999999999999</v>
      </c>
      <c r="CA26">
        <v>116.58</v>
      </c>
      <c r="CC26">
        <v>1993</v>
      </c>
      <c r="CD26">
        <v>1</v>
      </c>
      <c r="CE26">
        <f t="shared" si="5"/>
        <v>17.153999999999996</v>
      </c>
      <c r="CF26">
        <v>65.433999999999997</v>
      </c>
      <c r="CG26">
        <v>117.154</v>
      </c>
      <c r="CI26">
        <v>1989</v>
      </c>
      <c r="CJ26">
        <v>2</v>
      </c>
      <c r="CK26">
        <f t="shared" si="6"/>
        <v>16.510000000000005</v>
      </c>
      <c r="CL26">
        <v>60.988</v>
      </c>
      <c r="CM26">
        <v>116.51</v>
      </c>
    </row>
    <row r="27" spans="1:91" x14ac:dyDescent="0.2">
      <c r="A27">
        <v>1995</v>
      </c>
      <c r="B27">
        <v>2</v>
      </c>
      <c r="C27">
        <v>57.555</v>
      </c>
      <c r="E27">
        <v>1991</v>
      </c>
      <c r="F27">
        <v>4</v>
      </c>
      <c r="G27">
        <v>51.219000000000001</v>
      </c>
      <c r="I27">
        <v>1995</v>
      </c>
      <c r="J27">
        <v>2</v>
      </c>
      <c r="K27">
        <v>51.441000000000003</v>
      </c>
      <c r="P27">
        <v>1995</v>
      </c>
      <c r="Q27">
        <v>2</v>
      </c>
      <c r="R27">
        <v>47.837000000000003</v>
      </c>
      <c r="U27">
        <f t="shared" si="0"/>
        <v>53.816000000000003</v>
      </c>
      <c r="W27" s="10" t="s">
        <v>162</v>
      </c>
      <c r="X27">
        <v>18</v>
      </c>
      <c r="Y27">
        <v>1995</v>
      </c>
      <c r="Z27">
        <v>2</v>
      </c>
      <c r="AA27">
        <v>51.22</v>
      </c>
      <c r="AB27">
        <v>0</v>
      </c>
      <c r="AC27">
        <v>0</v>
      </c>
      <c r="AE27" s="10" t="s">
        <v>162</v>
      </c>
      <c r="AF27">
        <v>18</v>
      </c>
      <c r="AG27">
        <v>1991</v>
      </c>
      <c r="AH27">
        <v>4</v>
      </c>
      <c r="AI27">
        <v>45.826000000000001</v>
      </c>
      <c r="AJ27">
        <v>0</v>
      </c>
      <c r="AK27">
        <v>0</v>
      </c>
      <c r="AM27">
        <v>2005</v>
      </c>
      <c r="AN27">
        <v>2</v>
      </c>
      <c r="AO27">
        <v>117.217</v>
      </c>
      <c r="AP27">
        <f t="shared" si="1"/>
        <v>17.216999999999999</v>
      </c>
      <c r="AQ27">
        <v>2</v>
      </c>
      <c r="AR27">
        <v>87</v>
      </c>
      <c r="AT27">
        <v>2001</v>
      </c>
      <c r="AU27">
        <v>3</v>
      </c>
      <c r="AV27">
        <v>117.334</v>
      </c>
      <c r="AW27">
        <f t="shared" si="2"/>
        <v>17.334000000000003</v>
      </c>
      <c r="AX27">
        <v>1</v>
      </c>
      <c r="AY27">
        <v>39</v>
      </c>
      <c r="BA27">
        <v>2005</v>
      </c>
      <c r="BB27">
        <v>2</v>
      </c>
      <c r="BC27">
        <v>60.436999999999998</v>
      </c>
      <c r="BD27">
        <v>2</v>
      </c>
      <c r="BE27">
        <v>87</v>
      </c>
      <c r="BG27">
        <v>2001</v>
      </c>
      <c r="BH27">
        <v>3</v>
      </c>
      <c r="BI27">
        <v>60.061999999999998</v>
      </c>
      <c r="BJ27">
        <v>1</v>
      </c>
      <c r="BK27">
        <v>39</v>
      </c>
      <c r="BM27" s="10" t="s">
        <v>162</v>
      </c>
      <c r="BN27" s="10">
        <v>101</v>
      </c>
      <c r="BO27">
        <v>1993</v>
      </c>
      <c r="BP27">
        <v>2</v>
      </c>
      <c r="BQ27">
        <f t="shared" si="3"/>
        <v>13.11</v>
      </c>
      <c r="BR27">
        <v>62.222999999999999</v>
      </c>
      <c r="BS27">
        <v>113.11</v>
      </c>
      <c r="BU27" s="10" t="s">
        <v>162</v>
      </c>
      <c r="BV27" s="10">
        <v>101</v>
      </c>
      <c r="BW27">
        <v>1989</v>
      </c>
      <c r="BX27">
        <v>3</v>
      </c>
      <c r="BY27">
        <f t="shared" si="4"/>
        <v>17.403999999999996</v>
      </c>
      <c r="BZ27">
        <v>61.439</v>
      </c>
      <c r="CA27">
        <v>117.404</v>
      </c>
      <c r="CC27">
        <v>1993</v>
      </c>
      <c r="CD27">
        <v>2</v>
      </c>
      <c r="CE27">
        <f t="shared" si="5"/>
        <v>13.206999999999994</v>
      </c>
      <c r="CF27">
        <v>62.189</v>
      </c>
      <c r="CG27">
        <v>113.20699999999999</v>
      </c>
      <c r="CI27">
        <v>1989</v>
      </c>
      <c r="CJ27">
        <v>3</v>
      </c>
      <c r="CK27">
        <f t="shared" si="6"/>
        <v>17.331000000000003</v>
      </c>
      <c r="CL27">
        <v>61.401000000000003</v>
      </c>
      <c r="CM27">
        <v>117.331</v>
      </c>
    </row>
    <row r="28" spans="1:91" x14ac:dyDescent="0.2">
      <c r="A28">
        <v>1995</v>
      </c>
      <c r="B28">
        <v>3</v>
      </c>
      <c r="C28">
        <v>55.3</v>
      </c>
      <c r="E28">
        <v>1991</v>
      </c>
      <c r="F28">
        <v>5</v>
      </c>
      <c r="G28">
        <v>51.23</v>
      </c>
      <c r="I28">
        <v>1995</v>
      </c>
      <c r="J28">
        <v>3</v>
      </c>
      <c r="K28">
        <v>49.31</v>
      </c>
      <c r="P28">
        <v>1995</v>
      </c>
      <c r="Q28">
        <v>3</v>
      </c>
      <c r="R28">
        <v>45.798000000000002</v>
      </c>
      <c r="U28">
        <f t="shared" si="0"/>
        <v>51.777000000000001</v>
      </c>
      <c r="W28" s="10" t="s">
        <v>162</v>
      </c>
      <c r="X28">
        <v>18</v>
      </c>
      <c r="Y28">
        <v>1995</v>
      </c>
      <c r="Z28">
        <v>3</v>
      </c>
      <c r="AA28">
        <v>49.234000000000002</v>
      </c>
      <c r="AB28">
        <v>1</v>
      </c>
      <c r="AC28">
        <v>57</v>
      </c>
      <c r="AE28" s="10" t="s">
        <v>162</v>
      </c>
      <c r="AF28">
        <v>18</v>
      </c>
      <c r="AG28">
        <v>1991</v>
      </c>
      <c r="AH28">
        <v>5</v>
      </c>
      <c r="AI28">
        <v>45.972000000000001</v>
      </c>
      <c r="AJ28">
        <v>0</v>
      </c>
      <c r="AK28">
        <v>0</v>
      </c>
      <c r="AM28">
        <v>2005</v>
      </c>
      <c r="AN28">
        <v>3</v>
      </c>
      <c r="AO28">
        <v>110.348</v>
      </c>
      <c r="AP28">
        <f t="shared" si="1"/>
        <v>10.347999999999999</v>
      </c>
      <c r="AQ28">
        <v>2</v>
      </c>
      <c r="AR28">
        <v>87</v>
      </c>
      <c r="AT28">
        <v>2001</v>
      </c>
      <c r="AU28">
        <v>4</v>
      </c>
      <c r="AV28">
        <v>114.93899999999999</v>
      </c>
      <c r="AW28">
        <f t="shared" si="2"/>
        <v>14.938999999999993</v>
      </c>
      <c r="AX28">
        <v>0</v>
      </c>
      <c r="AY28">
        <v>0</v>
      </c>
      <c r="BA28">
        <v>2005</v>
      </c>
      <c r="BB28">
        <v>3</v>
      </c>
      <c r="BC28">
        <v>56.683</v>
      </c>
      <c r="BD28">
        <v>2</v>
      </c>
      <c r="BE28">
        <v>87</v>
      </c>
      <c r="BG28">
        <v>2001</v>
      </c>
      <c r="BH28">
        <v>4</v>
      </c>
      <c r="BI28">
        <v>58.813000000000002</v>
      </c>
      <c r="BJ28">
        <v>0</v>
      </c>
      <c r="BK28">
        <v>0</v>
      </c>
      <c r="BM28" s="10" t="s">
        <v>162</v>
      </c>
      <c r="BN28" s="10">
        <v>101</v>
      </c>
      <c r="BO28">
        <v>1993</v>
      </c>
      <c r="BP28">
        <v>3</v>
      </c>
      <c r="BQ28">
        <f t="shared" si="3"/>
        <v>8.2639999999999958</v>
      </c>
      <c r="BR28">
        <v>59.164000000000001</v>
      </c>
      <c r="BS28">
        <v>108.264</v>
      </c>
      <c r="BU28" s="10" t="s">
        <v>162</v>
      </c>
      <c r="BV28" s="10">
        <v>101</v>
      </c>
      <c r="BW28">
        <v>1989</v>
      </c>
      <c r="BX28">
        <v>4</v>
      </c>
      <c r="BY28">
        <f t="shared" si="4"/>
        <v>18.111000000000004</v>
      </c>
      <c r="BZ28">
        <v>61.567999999999998</v>
      </c>
      <c r="CA28">
        <v>118.111</v>
      </c>
      <c r="CC28">
        <v>1993</v>
      </c>
      <c r="CD28">
        <v>3</v>
      </c>
      <c r="CE28">
        <f t="shared" si="5"/>
        <v>8.3640000000000043</v>
      </c>
      <c r="CF28">
        <v>59.131999999999998</v>
      </c>
      <c r="CG28">
        <v>108.364</v>
      </c>
      <c r="CI28">
        <v>1989</v>
      </c>
      <c r="CJ28">
        <v>4</v>
      </c>
      <c r="CK28">
        <f t="shared" si="6"/>
        <v>18.037000000000006</v>
      </c>
      <c r="CL28">
        <v>61.530999999999999</v>
      </c>
      <c r="CM28">
        <v>118.03700000000001</v>
      </c>
    </row>
    <row r="29" spans="1:91" x14ac:dyDescent="0.2">
      <c r="A29">
        <v>1995</v>
      </c>
      <c r="B29">
        <v>4</v>
      </c>
      <c r="C29">
        <v>52.280999999999999</v>
      </c>
      <c r="E29">
        <v>1991</v>
      </c>
      <c r="F29">
        <v>6</v>
      </c>
      <c r="G29">
        <v>50.862000000000002</v>
      </c>
      <c r="I29">
        <v>1995</v>
      </c>
      <c r="J29">
        <v>4</v>
      </c>
      <c r="K29">
        <v>46.265000000000001</v>
      </c>
      <c r="P29">
        <v>1995</v>
      </c>
      <c r="Q29">
        <v>4</v>
      </c>
      <c r="R29">
        <v>43.223999999999997</v>
      </c>
      <c r="U29">
        <f t="shared" si="0"/>
        <v>49.202999999999996</v>
      </c>
      <c r="W29" s="10" t="s">
        <v>162</v>
      </c>
      <c r="X29">
        <v>18</v>
      </c>
      <c r="Y29">
        <v>1995</v>
      </c>
      <c r="Z29">
        <v>4</v>
      </c>
      <c r="AA29">
        <v>46.838999999999999</v>
      </c>
      <c r="AB29">
        <v>1</v>
      </c>
      <c r="AC29">
        <v>57</v>
      </c>
      <c r="AE29" s="10" t="s">
        <v>162</v>
      </c>
      <c r="AF29">
        <v>18</v>
      </c>
      <c r="AG29">
        <v>1991</v>
      </c>
      <c r="AH29">
        <v>6</v>
      </c>
      <c r="AI29">
        <v>45.895000000000003</v>
      </c>
      <c r="AJ29">
        <v>1</v>
      </c>
      <c r="AK29">
        <v>60</v>
      </c>
      <c r="AM29">
        <v>2005</v>
      </c>
      <c r="AN29">
        <v>4</v>
      </c>
      <c r="AO29">
        <v>116.011</v>
      </c>
      <c r="AP29">
        <f t="shared" si="1"/>
        <v>16.010999999999996</v>
      </c>
      <c r="AQ29">
        <v>2</v>
      </c>
      <c r="AR29">
        <v>87</v>
      </c>
      <c r="AT29">
        <v>2001</v>
      </c>
      <c r="AU29">
        <v>5</v>
      </c>
      <c r="AV29">
        <v>113.895</v>
      </c>
      <c r="AW29">
        <f t="shared" si="2"/>
        <v>13.894999999999996</v>
      </c>
      <c r="AX29">
        <v>0</v>
      </c>
      <c r="AY29">
        <v>0</v>
      </c>
      <c r="BA29">
        <v>2005</v>
      </c>
      <c r="BB29">
        <v>4</v>
      </c>
      <c r="BC29">
        <v>59.914000000000001</v>
      </c>
      <c r="BD29">
        <v>2</v>
      </c>
      <c r="BE29">
        <v>87</v>
      </c>
      <c r="BG29">
        <v>2001</v>
      </c>
      <c r="BH29">
        <v>5</v>
      </c>
      <c r="BI29">
        <v>58.228000000000002</v>
      </c>
      <c r="BJ29">
        <v>0</v>
      </c>
      <c r="BK29">
        <v>0</v>
      </c>
      <c r="BM29" s="10" t="s">
        <v>162</v>
      </c>
      <c r="BN29" s="10">
        <v>101</v>
      </c>
      <c r="BO29">
        <v>1993</v>
      </c>
      <c r="BP29">
        <v>4</v>
      </c>
      <c r="BQ29">
        <f t="shared" si="3"/>
        <v>5.7270000000000039</v>
      </c>
      <c r="BR29">
        <v>56.100999999999999</v>
      </c>
      <c r="BS29">
        <v>105.727</v>
      </c>
      <c r="BU29" s="10" t="s">
        <v>162</v>
      </c>
      <c r="BV29" s="10">
        <v>101</v>
      </c>
      <c r="BW29">
        <v>1989</v>
      </c>
      <c r="BX29">
        <v>5</v>
      </c>
      <c r="BY29">
        <f t="shared" si="4"/>
        <v>15.072999999999993</v>
      </c>
      <c r="BZ29">
        <v>60.121000000000002</v>
      </c>
      <c r="CA29">
        <v>115.07299999999999</v>
      </c>
      <c r="CC29">
        <v>1993</v>
      </c>
      <c r="CD29">
        <v>4</v>
      </c>
      <c r="CE29">
        <f t="shared" si="5"/>
        <v>5.8269999999999982</v>
      </c>
      <c r="CF29">
        <v>56.07</v>
      </c>
      <c r="CG29">
        <v>105.827</v>
      </c>
      <c r="CI29">
        <v>1989</v>
      </c>
      <c r="CJ29">
        <v>5</v>
      </c>
      <c r="CK29">
        <f t="shared" si="6"/>
        <v>15.004000000000005</v>
      </c>
      <c r="CL29">
        <v>60.091000000000001</v>
      </c>
      <c r="CM29">
        <v>115.004</v>
      </c>
    </row>
    <row r="30" spans="1:91" x14ac:dyDescent="0.2">
      <c r="A30">
        <v>1996</v>
      </c>
      <c r="B30">
        <v>1</v>
      </c>
      <c r="C30">
        <v>44.536999999999999</v>
      </c>
      <c r="E30">
        <v>1991</v>
      </c>
      <c r="F30">
        <v>7</v>
      </c>
      <c r="G30">
        <v>48.771999999999998</v>
      </c>
      <c r="I30">
        <v>1996</v>
      </c>
      <c r="J30">
        <v>1</v>
      </c>
      <c r="K30">
        <v>39.218000000000004</v>
      </c>
      <c r="P30">
        <v>1996</v>
      </c>
      <c r="Q30">
        <v>1</v>
      </c>
      <c r="R30">
        <v>35.932000000000002</v>
      </c>
      <c r="U30">
        <f t="shared" si="0"/>
        <v>41.911000000000001</v>
      </c>
      <c r="W30" s="10" t="s">
        <v>162</v>
      </c>
      <c r="X30">
        <v>18</v>
      </c>
      <c r="Y30">
        <v>1996</v>
      </c>
      <c r="Z30">
        <v>1</v>
      </c>
      <c r="AA30">
        <v>39.362000000000002</v>
      </c>
      <c r="AB30">
        <v>1</v>
      </c>
      <c r="AC30">
        <v>57</v>
      </c>
      <c r="AE30" s="10" t="s">
        <v>162</v>
      </c>
      <c r="AF30">
        <v>18</v>
      </c>
      <c r="AG30">
        <v>1991</v>
      </c>
      <c r="AH30">
        <v>7</v>
      </c>
      <c r="AI30">
        <v>44.085999999999999</v>
      </c>
      <c r="AJ30">
        <v>0</v>
      </c>
      <c r="AK30">
        <v>0</v>
      </c>
      <c r="AM30">
        <v>2006</v>
      </c>
      <c r="AN30">
        <v>1</v>
      </c>
      <c r="AO30">
        <v>119.19</v>
      </c>
      <c r="AP30">
        <f t="shared" si="1"/>
        <v>19.189999999999998</v>
      </c>
      <c r="AQ30">
        <v>2</v>
      </c>
      <c r="AR30">
        <v>87</v>
      </c>
      <c r="AT30">
        <v>2001</v>
      </c>
      <c r="AU30">
        <v>6</v>
      </c>
      <c r="AV30">
        <v>113.449</v>
      </c>
      <c r="AW30">
        <f t="shared" si="2"/>
        <v>13.448999999999998</v>
      </c>
      <c r="AX30">
        <v>0</v>
      </c>
      <c r="AY30">
        <v>0</v>
      </c>
      <c r="BA30">
        <v>2006</v>
      </c>
      <c r="BB30">
        <v>1</v>
      </c>
      <c r="BC30">
        <v>61.405000000000001</v>
      </c>
      <c r="BD30">
        <v>2</v>
      </c>
      <c r="BE30">
        <v>87</v>
      </c>
      <c r="BG30">
        <v>2001</v>
      </c>
      <c r="BH30">
        <v>6</v>
      </c>
      <c r="BI30">
        <v>57.963999999999999</v>
      </c>
      <c r="BJ30">
        <v>0</v>
      </c>
      <c r="BK30">
        <v>0</v>
      </c>
      <c r="BM30" s="10" t="s">
        <v>162</v>
      </c>
      <c r="BN30" s="10">
        <v>101</v>
      </c>
      <c r="BO30">
        <v>1994</v>
      </c>
      <c r="BP30">
        <v>1</v>
      </c>
      <c r="BQ30">
        <f t="shared" si="3"/>
        <v>12.507999999999996</v>
      </c>
      <c r="BR30">
        <v>61.718000000000004</v>
      </c>
      <c r="BS30">
        <v>112.508</v>
      </c>
      <c r="BU30" s="10" t="s">
        <v>162</v>
      </c>
      <c r="BV30" s="10">
        <v>101</v>
      </c>
      <c r="BW30">
        <v>1989</v>
      </c>
      <c r="BX30">
        <v>6</v>
      </c>
      <c r="BY30">
        <f t="shared" si="4"/>
        <v>13.938000000000002</v>
      </c>
      <c r="BZ30">
        <v>59.430999999999997</v>
      </c>
      <c r="CA30">
        <v>113.938</v>
      </c>
      <c r="CC30">
        <v>1994</v>
      </c>
      <c r="CD30">
        <v>1</v>
      </c>
      <c r="CE30">
        <f t="shared" si="5"/>
        <v>12.608999999999995</v>
      </c>
      <c r="CF30">
        <v>61.686</v>
      </c>
      <c r="CG30">
        <v>112.60899999999999</v>
      </c>
      <c r="CI30">
        <v>1989</v>
      </c>
      <c r="CJ30">
        <v>6</v>
      </c>
      <c r="CK30">
        <f t="shared" si="6"/>
        <v>13.870000000000005</v>
      </c>
      <c r="CL30">
        <v>59.402000000000001</v>
      </c>
      <c r="CM30">
        <v>113.87</v>
      </c>
    </row>
    <row r="31" spans="1:91" x14ac:dyDescent="0.2">
      <c r="A31">
        <v>1996</v>
      </c>
      <c r="B31">
        <v>2</v>
      </c>
      <c r="C31">
        <v>39.783000000000001</v>
      </c>
      <c r="E31">
        <v>1991</v>
      </c>
      <c r="F31">
        <v>8</v>
      </c>
      <c r="G31">
        <v>48.768999999999998</v>
      </c>
      <c r="I31">
        <v>1996</v>
      </c>
      <c r="J31">
        <v>2</v>
      </c>
      <c r="K31">
        <v>34.895000000000003</v>
      </c>
      <c r="P31">
        <v>1996</v>
      </c>
      <c r="Q31">
        <v>2</v>
      </c>
      <c r="R31">
        <v>31.484999999999999</v>
      </c>
      <c r="U31">
        <f t="shared" si="0"/>
        <v>37.463999999999999</v>
      </c>
      <c r="W31" s="10" t="s">
        <v>162</v>
      </c>
      <c r="X31">
        <v>18</v>
      </c>
      <c r="Y31">
        <v>1996</v>
      </c>
      <c r="Z31">
        <v>2</v>
      </c>
      <c r="AA31">
        <v>33.947000000000003</v>
      </c>
      <c r="AB31">
        <v>1</v>
      </c>
      <c r="AC31">
        <v>57</v>
      </c>
      <c r="AE31" s="10" t="s">
        <v>162</v>
      </c>
      <c r="AF31">
        <v>18</v>
      </c>
      <c r="AG31">
        <v>1991</v>
      </c>
      <c r="AH31">
        <v>8</v>
      </c>
      <c r="AI31">
        <v>43.795999999999999</v>
      </c>
      <c r="AJ31">
        <v>0</v>
      </c>
      <c r="AK31">
        <v>0</v>
      </c>
      <c r="AM31">
        <v>2006</v>
      </c>
      <c r="AN31">
        <v>2</v>
      </c>
      <c r="AO31">
        <v>119.28400000000001</v>
      </c>
      <c r="AP31">
        <f t="shared" si="1"/>
        <v>19.284000000000006</v>
      </c>
      <c r="AQ31">
        <v>2</v>
      </c>
      <c r="AR31">
        <v>87</v>
      </c>
      <c r="AT31">
        <v>2001</v>
      </c>
      <c r="AU31">
        <v>7</v>
      </c>
      <c r="AV31">
        <v>107.958</v>
      </c>
      <c r="AW31">
        <f t="shared" si="2"/>
        <v>7.9579999999999984</v>
      </c>
      <c r="AX31">
        <v>1</v>
      </c>
      <c r="AY31">
        <v>92</v>
      </c>
      <c r="BA31">
        <v>2006</v>
      </c>
      <c r="BB31">
        <v>2</v>
      </c>
      <c r="BC31">
        <v>61.421999999999997</v>
      </c>
      <c r="BD31">
        <v>2</v>
      </c>
      <c r="BE31">
        <v>87</v>
      </c>
      <c r="BG31">
        <v>2001</v>
      </c>
      <c r="BH31">
        <v>7</v>
      </c>
      <c r="BI31">
        <v>54.883000000000003</v>
      </c>
      <c r="BJ31">
        <v>1</v>
      </c>
      <c r="BK31">
        <v>92</v>
      </c>
      <c r="BM31" s="10" t="s">
        <v>162</v>
      </c>
      <c r="BN31" s="10">
        <v>101</v>
      </c>
      <c r="BO31">
        <v>1994</v>
      </c>
      <c r="BP31">
        <v>2</v>
      </c>
      <c r="BQ31">
        <f t="shared" si="3"/>
        <v>7.936000000000007</v>
      </c>
      <c r="BR31">
        <v>58.280999999999999</v>
      </c>
      <c r="BS31">
        <v>107.93600000000001</v>
      </c>
      <c r="BU31" s="10" t="s">
        <v>162</v>
      </c>
      <c r="BV31" s="10">
        <v>101</v>
      </c>
      <c r="BW31">
        <v>1989</v>
      </c>
      <c r="BX31">
        <v>7</v>
      </c>
      <c r="BY31">
        <f t="shared" si="4"/>
        <v>13.516000000000005</v>
      </c>
      <c r="BZ31">
        <v>59.1</v>
      </c>
      <c r="CA31">
        <v>113.51600000000001</v>
      </c>
      <c r="CC31">
        <v>1994</v>
      </c>
      <c r="CD31">
        <v>2</v>
      </c>
      <c r="CE31">
        <f t="shared" si="5"/>
        <v>8.0370000000000061</v>
      </c>
      <c r="CF31">
        <v>58.249000000000002</v>
      </c>
      <c r="CG31">
        <v>108.03700000000001</v>
      </c>
      <c r="CI31">
        <v>1989</v>
      </c>
      <c r="CJ31">
        <v>7</v>
      </c>
      <c r="CK31">
        <f t="shared" si="6"/>
        <v>13.448999999999998</v>
      </c>
      <c r="CL31">
        <v>59.070999999999998</v>
      </c>
      <c r="CM31">
        <v>113.449</v>
      </c>
    </row>
    <row r="32" spans="1:91" x14ac:dyDescent="0.2">
      <c r="A32">
        <v>1996</v>
      </c>
      <c r="B32">
        <v>3</v>
      </c>
      <c r="C32">
        <v>39.802999999999997</v>
      </c>
      <c r="E32">
        <v>1991</v>
      </c>
      <c r="F32">
        <v>9</v>
      </c>
      <c r="G32">
        <v>46.692</v>
      </c>
      <c r="I32">
        <v>1996</v>
      </c>
      <c r="J32">
        <v>3</v>
      </c>
      <c r="K32">
        <v>34.786000000000001</v>
      </c>
      <c r="P32">
        <v>1996</v>
      </c>
      <c r="Q32">
        <v>3</v>
      </c>
      <c r="R32">
        <v>31.64</v>
      </c>
      <c r="U32">
        <f t="shared" si="0"/>
        <v>37.619</v>
      </c>
      <c r="W32" s="10" t="s">
        <v>162</v>
      </c>
      <c r="X32">
        <v>18</v>
      </c>
      <c r="Y32">
        <v>1996</v>
      </c>
      <c r="Z32">
        <v>3</v>
      </c>
      <c r="AA32">
        <v>33.433999999999997</v>
      </c>
      <c r="AB32">
        <v>1</v>
      </c>
      <c r="AC32">
        <v>57</v>
      </c>
      <c r="AE32" s="10" t="s">
        <v>162</v>
      </c>
      <c r="AF32">
        <v>18</v>
      </c>
      <c r="AG32">
        <v>1991</v>
      </c>
      <c r="AH32">
        <v>9</v>
      </c>
      <c r="AI32">
        <v>42.597999999999999</v>
      </c>
      <c r="AJ32">
        <v>1</v>
      </c>
      <c r="AK32">
        <v>60</v>
      </c>
      <c r="AM32">
        <v>2006</v>
      </c>
      <c r="AN32">
        <v>3</v>
      </c>
      <c r="AO32">
        <v>117.123</v>
      </c>
      <c r="AP32">
        <f t="shared" si="1"/>
        <v>17.123000000000005</v>
      </c>
      <c r="AQ32">
        <v>2</v>
      </c>
      <c r="AR32">
        <v>87</v>
      </c>
      <c r="AT32">
        <v>2001</v>
      </c>
      <c r="AU32">
        <v>8</v>
      </c>
      <c r="AV32">
        <v>105.337</v>
      </c>
      <c r="AW32">
        <f t="shared" si="2"/>
        <v>5.3370000000000033</v>
      </c>
      <c r="AX32">
        <v>0</v>
      </c>
      <c r="AY32">
        <v>0</v>
      </c>
      <c r="BA32">
        <v>2006</v>
      </c>
      <c r="BB32">
        <v>3</v>
      </c>
      <c r="BC32">
        <v>60.19</v>
      </c>
      <c r="BD32">
        <v>2</v>
      </c>
      <c r="BE32">
        <v>87</v>
      </c>
      <c r="BG32">
        <v>2001</v>
      </c>
      <c r="BH32">
        <v>8</v>
      </c>
      <c r="BI32">
        <v>53.597000000000001</v>
      </c>
      <c r="BJ32">
        <v>0</v>
      </c>
      <c r="BK32">
        <v>0</v>
      </c>
      <c r="BM32" s="10" t="s">
        <v>162</v>
      </c>
      <c r="BN32" s="10">
        <v>101</v>
      </c>
      <c r="BO32">
        <v>1994</v>
      </c>
      <c r="BP32">
        <v>3</v>
      </c>
      <c r="BQ32">
        <f t="shared" si="3"/>
        <v>8.4350000000000023</v>
      </c>
      <c r="BR32">
        <v>58.896000000000001</v>
      </c>
      <c r="BS32">
        <v>108.435</v>
      </c>
      <c r="BU32" s="10" t="s">
        <v>162</v>
      </c>
      <c r="BV32" s="10">
        <v>101</v>
      </c>
      <c r="BW32">
        <v>1989</v>
      </c>
      <c r="BX32">
        <v>8</v>
      </c>
      <c r="BY32">
        <f t="shared" si="4"/>
        <v>13.36</v>
      </c>
      <c r="BZ32">
        <v>58.942</v>
      </c>
      <c r="CA32">
        <v>113.36</v>
      </c>
      <c r="CC32">
        <v>1994</v>
      </c>
      <c r="CD32">
        <v>3</v>
      </c>
      <c r="CE32">
        <f t="shared" si="5"/>
        <v>8.5349999999999966</v>
      </c>
      <c r="CF32">
        <v>58.865000000000002</v>
      </c>
      <c r="CG32">
        <v>108.535</v>
      </c>
      <c r="CI32">
        <v>1989</v>
      </c>
      <c r="CJ32">
        <v>8</v>
      </c>
      <c r="CK32">
        <f t="shared" si="6"/>
        <v>13.293000000000006</v>
      </c>
      <c r="CL32">
        <v>58.911999999999999</v>
      </c>
      <c r="CM32">
        <v>113.29300000000001</v>
      </c>
    </row>
    <row r="33" spans="1:91" x14ac:dyDescent="0.2">
      <c r="A33">
        <v>1996</v>
      </c>
      <c r="B33">
        <v>4</v>
      </c>
      <c r="C33">
        <v>39.758000000000003</v>
      </c>
      <c r="E33">
        <v>1991</v>
      </c>
      <c r="F33">
        <v>10</v>
      </c>
      <c r="G33">
        <v>46.18</v>
      </c>
      <c r="I33">
        <v>1996</v>
      </c>
      <c r="J33">
        <v>4</v>
      </c>
      <c r="K33">
        <v>34.706000000000003</v>
      </c>
      <c r="P33">
        <v>1996</v>
      </c>
      <c r="Q33">
        <v>4</v>
      </c>
      <c r="R33">
        <v>31.626000000000001</v>
      </c>
      <c r="U33">
        <f t="shared" si="0"/>
        <v>37.605000000000004</v>
      </c>
      <c r="W33" s="10" t="s">
        <v>162</v>
      </c>
      <c r="X33">
        <v>18</v>
      </c>
      <c r="Y33">
        <v>1996</v>
      </c>
      <c r="Z33">
        <v>4</v>
      </c>
      <c r="AA33">
        <v>33.338000000000001</v>
      </c>
      <c r="AB33">
        <v>1</v>
      </c>
      <c r="AC33">
        <v>57</v>
      </c>
      <c r="AE33" s="10" t="s">
        <v>162</v>
      </c>
      <c r="AF33">
        <v>18</v>
      </c>
      <c r="AG33">
        <v>1991</v>
      </c>
      <c r="AH33">
        <v>10</v>
      </c>
      <c r="AI33">
        <v>41.761000000000003</v>
      </c>
      <c r="AJ33">
        <v>0</v>
      </c>
      <c r="AK33">
        <v>0</v>
      </c>
      <c r="AM33">
        <v>2006</v>
      </c>
      <c r="AN33">
        <v>4</v>
      </c>
      <c r="AO33">
        <v>114.726</v>
      </c>
      <c r="AP33">
        <f t="shared" si="1"/>
        <v>14.725999999999999</v>
      </c>
      <c r="AQ33">
        <v>4</v>
      </c>
      <c r="AR33">
        <v>93</v>
      </c>
      <c r="AT33">
        <v>2001</v>
      </c>
      <c r="AU33">
        <v>9</v>
      </c>
      <c r="AV33">
        <v>103.517</v>
      </c>
      <c r="AW33">
        <f t="shared" si="2"/>
        <v>3.5169999999999959</v>
      </c>
      <c r="AX33">
        <v>1</v>
      </c>
      <c r="AY33">
        <v>39</v>
      </c>
      <c r="BA33">
        <v>2006</v>
      </c>
      <c r="BB33">
        <v>4</v>
      </c>
      <c r="BC33">
        <v>59.064</v>
      </c>
      <c r="BD33">
        <v>4</v>
      </c>
      <c r="BE33">
        <v>93</v>
      </c>
      <c r="BG33">
        <v>2001</v>
      </c>
      <c r="BH33">
        <v>9</v>
      </c>
      <c r="BI33">
        <v>52.786999999999999</v>
      </c>
      <c r="BJ33">
        <v>1</v>
      </c>
      <c r="BK33">
        <v>39</v>
      </c>
      <c r="BM33" s="10" t="s">
        <v>162</v>
      </c>
      <c r="BN33" s="10">
        <v>101</v>
      </c>
      <c r="BO33">
        <v>1994</v>
      </c>
      <c r="BP33">
        <v>4</v>
      </c>
      <c r="BQ33">
        <f t="shared" si="3"/>
        <v>10.742000000000004</v>
      </c>
      <c r="BR33">
        <v>60.679000000000002</v>
      </c>
      <c r="BS33">
        <v>110.742</v>
      </c>
      <c r="BU33" s="10" t="s">
        <v>162</v>
      </c>
      <c r="BV33" s="10">
        <v>101</v>
      </c>
      <c r="BW33">
        <v>1989</v>
      </c>
      <c r="BX33">
        <v>9</v>
      </c>
      <c r="BY33">
        <f t="shared" si="4"/>
        <v>13.302000000000007</v>
      </c>
      <c r="BZ33">
        <v>58.866</v>
      </c>
      <c r="CA33">
        <v>113.30200000000001</v>
      </c>
      <c r="CC33">
        <v>1994</v>
      </c>
      <c r="CD33">
        <v>4</v>
      </c>
      <c r="CE33">
        <f t="shared" si="5"/>
        <v>10.843000000000004</v>
      </c>
      <c r="CF33">
        <v>60.646999999999998</v>
      </c>
      <c r="CG33">
        <v>110.843</v>
      </c>
      <c r="CI33">
        <v>1989</v>
      </c>
      <c r="CJ33">
        <v>9</v>
      </c>
      <c r="CK33">
        <f t="shared" si="6"/>
        <v>13.236000000000004</v>
      </c>
      <c r="CL33">
        <v>58.835000000000001</v>
      </c>
      <c r="CM33">
        <v>113.236</v>
      </c>
    </row>
    <row r="34" spans="1:91" x14ac:dyDescent="0.2">
      <c r="A34">
        <v>1997</v>
      </c>
      <c r="B34">
        <v>1</v>
      </c>
      <c r="C34">
        <v>39.747</v>
      </c>
      <c r="E34">
        <v>1991</v>
      </c>
      <c r="F34">
        <v>11</v>
      </c>
      <c r="G34">
        <v>46.154000000000003</v>
      </c>
      <c r="I34">
        <v>1997</v>
      </c>
      <c r="J34">
        <v>1</v>
      </c>
      <c r="K34">
        <v>34.680999999999997</v>
      </c>
      <c r="P34">
        <v>1997</v>
      </c>
      <c r="Q34">
        <v>1</v>
      </c>
      <c r="R34">
        <v>31.623999999999999</v>
      </c>
      <c r="U34">
        <f t="shared" si="0"/>
        <v>37.603000000000002</v>
      </c>
      <c r="W34" s="10" t="s">
        <v>162</v>
      </c>
      <c r="X34">
        <v>18</v>
      </c>
      <c r="Y34">
        <v>1997</v>
      </c>
      <c r="Z34">
        <v>1</v>
      </c>
      <c r="AA34">
        <v>33.32</v>
      </c>
      <c r="AB34">
        <v>0</v>
      </c>
      <c r="AC34">
        <v>0</v>
      </c>
      <c r="AE34" s="10" t="s">
        <v>162</v>
      </c>
      <c r="AF34">
        <v>18</v>
      </c>
      <c r="AG34">
        <v>1991</v>
      </c>
      <c r="AH34">
        <v>11</v>
      </c>
      <c r="AI34">
        <v>41.432000000000002</v>
      </c>
      <c r="AJ34">
        <v>0</v>
      </c>
      <c r="AK34">
        <v>0</v>
      </c>
      <c r="AM34">
        <v>2007</v>
      </c>
      <c r="AN34">
        <v>1</v>
      </c>
      <c r="AO34">
        <v>114.33799999999999</v>
      </c>
      <c r="AP34">
        <f t="shared" si="1"/>
        <v>14.337999999999994</v>
      </c>
      <c r="AQ34">
        <v>3</v>
      </c>
      <c r="AR34">
        <v>92</v>
      </c>
      <c r="AT34">
        <v>2001</v>
      </c>
      <c r="AU34">
        <v>10</v>
      </c>
      <c r="AV34">
        <v>99.435000000000002</v>
      </c>
      <c r="AW34">
        <f t="shared" si="2"/>
        <v>-0.56499999999999773</v>
      </c>
      <c r="AX34">
        <v>0</v>
      </c>
      <c r="AY34">
        <v>0</v>
      </c>
      <c r="BA34">
        <v>2007</v>
      </c>
      <c r="BB34">
        <v>1</v>
      </c>
      <c r="BC34">
        <v>58.750999999999998</v>
      </c>
      <c r="BD34">
        <v>3</v>
      </c>
      <c r="BE34">
        <v>92</v>
      </c>
      <c r="BG34">
        <v>2001</v>
      </c>
      <c r="BH34">
        <v>10</v>
      </c>
      <c r="BI34">
        <v>50.631</v>
      </c>
      <c r="BJ34">
        <v>0</v>
      </c>
      <c r="BK34">
        <v>0</v>
      </c>
      <c r="BM34" s="10" t="s">
        <v>162</v>
      </c>
      <c r="BN34" s="10">
        <v>101</v>
      </c>
      <c r="BO34">
        <v>1995</v>
      </c>
      <c r="BP34">
        <v>1</v>
      </c>
      <c r="BQ34">
        <f t="shared" si="3"/>
        <v>14.855999999999995</v>
      </c>
      <c r="BR34">
        <v>63.051000000000002</v>
      </c>
      <c r="BS34">
        <v>114.85599999999999</v>
      </c>
      <c r="BU34" s="10" t="s">
        <v>162</v>
      </c>
      <c r="BV34" s="10">
        <v>101</v>
      </c>
      <c r="BW34">
        <v>1989</v>
      </c>
      <c r="BX34">
        <v>10</v>
      </c>
      <c r="BY34">
        <f t="shared" si="4"/>
        <v>13.281000000000006</v>
      </c>
      <c r="BZ34">
        <v>58.83</v>
      </c>
      <c r="CA34">
        <v>113.28100000000001</v>
      </c>
      <c r="CC34">
        <v>1995</v>
      </c>
      <c r="CD34">
        <v>1</v>
      </c>
      <c r="CE34">
        <f t="shared" si="5"/>
        <v>14.956999999999994</v>
      </c>
      <c r="CF34">
        <v>63.018000000000001</v>
      </c>
      <c r="CG34">
        <v>114.95699999999999</v>
      </c>
      <c r="CI34">
        <v>1989</v>
      </c>
      <c r="CJ34">
        <v>10</v>
      </c>
      <c r="CK34">
        <f t="shared" si="6"/>
        <v>13.215000000000003</v>
      </c>
      <c r="CL34">
        <v>58.798999999999999</v>
      </c>
      <c r="CM34">
        <v>113.215</v>
      </c>
    </row>
    <row r="35" spans="1:91" x14ac:dyDescent="0.2">
      <c r="A35">
        <v>1997</v>
      </c>
      <c r="B35">
        <v>2</v>
      </c>
      <c r="C35">
        <v>39.728000000000002</v>
      </c>
      <c r="E35">
        <v>1991</v>
      </c>
      <c r="F35">
        <v>12</v>
      </c>
      <c r="G35">
        <v>45.761000000000003</v>
      </c>
      <c r="I35">
        <v>1997</v>
      </c>
      <c r="J35">
        <v>2</v>
      </c>
      <c r="K35">
        <v>34.645000000000003</v>
      </c>
      <c r="P35">
        <v>1997</v>
      </c>
      <c r="Q35">
        <v>2</v>
      </c>
      <c r="R35">
        <v>31.617999999999999</v>
      </c>
      <c r="U35">
        <f t="shared" si="0"/>
        <v>37.597000000000001</v>
      </c>
      <c r="W35" s="10" t="s">
        <v>162</v>
      </c>
      <c r="X35">
        <v>18</v>
      </c>
      <c r="Y35">
        <v>1997</v>
      </c>
      <c r="Z35">
        <v>2</v>
      </c>
      <c r="AA35">
        <v>33.316000000000003</v>
      </c>
      <c r="AB35">
        <v>0</v>
      </c>
      <c r="AC35">
        <v>0</v>
      </c>
      <c r="AE35" s="10" t="s">
        <v>162</v>
      </c>
      <c r="AF35">
        <v>18</v>
      </c>
      <c r="AG35">
        <v>1991</v>
      </c>
      <c r="AH35">
        <v>12</v>
      </c>
      <c r="AI35">
        <v>41.116999999999997</v>
      </c>
      <c r="AJ35">
        <v>1</v>
      </c>
      <c r="AK35">
        <v>60</v>
      </c>
      <c r="AM35">
        <v>2007</v>
      </c>
      <c r="AN35">
        <v>2</v>
      </c>
      <c r="AO35">
        <v>112.57299999999999</v>
      </c>
      <c r="AP35">
        <f t="shared" si="1"/>
        <v>12.572999999999993</v>
      </c>
      <c r="AQ35">
        <v>3</v>
      </c>
      <c r="AR35">
        <v>92</v>
      </c>
      <c r="AT35">
        <v>2001</v>
      </c>
      <c r="AU35">
        <v>11</v>
      </c>
      <c r="AV35">
        <v>97.835999999999999</v>
      </c>
      <c r="AW35">
        <f t="shared" si="2"/>
        <v>-2.1640000000000015</v>
      </c>
      <c r="AX35">
        <v>0</v>
      </c>
      <c r="AY35">
        <v>0</v>
      </c>
      <c r="BA35">
        <v>2007</v>
      </c>
      <c r="BB35">
        <v>2</v>
      </c>
      <c r="BC35">
        <v>57.728000000000002</v>
      </c>
      <c r="BD35">
        <v>3</v>
      </c>
      <c r="BE35">
        <v>92</v>
      </c>
      <c r="BG35">
        <v>2001</v>
      </c>
      <c r="BH35">
        <v>11</v>
      </c>
      <c r="BI35">
        <v>49.752000000000002</v>
      </c>
      <c r="BJ35">
        <v>0</v>
      </c>
      <c r="BK35">
        <v>0</v>
      </c>
      <c r="BM35" s="10" t="s">
        <v>162</v>
      </c>
      <c r="BN35" s="10">
        <v>101</v>
      </c>
      <c r="BO35">
        <v>1995</v>
      </c>
      <c r="BP35">
        <v>2</v>
      </c>
      <c r="BQ35">
        <f t="shared" si="3"/>
        <v>8.5840000000000032</v>
      </c>
      <c r="BR35">
        <v>59.679000000000002</v>
      </c>
      <c r="BS35">
        <v>108.584</v>
      </c>
      <c r="BU35" s="10" t="s">
        <v>162</v>
      </c>
      <c r="BV35" s="10">
        <v>101</v>
      </c>
      <c r="BW35">
        <v>1989</v>
      </c>
      <c r="BX35">
        <v>11</v>
      </c>
      <c r="BY35">
        <f t="shared" si="4"/>
        <v>8.8829999999999956</v>
      </c>
      <c r="BZ35">
        <v>56.625</v>
      </c>
      <c r="CA35">
        <v>108.883</v>
      </c>
      <c r="CC35">
        <v>1995</v>
      </c>
      <c r="CD35">
        <v>2</v>
      </c>
      <c r="CE35">
        <f t="shared" si="5"/>
        <v>8.6850000000000023</v>
      </c>
      <c r="CF35">
        <v>59.646000000000001</v>
      </c>
      <c r="CG35">
        <v>108.685</v>
      </c>
      <c r="CI35">
        <v>1989</v>
      </c>
      <c r="CJ35">
        <v>11</v>
      </c>
      <c r="CK35">
        <f t="shared" si="6"/>
        <v>8.8269999999999982</v>
      </c>
      <c r="CL35">
        <v>56.598999999999997</v>
      </c>
      <c r="CM35">
        <v>108.827</v>
      </c>
    </row>
    <row r="36" spans="1:91" x14ac:dyDescent="0.2">
      <c r="A36">
        <v>1997</v>
      </c>
      <c r="B36">
        <v>3</v>
      </c>
      <c r="C36">
        <v>39.610999999999997</v>
      </c>
      <c r="E36">
        <v>1992</v>
      </c>
      <c r="F36">
        <v>1</v>
      </c>
      <c r="G36">
        <v>43.082999999999998</v>
      </c>
      <c r="I36">
        <v>1997</v>
      </c>
      <c r="J36">
        <v>3</v>
      </c>
      <c r="K36">
        <v>34.502000000000002</v>
      </c>
      <c r="P36">
        <v>1997</v>
      </c>
      <c r="Q36">
        <v>3</v>
      </c>
      <c r="R36">
        <v>31.553000000000001</v>
      </c>
      <c r="U36">
        <f t="shared" si="0"/>
        <v>37.532000000000004</v>
      </c>
      <c r="W36" s="10" t="s">
        <v>162</v>
      </c>
      <c r="X36">
        <v>18</v>
      </c>
      <c r="Y36">
        <v>1997</v>
      </c>
      <c r="Z36">
        <v>3</v>
      </c>
      <c r="AA36">
        <v>33.316000000000003</v>
      </c>
      <c r="AB36">
        <v>1</v>
      </c>
      <c r="AC36">
        <v>57</v>
      </c>
      <c r="AE36" s="10" t="s">
        <v>162</v>
      </c>
      <c r="AF36">
        <v>18</v>
      </c>
      <c r="AG36">
        <v>1992</v>
      </c>
      <c r="AH36">
        <v>1</v>
      </c>
      <c r="AI36">
        <v>38.683</v>
      </c>
      <c r="AJ36">
        <v>0</v>
      </c>
      <c r="AK36">
        <v>0</v>
      </c>
      <c r="AM36">
        <v>2007</v>
      </c>
      <c r="AN36">
        <v>3</v>
      </c>
      <c r="AO36">
        <v>111.794</v>
      </c>
      <c r="AP36">
        <f t="shared" si="1"/>
        <v>11.793999999999997</v>
      </c>
      <c r="AQ36">
        <v>3</v>
      </c>
      <c r="AR36">
        <v>92</v>
      </c>
      <c r="AT36">
        <v>2001</v>
      </c>
      <c r="AU36">
        <v>12</v>
      </c>
      <c r="AV36">
        <v>93.304000000000002</v>
      </c>
      <c r="AW36">
        <f t="shared" si="2"/>
        <v>-6.695999999999998</v>
      </c>
      <c r="AX36">
        <v>2</v>
      </c>
      <c r="AY36">
        <v>131</v>
      </c>
      <c r="BA36">
        <v>2007</v>
      </c>
      <c r="BB36">
        <v>3</v>
      </c>
      <c r="BC36">
        <v>57.500999999999998</v>
      </c>
      <c r="BD36">
        <v>3</v>
      </c>
      <c r="BE36">
        <v>92</v>
      </c>
      <c r="BG36">
        <v>2001</v>
      </c>
      <c r="BH36">
        <v>12</v>
      </c>
      <c r="BI36">
        <v>47.209000000000003</v>
      </c>
      <c r="BJ36">
        <v>2</v>
      </c>
      <c r="BK36">
        <v>131</v>
      </c>
      <c r="BM36" s="10" t="s">
        <v>162</v>
      </c>
      <c r="BN36" s="10">
        <v>101</v>
      </c>
      <c r="BO36">
        <v>1995</v>
      </c>
      <c r="BP36">
        <v>3</v>
      </c>
      <c r="BQ36">
        <f t="shared" si="3"/>
        <v>5.6650000000000063</v>
      </c>
      <c r="BR36">
        <v>57.279000000000003</v>
      </c>
      <c r="BS36">
        <v>105.66500000000001</v>
      </c>
      <c r="BU36" s="10" t="s">
        <v>162</v>
      </c>
      <c r="BV36" s="10">
        <v>101</v>
      </c>
      <c r="BW36">
        <v>1989</v>
      </c>
      <c r="BX36">
        <v>12</v>
      </c>
      <c r="BY36">
        <f t="shared" si="4"/>
        <v>9.7810000000000059</v>
      </c>
      <c r="BZ36">
        <v>56.689</v>
      </c>
      <c r="CA36">
        <v>109.78100000000001</v>
      </c>
      <c r="CC36">
        <v>1995</v>
      </c>
      <c r="CD36">
        <v>3</v>
      </c>
      <c r="CE36">
        <f t="shared" si="5"/>
        <v>5.7650000000000006</v>
      </c>
      <c r="CF36">
        <v>57.247999999999998</v>
      </c>
      <c r="CG36">
        <v>105.765</v>
      </c>
      <c r="CI36">
        <v>1989</v>
      </c>
      <c r="CJ36">
        <v>12</v>
      </c>
      <c r="CK36">
        <f t="shared" si="6"/>
        <v>9.7219999999999942</v>
      </c>
      <c r="CL36">
        <v>56.658999999999999</v>
      </c>
      <c r="CM36">
        <v>109.72199999999999</v>
      </c>
    </row>
    <row r="37" spans="1:91" x14ac:dyDescent="0.2">
      <c r="A37">
        <v>1997</v>
      </c>
      <c r="B37">
        <v>4</v>
      </c>
      <c r="C37">
        <v>38.835000000000001</v>
      </c>
      <c r="E37">
        <v>1992</v>
      </c>
      <c r="F37">
        <v>2</v>
      </c>
      <c r="G37">
        <v>43.078000000000003</v>
      </c>
      <c r="I37">
        <v>1997</v>
      </c>
      <c r="J37">
        <v>4</v>
      </c>
      <c r="K37">
        <v>33.869999999999997</v>
      </c>
      <c r="P37">
        <v>1997</v>
      </c>
      <c r="Q37">
        <v>4</v>
      </c>
      <c r="R37">
        <v>30.783000000000001</v>
      </c>
      <c r="U37">
        <f t="shared" si="0"/>
        <v>36.762</v>
      </c>
      <c r="W37" s="10" t="s">
        <v>162</v>
      </c>
      <c r="X37">
        <v>18</v>
      </c>
      <c r="Y37">
        <v>1997</v>
      </c>
      <c r="Z37">
        <v>4</v>
      </c>
      <c r="AA37">
        <v>32.554000000000002</v>
      </c>
      <c r="AB37">
        <v>0</v>
      </c>
      <c r="AC37">
        <v>0</v>
      </c>
      <c r="AE37" s="10" t="s">
        <v>162</v>
      </c>
      <c r="AF37">
        <v>18</v>
      </c>
      <c r="AG37">
        <v>1992</v>
      </c>
      <c r="AH37">
        <v>2</v>
      </c>
      <c r="AI37">
        <v>38.256999999999998</v>
      </c>
      <c r="AJ37">
        <v>0</v>
      </c>
      <c r="AK37">
        <v>0</v>
      </c>
      <c r="AM37">
        <v>2007</v>
      </c>
      <c r="AN37">
        <v>4</v>
      </c>
      <c r="AO37">
        <v>106.80500000000001</v>
      </c>
      <c r="AP37">
        <f t="shared" si="1"/>
        <v>6.8050000000000068</v>
      </c>
      <c r="AQ37">
        <v>2</v>
      </c>
      <c r="AR37">
        <v>87</v>
      </c>
      <c r="AT37">
        <v>2002</v>
      </c>
      <c r="AU37">
        <v>1</v>
      </c>
      <c r="AV37">
        <v>91.007999999999996</v>
      </c>
      <c r="AW37">
        <f t="shared" si="2"/>
        <v>-8.9920000000000044</v>
      </c>
      <c r="AX37">
        <v>0</v>
      </c>
      <c r="AY37">
        <v>0</v>
      </c>
      <c r="BA37">
        <v>2007</v>
      </c>
      <c r="BB37">
        <v>4</v>
      </c>
      <c r="BC37">
        <v>54.77</v>
      </c>
      <c r="BD37">
        <v>2</v>
      </c>
      <c r="BE37">
        <v>87</v>
      </c>
      <c r="BG37">
        <v>2002</v>
      </c>
      <c r="BH37">
        <v>1</v>
      </c>
      <c r="BI37">
        <v>46.037999999999997</v>
      </c>
      <c r="BJ37">
        <v>0</v>
      </c>
      <c r="BK37">
        <v>0</v>
      </c>
      <c r="BM37" s="10" t="s">
        <v>162</v>
      </c>
      <c r="BN37" s="10">
        <v>101</v>
      </c>
      <c r="BO37">
        <v>1995</v>
      </c>
      <c r="BP37">
        <v>4</v>
      </c>
      <c r="BQ37">
        <f t="shared" si="3"/>
        <v>4.7180000000000035</v>
      </c>
      <c r="BR37">
        <v>56.609000000000002</v>
      </c>
      <c r="BS37">
        <v>104.718</v>
      </c>
      <c r="BU37" s="10" t="s">
        <v>162</v>
      </c>
      <c r="BV37" s="10">
        <v>101</v>
      </c>
      <c r="BW37">
        <v>1990</v>
      </c>
      <c r="BX37">
        <v>1</v>
      </c>
      <c r="BY37">
        <f t="shared" si="4"/>
        <v>10.251000000000005</v>
      </c>
      <c r="BZ37">
        <v>56.844000000000001</v>
      </c>
      <c r="CA37">
        <v>110.251</v>
      </c>
      <c r="CC37">
        <v>1995</v>
      </c>
      <c r="CD37">
        <v>4</v>
      </c>
      <c r="CE37">
        <f t="shared" si="5"/>
        <v>4.8179999999999978</v>
      </c>
      <c r="CF37">
        <v>56.579000000000001</v>
      </c>
      <c r="CG37">
        <v>104.818</v>
      </c>
      <c r="CI37">
        <v>1990</v>
      </c>
      <c r="CJ37">
        <v>1</v>
      </c>
      <c r="CK37">
        <f t="shared" si="6"/>
        <v>10.191000000000003</v>
      </c>
      <c r="CL37">
        <v>56.814</v>
      </c>
      <c r="CM37">
        <v>110.191</v>
      </c>
    </row>
    <row r="38" spans="1:91" x14ac:dyDescent="0.2">
      <c r="A38">
        <v>1998</v>
      </c>
      <c r="B38">
        <v>1</v>
      </c>
      <c r="C38">
        <v>38.152000000000001</v>
      </c>
      <c r="E38">
        <v>1992</v>
      </c>
      <c r="F38">
        <v>3</v>
      </c>
      <c r="G38">
        <v>40.357999999999997</v>
      </c>
      <c r="I38">
        <v>1998</v>
      </c>
      <c r="J38">
        <v>1</v>
      </c>
      <c r="K38">
        <v>33.579000000000001</v>
      </c>
      <c r="P38">
        <v>1998</v>
      </c>
      <c r="Q38">
        <v>1</v>
      </c>
      <c r="R38">
        <v>30.024999999999999</v>
      </c>
      <c r="U38">
        <f t="shared" si="0"/>
        <v>36.003999999999998</v>
      </c>
      <c r="W38" s="10" t="s">
        <v>162</v>
      </c>
      <c r="X38">
        <v>18</v>
      </c>
      <c r="Y38">
        <v>1998</v>
      </c>
      <c r="Z38">
        <v>1</v>
      </c>
      <c r="AA38">
        <v>31.673999999999999</v>
      </c>
      <c r="AB38">
        <v>1</v>
      </c>
      <c r="AC38">
        <v>57</v>
      </c>
      <c r="AE38" s="10" t="s">
        <v>162</v>
      </c>
      <c r="AF38">
        <v>18</v>
      </c>
      <c r="AG38">
        <v>1992</v>
      </c>
      <c r="AH38">
        <v>3</v>
      </c>
      <c r="AI38">
        <v>36.69</v>
      </c>
      <c r="AJ38">
        <v>1</v>
      </c>
      <c r="AK38">
        <v>60</v>
      </c>
      <c r="AM38">
        <v>2008</v>
      </c>
      <c r="AN38">
        <v>1</v>
      </c>
      <c r="AO38">
        <v>103.996</v>
      </c>
      <c r="AP38">
        <f t="shared" si="1"/>
        <v>3.9959999999999951</v>
      </c>
      <c r="AQ38">
        <v>2</v>
      </c>
      <c r="AR38">
        <v>87</v>
      </c>
      <c r="AT38">
        <v>2002</v>
      </c>
      <c r="AU38">
        <v>2</v>
      </c>
      <c r="AV38">
        <v>89.055000000000007</v>
      </c>
      <c r="AW38">
        <f t="shared" si="2"/>
        <v>-10.944999999999993</v>
      </c>
      <c r="AX38">
        <v>1</v>
      </c>
      <c r="AY38">
        <v>92</v>
      </c>
      <c r="BA38">
        <v>2008</v>
      </c>
      <c r="BB38">
        <v>1</v>
      </c>
      <c r="BC38">
        <v>53.363999999999997</v>
      </c>
      <c r="BD38">
        <v>2</v>
      </c>
      <c r="BE38">
        <v>87</v>
      </c>
      <c r="BG38">
        <v>2002</v>
      </c>
      <c r="BH38">
        <v>2</v>
      </c>
      <c r="BI38">
        <v>45.05</v>
      </c>
      <c r="BJ38">
        <v>1</v>
      </c>
      <c r="BK38">
        <v>92</v>
      </c>
      <c r="BM38" s="10" t="s">
        <v>162</v>
      </c>
      <c r="BN38" s="10">
        <v>101</v>
      </c>
      <c r="BO38">
        <v>1996</v>
      </c>
      <c r="BP38">
        <v>1</v>
      </c>
      <c r="BQ38">
        <f t="shared" si="3"/>
        <v>3.3460000000000036</v>
      </c>
      <c r="BR38">
        <v>54.837000000000003</v>
      </c>
      <c r="BS38">
        <v>103.346</v>
      </c>
      <c r="BU38" s="10" t="s">
        <v>162</v>
      </c>
      <c r="BV38" s="10">
        <v>101</v>
      </c>
      <c r="BW38">
        <v>1990</v>
      </c>
      <c r="BX38">
        <v>2</v>
      </c>
      <c r="BY38">
        <f t="shared" si="4"/>
        <v>10.442999999999998</v>
      </c>
      <c r="BZ38">
        <v>56.948</v>
      </c>
      <c r="CA38">
        <v>110.443</v>
      </c>
      <c r="CC38">
        <v>1996</v>
      </c>
      <c r="CD38">
        <v>1</v>
      </c>
      <c r="CE38">
        <f t="shared" si="5"/>
        <v>3.4470000000000027</v>
      </c>
      <c r="CF38">
        <v>54.808</v>
      </c>
      <c r="CG38">
        <v>103.447</v>
      </c>
      <c r="CI38">
        <v>1990</v>
      </c>
      <c r="CJ38">
        <v>2</v>
      </c>
      <c r="CK38">
        <f t="shared" si="6"/>
        <v>10.382000000000005</v>
      </c>
      <c r="CL38">
        <v>56.917999999999999</v>
      </c>
      <c r="CM38">
        <v>110.38200000000001</v>
      </c>
    </row>
    <row r="39" spans="1:91" x14ac:dyDescent="0.2">
      <c r="A39">
        <v>1998</v>
      </c>
      <c r="B39">
        <v>2</v>
      </c>
      <c r="C39">
        <v>36.472999999999999</v>
      </c>
      <c r="E39">
        <v>1992</v>
      </c>
      <c r="F39">
        <v>4</v>
      </c>
      <c r="G39">
        <v>38.314</v>
      </c>
      <c r="I39">
        <v>1998</v>
      </c>
      <c r="J39">
        <v>2</v>
      </c>
      <c r="K39">
        <v>33.292000000000002</v>
      </c>
      <c r="P39">
        <v>1998</v>
      </c>
      <c r="Q39">
        <v>2</v>
      </c>
      <c r="R39">
        <v>27.571000000000002</v>
      </c>
      <c r="U39">
        <f t="shared" si="0"/>
        <v>33.550000000000004</v>
      </c>
      <c r="W39" s="10" t="s">
        <v>162</v>
      </c>
      <c r="X39">
        <v>18</v>
      </c>
      <c r="Y39">
        <v>1998</v>
      </c>
      <c r="Z39">
        <v>2</v>
      </c>
      <c r="AA39">
        <v>27.49</v>
      </c>
      <c r="AB39">
        <v>1</v>
      </c>
      <c r="AC39">
        <v>57</v>
      </c>
      <c r="AE39" s="10" t="s">
        <v>162</v>
      </c>
      <c r="AF39">
        <v>18</v>
      </c>
      <c r="AG39">
        <v>1992</v>
      </c>
      <c r="AH39">
        <v>4</v>
      </c>
      <c r="AI39">
        <v>34.405000000000001</v>
      </c>
      <c r="AJ39">
        <v>0</v>
      </c>
      <c r="AK39">
        <v>0</v>
      </c>
      <c r="AM39">
        <v>2008</v>
      </c>
      <c r="AN39">
        <v>2</v>
      </c>
      <c r="AO39">
        <v>105.92100000000001</v>
      </c>
      <c r="AP39">
        <f t="shared" si="1"/>
        <v>5.9210000000000065</v>
      </c>
      <c r="AQ39">
        <v>3</v>
      </c>
      <c r="AR39">
        <v>97</v>
      </c>
      <c r="AT39">
        <v>2002</v>
      </c>
      <c r="AU39">
        <v>3</v>
      </c>
      <c r="AV39">
        <v>90.73</v>
      </c>
      <c r="AW39">
        <f t="shared" si="2"/>
        <v>-9.269999999999996</v>
      </c>
      <c r="AX39">
        <v>1</v>
      </c>
      <c r="AY39">
        <v>39</v>
      </c>
      <c r="BA39">
        <v>2008</v>
      </c>
      <c r="BB39">
        <v>2</v>
      </c>
      <c r="BC39">
        <v>54.506999999999998</v>
      </c>
      <c r="BD39">
        <v>3</v>
      </c>
      <c r="BE39">
        <v>97</v>
      </c>
      <c r="BG39">
        <v>2002</v>
      </c>
      <c r="BH39">
        <v>3</v>
      </c>
      <c r="BI39">
        <v>45.844000000000001</v>
      </c>
      <c r="BJ39">
        <v>1</v>
      </c>
      <c r="BK39">
        <v>39</v>
      </c>
      <c r="BM39" s="10" t="s">
        <v>162</v>
      </c>
      <c r="BN39" s="10">
        <v>101</v>
      </c>
      <c r="BO39">
        <v>1996</v>
      </c>
      <c r="BP39">
        <v>2</v>
      </c>
      <c r="BQ39">
        <f t="shared" si="3"/>
        <v>2.6500000000000057</v>
      </c>
      <c r="BR39">
        <v>53.935000000000002</v>
      </c>
      <c r="BS39">
        <v>102.65</v>
      </c>
      <c r="BU39" s="10" t="s">
        <v>162</v>
      </c>
      <c r="BV39" s="10">
        <v>101</v>
      </c>
      <c r="BW39">
        <v>1990</v>
      </c>
      <c r="BX39">
        <v>3</v>
      </c>
      <c r="BY39">
        <f t="shared" si="4"/>
        <v>10.516999999999996</v>
      </c>
      <c r="BZ39">
        <v>57.003999999999998</v>
      </c>
      <c r="CA39">
        <v>110.517</v>
      </c>
      <c r="CC39">
        <v>1996</v>
      </c>
      <c r="CD39">
        <v>2</v>
      </c>
      <c r="CE39">
        <f t="shared" si="5"/>
        <v>2.75</v>
      </c>
      <c r="CF39">
        <v>53.905000000000001</v>
      </c>
      <c r="CG39">
        <v>102.75</v>
      </c>
      <c r="CI39">
        <v>1990</v>
      </c>
      <c r="CJ39">
        <v>3</v>
      </c>
      <c r="CK39">
        <f t="shared" si="6"/>
        <v>10.456000000000003</v>
      </c>
      <c r="CL39">
        <v>56.975000000000001</v>
      </c>
      <c r="CM39">
        <v>110.456</v>
      </c>
    </row>
    <row r="40" spans="1:91" x14ac:dyDescent="0.2">
      <c r="A40">
        <v>1998</v>
      </c>
      <c r="B40">
        <v>3</v>
      </c>
      <c r="C40">
        <v>53.12</v>
      </c>
      <c r="E40">
        <v>1992</v>
      </c>
      <c r="F40">
        <v>5</v>
      </c>
      <c r="G40">
        <v>38.283999999999999</v>
      </c>
      <c r="I40">
        <v>1998</v>
      </c>
      <c r="J40">
        <v>3</v>
      </c>
      <c r="K40">
        <v>48.381</v>
      </c>
      <c r="P40">
        <v>1998</v>
      </c>
      <c r="Q40">
        <v>3</v>
      </c>
      <c r="R40">
        <v>46.341000000000001</v>
      </c>
      <c r="U40">
        <f t="shared" si="0"/>
        <v>52.32</v>
      </c>
      <c r="W40" s="10" t="s">
        <v>162</v>
      </c>
      <c r="X40">
        <v>18</v>
      </c>
      <c r="Y40">
        <v>1998</v>
      </c>
      <c r="Z40">
        <v>3</v>
      </c>
      <c r="AA40">
        <v>46.255000000000003</v>
      </c>
      <c r="AB40">
        <v>0</v>
      </c>
      <c r="AC40">
        <v>0</v>
      </c>
      <c r="AE40" s="10" t="s">
        <v>162</v>
      </c>
      <c r="AF40">
        <v>18</v>
      </c>
      <c r="AG40">
        <v>1992</v>
      </c>
      <c r="AH40">
        <v>5</v>
      </c>
      <c r="AI40">
        <v>33.792999999999999</v>
      </c>
      <c r="AJ40">
        <v>0</v>
      </c>
      <c r="AK40">
        <v>0</v>
      </c>
      <c r="AM40">
        <v>2008</v>
      </c>
      <c r="AN40">
        <v>3</v>
      </c>
      <c r="AO40">
        <v>106.724</v>
      </c>
      <c r="AP40">
        <f t="shared" si="1"/>
        <v>6.7240000000000038</v>
      </c>
      <c r="AQ40">
        <v>4</v>
      </c>
      <c r="AR40">
        <v>98</v>
      </c>
      <c r="AT40">
        <v>2002</v>
      </c>
      <c r="AU40">
        <v>4</v>
      </c>
      <c r="AV40">
        <v>94.088999999999999</v>
      </c>
      <c r="AW40">
        <f t="shared" si="2"/>
        <v>-5.9110000000000014</v>
      </c>
      <c r="AX40">
        <v>1</v>
      </c>
      <c r="AY40">
        <v>92</v>
      </c>
      <c r="BA40">
        <v>2008</v>
      </c>
      <c r="BB40">
        <v>3</v>
      </c>
      <c r="BC40">
        <v>54.759</v>
      </c>
      <c r="BD40">
        <v>4</v>
      </c>
      <c r="BE40">
        <v>98</v>
      </c>
      <c r="BG40">
        <v>2002</v>
      </c>
      <c r="BH40">
        <v>4</v>
      </c>
      <c r="BI40">
        <v>47.692999999999998</v>
      </c>
      <c r="BJ40">
        <v>1</v>
      </c>
      <c r="BK40">
        <v>92</v>
      </c>
      <c r="BM40" s="10" t="s">
        <v>162</v>
      </c>
      <c r="BN40" s="10">
        <v>101</v>
      </c>
      <c r="BO40">
        <v>1996</v>
      </c>
      <c r="BP40">
        <v>3</v>
      </c>
      <c r="BQ40">
        <f t="shared" si="3"/>
        <v>2.105000000000004</v>
      </c>
      <c r="BR40">
        <v>53.2</v>
      </c>
      <c r="BS40">
        <v>102.105</v>
      </c>
      <c r="BU40" s="10" t="s">
        <v>162</v>
      </c>
      <c r="BV40" s="10">
        <v>101</v>
      </c>
      <c r="BW40">
        <v>1990</v>
      </c>
      <c r="BX40">
        <v>4</v>
      </c>
      <c r="BY40">
        <f t="shared" si="4"/>
        <v>10.543999999999997</v>
      </c>
      <c r="BZ40">
        <v>57.033000000000001</v>
      </c>
      <c r="CA40">
        <v>110.544</v>
      </c>
      <c r="CC40">
        <v>1996</v>
      </c>
      <c r="CD40">
        <v>3</v>
      </c>
      <c r="CE40">
        <f t="shared" si="5"/>
        <v>2.2049999999999983</v>
      </c>
      <c r="CF40">
        <v>53.170999999999999</v>
      </c>
      <c r="CG40">
        <v>102.205</v>
      </c>
      <c r="CI40">
        <v>1990</v>
      </c>
      <c r="CJ40">
        <v>4</v>
      </c>
      <c r="CK40">
        <f t="shared" si="6"/>
        <v>10.483000000000004</v>
      </c>
      <c r="CL40">
        <v>57.003</v>
      </c>
      <c r="CM40">
        <v>110.483</v>
      </c>
    </row>
    <row r="41" spans="1:91" x14ac:dyDescent="0.2">
      <c r="A41">
        <v>1998</v>
      </c>
      <c r="B41">
        <v>4</v>
      </c>
      <c r="C41" s="7">
        <v>53.026000000000003</v>
      </c>
      <c r="E41">
        <v>1992</v>
      </c>
      <c r="F41">
        <v>6</v>
      </c>
      <c r="G41">
        <v>36.511000000000003</v>
      </c>
      <c r="I41">
        <v>1998</v>
      </c>
      <c r="J41">
        <v>4</v>
      </c>
      <c r="K41">
        <v>48.235999999999997</v>
      </c>
      <c r="P41">
        <v>1998</v>
      </c>
      <c r="Q41">
        <v>4</v>
      </c>
      <c r="R41">
        <v>46.284999999999997</v>
      </c>
      <c r="U41">
        <f t="shared" si="0"/>
        <v>52.263999999999996</v>
      </c>
      <c r="W41" s="10" t="s">
        <v>162</v>
      </c>
      <c r="X41">
        <v>18</v>
      </c>
      <c r="Y41">
        <v>1998</v>
      </c>
      <c r="Z41">
        <v>4</v>
      </c>
      <c r="AA41">
        <v>49.612000000000002</v>
      </c>
      <c r="AB41">
        <v>0</v>
      </c>
      <c r="AC41">
        <v>0</v>
      </c>
      <c r="AE41" s="10" t="s">
        <v>162</v>
      </c>
      <c r="AF41">
        <v>18</v>
      </c>
      <c r="AG41">
        <v>1992</v>
      </c>
      <c r="AH41">
        <v>6</v>
      </c>
      <c r="AI41">
        <v>32.584000000000003</v>
      </c>
      <c r="AJ41">
        <v>1</v>
      </c>
      <c r="AK41">
        <v>60</v>
      </c>
      <c r="AM41">
        <v>2008</v>
      </c>
      <c r="AN41">
        <v>4</v>
      </c>
      <c r="AO41">
        <v>108.137</v>
      </c>
      <c r="AP41">
        <f t="shared" si="1"/>
        <v>8.1370000000000005</v>
      </c>
      <c r="AQ41">
        <v>4</v>
      </c>
      <c r="AR41">
        <v>101</v>
      </c>
      <c r="AT41">
        <v>2002</v>
      </c>
      <c r="AU41">
        <v>5</v>
      </c>
      <c r="AV41">
        <v>92.870999999999995</v>
      </c>
      <c r="AW41">
        <f t="shared" si="2"/>
        <v>-7.1290000000000049</v>
      </c>
      <c r="AX41">
        <v>0</v>
      </c>
      <c r="AY41">
        <v>0</v>
      </c>
      <c r="BA41">
        <v>2008</v>
      </c>
      <c r="BB41">
        <v>4</v>
      </c>
      <c r="BC41">
        <v>55.72</v>
      </c>
      <c r="BD41">
        <v>4</v>
      </c>
      <c r="BE41">
        <v>101</v>
      </c>
      <c r="BG41">
        <v>2002</v>
      </c>
      <c r="BH41">
        <v>5</v>
      </c>
      <c r="BI41">
        <v>47.122</v>
      </c>
      <c r="BJ41">
        <v>0</v>
      </c>
      <c r="BK41">
        <v>0</v>
      </c>
      <c r="BM41" s="10" t="s">
        <v>162</v>
      </c>
      <c r="BN41" s="10">
        <v>101</v>
      </c>
      <c r="BO41">
        <v>1996</v>
      </c>
      <c r="BP41">
        <v>4</v>
      </c>
      <c r="BQ41">
        <f t="shared" si="3"/>
        <v>4.277000000000001</v>
      </c>
      <c r="BR41">
        <v>54.872</v>
      </c>
      <c r="BS41">
        <v>104.277</v>
      </c>
      <c r="BU41" s="10" t="s">
        <v>162</v>
      </c>
      <c r="BV41" s="10">
        <v>101</v>
      </c>
      <c r="BW41">
        <v>1990</v>
      </c>
      <c r="BX41">
        <v>5</v>
      </c>
      <c r="BY41">
        <f t="shared" si="4"/>
        <v>12.588999999999999</v>
      </c>
      <c r="BZ41">
        <v>57.872999999999998</v>
      </c>
      <c r="CA41">
        <v>112.589</v>
      </c>
      <c r="CC41">
        <v>1996</v>
      </c>
      <c r="CD41">
        <v>4</v>
      </c>
      <c r="CE41">
        <f t="shared" si="5"/>
        <v>4.3769999999999953</v>
      </c>
      <c r="CF41">
        <v>54.843000000000004</v>
      </c>
      <c r="CG41">
        <v>104.377</v>
      </c>
      <c r="CI41">
        <v>1990</v>
      </c>
      <c r="CJ41">
        <v>5</v>
      </c>
      <c r="CK41">
        <f t="shared" si="6"/>
        <v>12.522999999999996</v>
      </c>
      <c r="CL41">
        <v>57.841999999999999</v>
      </c>
      <c r="CM41">
        <v>112.523</v>
      </c>
    </row>
    <row r="42" spans="1:91" x14ac:dyDescent="0.2">
      <c r="A42">
        <v>1999</v>
      </c>
      <c r="B42">
        <v>1</v>
      </c>
      <c r="C42">
        <v>69.177999999999997</v>
      </c>
      <c r="E42">
        <v>1992</v>
      </c>
      <c r="F42">
        <v>7</v>
      </c>
      <c r="G42">
        <v>36.323999999999998</v>
      </c>
      <c r="I42">
        <v>1999</v>
      </c>
      <c r="J42">
        <v>1</v>
      </c>
      <c r="K42">
        <v>62.03</v>
      </c>
      <c r="P42">
        <v>1999</v>
      </c>
      <c r="Q42">
        <v>1</v>
      </c>
      <c r="R42">
        <v>61.741</v>
      </c>
      <c r="U42">
        <f t="shared" si="0"/>
        <v>67.72</v>
      </c>
      <c r="W42" s="10" t="s">
        <v>162</v>
      </c>
      <c r="X42">
        <v>18</v>
      </c>
      <c r="Y42">
        <v>1999</v>
      </c>
      <c r="Z42">
        <v>1</v>
      </c>
      <c r="AA42">
        <v>66.322000000000003</v>
      </c>
      <c r="AB42">
        <v>3</v>
      </c>
      <c r="AC42">
        <v>145</v>
      </c>
      <c r="AE42" s="10" t="s">
        <v>162</v>
      </c>
      <c r="AF42">
        <v>18</v>
      </c>
      <c r="AG42">
        <v>1992</v>
      </c>
      <c r="AH42">
        <v>7</v>
      </c>
      <c r="AI42">
        <v>31.992999999999999</v>
      </c>
      <c r="AJ42">
        <v>0</v>
      </c>
      <c r="AK42">
        <v>0</v>
      </c>
      <c r="AM42">
        <v>2009</v>
      </c>
      <c r="AN42">
        <v>1</v>
      </c>
      <c r="AO42">
        <v>108.187</v>
      </c>
      <c r="AP42">
        <f t="shared" si="1"/>
        <v>8.1869999999999976</v>
      </c>
      <c r="AQ42">
        <v>4</v>
      </c>
      <c r="AR42">
        <v>98</v>
      </c>
      <c r="AT42">
        <v>2002</v>
      </c>
      <c r="AU42">
        <v>6</v>
      </c>
      <c r="AV42">
        <v>90.587999999999994</v>
      </c>
      <c r="AW42">
        <f t="shared" si="2"/>
        <v>-9.4120000000000061</v>
      </c>
      <c r="AX42">
        <v>2</v>
      </c>
      <c r="AY42">
        <v>131</v>
      </c>
      <c r="BA42">
        <v>2009</v>
      </c>
      <c r="BB42">
        <v>1</v>
      </c>
      <c r="BC42">
        <v>55.755000000000003</v>
      </c>
      <c r="BD42">
        <v>4</v>
      </c>
      <c r="BE42">
        <v>98</v>
      </c>
      <c r="BG42">
        <v>2002</v>
      </c>
      <c r="BH42">
        <v>6</v>
      </c>
      <c r="BI42">
        <v>45.91</v>
      </c>
      <c r="BJ42">
        <v>2</v>
      </c>
      <c r="BK42">
        <v>131</v>
      </c>
      <c r="BM42" s="10" t="s">
        <v>162</v>
      </c>
      <c r="BN42" s="10">
        <v>101</v>
      </c>
      <c r="BO42">
        <v>1997</v>
      </c>
      <c r="BP42">
        <v>1</v>
      </c>
      <c r="BQ42">
        <f t="shared" si="3"/>
        <v>7.5849999999999937</v>
      </c>
      <c r="BR42">
        <v>57.301000000000002</v>
      </c>
      <c r="BS42">
        <v>107.58499999999999</v>
      </c>
      <c r="BU42" s="10" t="s">
        <v>162</v>
      </c>
      <c r="BV42" s="10">
        <v>101</v>
      </c>
      <c r="BW42">
        <v>1990</v>
      </c>
      <c r="BX42">
        <v>6</v>
      </c>
      <c r="BY42">
        <f t="shared" si="4"/>
        <v>11.941000000000003</v>
      </c>
      <c r="BZ42">
        <v>57.915999999999997</v>
      </c>
      <c r="CA42">
        <v>111.941</v>
      </c>
      <c r="CC42">
        <v>1997</v>
      </c>
      <c r="CD42">
        <v>1</v>
      </c>
      <c r="CE42">
        <f t="shared" si="5"/>
        <v>7.6850000000000023</v>
      </c>
      <c r="CF42">
        <v>57.271000000000001</v>
      </c>
      <c r="CG42">
        <v>107.685</v>
      </c>
      <c r="CI42">
        <v>1990</v>
      </c>
      <c r="CJ42">
        <v>6</v>
      </c>
      <c r="CK42">
        <f t="shared" si="6"/>
        <v>11.876999999999995</v>
      </c>
      <c r="CL42">
        <v>57.884999999999998</v>
      </c>
      <c r="CM42">
        <v>111.877</v>
      </c>
    </row>
    <row r="43" spans="1:91" x14ac:dyDescent="0.2">
      <c r="A43">
        <v>1999</v>
      </c>
      <c r="B43">
        <v>2</v>
      </c>
      <c r="C43">
        <v>70.195999999999998</v>
      </c>
      <c r="E43">
        <v>1992</v>
      </c>
      <c r="F43">
        <v>8</v>
      </c>
      <c r="G43">
        <v>36.32</v>
      </c>
      <c r="I43">
        <v>1999</v>
      </c>
      <c r="J43">
        <v>2</v>
      </c>
      <c r="K43">
        <v>63.368000000000002</v>
      </c>
      <c r="P43">
        <v>1999</v>
      </c>
      <c r="Q43">
        <v>2</v>
      </c>
      <c r="R43">
        <v>60.817999999999998</v>
      </c>
      <c r="U43">
        <f t="shared" si="0"/>
        <v>66.796999999999997</v>
      </c>
      <c r="W43" s="10" t="s">
        <v>162</v>
      </c>
      <c r="X43">
        <v>18</v>
      </c>
      <c r="Y43">
        <v>1999</v>
      </c>
      <c r="Z43">
        <v>2</v>
      </c>
      <c r="AA43">
        <v>66.019000000000005</v>
      </c>
      <c r="AB43">
        <v>2</v>
      </c>
      <c r="AC43">
        <v>97</v>
      </c>
      <c r="AE43" s="10" t="s">
        <v>162</v>
      </c>
      <c r="AF43">
        <v>18</v>
      </c>
      <c r="AG43">
        <v>1992</v>
      </c>
      <c r="AH43">
        <v>8</v>
      </c>
      <c r="AI43">
        <v>31.699000000000002</v>
      </c>
      <c r="AJ43">
        <v>0</v>
      </c>
      <c r="AK43">
        <v>0</v>
      </c>
      <c r="AM43">
        <v>2009</v>
      </c>
      <c r="AN43">
        <v>2</v>
      </c>
      <c r="AO43">
        <v>105.001</v>
      </c>
      <c r="AP43">
        <f t="shared" si="1"/>
        <v>5.0010000000000048</v>
      </c>
      <c r="AQ43">
        <v>2</v>
      </c>
      <c r="AR43">
        <v>87</v>
      </c>
      <c r="AT43">
        <v>2002</v>
      </c>
      <c r="AU43">
        <v>7</v>
      </c>
      <c r="AV43">
        <v>91.783000000000001</v>
      </c>
      <c r="AW43">
        <f t="shared" si="2"/>
        <v>-8.2169999999999987</v>
      </c>
      <c r="AX43">
        <v>0</v>
      </c>
      <c r="AY43">
        <v>0</v>
      </c>
      <c r="BA43">
        <v>2009</v>
      </c>
      <c r="BB43">
        <v>2</v>
      </c>
      <c r="BC43">
        <v>53.87</v>
      </c>
      <c r="BD43">
        <v>2</v>
      </c>
      <c r="BE43">
        <v>87</v>
      </c>
      <c r="BG43">
        <v>2002</v>
      </c>
      <c r="BH43">
        <v>7</v>
      </c>
      <c r="BI43">
        <v>46.448</v>
      </c>
      <c r="BJ43">
        <v>0</v>
      </c>
      <c r="BK43">
        <v>0</v>
      </c>
      <c r="BM43" s="10" t="s">
        <v>162</v>
      </c>
      <c r="BN43" s="10">
        <v>101</v>
      </c>
      <c r="BO43">
        <v>1997</v>
      </c>
      <c r="BP43">
        <v>2</v>
      </c>
      <c r="BQ43">
        <f t="shared" si="3"/>
        <v>7.4719999999999942</v>
      </c>
      <c r="BR43">
        <v>57.643000000000001</v>
      </c>
      <c r="BS43">
        <v>107.47199999999999</v>
      </c>
      <c r="BU43" s="10" t="s">
        <v>162</v>
      </c>
      <c r="BV43" s="10">
        <v>101</v>
      </c>
      <c r="BW43">
        <v>1990</v>
      </c>
      <c r="BX43">
        <v>7</v>
      </c>
      <c r="BY43">
        <f t="shared" si="4"/>
        <v>11.638000000000005</v>
      </c>
      <c r="BZ43">
        <v>57.889000000000003</v>
      </c>
      <c r="CA43">
        <v>111.63800000000001</v>
      </c>
      <c r="CC43">
        <v>1997</v>
      </c>
      <c r="CD43">
        <v>2</v>
      </c>
      <c r="CE43">
        <f t="shared" si="5"/>
        <v>7.5720000000000027</v>
      </c>
      <c r="CF43">
        <v>57.613</v>
      </c>
      <c r="CG43">
        <v>107.572</v>
      </c>
      <c r="CI43">
        <v>1990</v>
      </c>
      <c r="CJ43">
        <v>7</v>
      </c>
      <c r="CK43">
        <f t="shared" si="6"/>
        <v>11.573999999999998</v>
      </c>
      <c r="CL43">
        <v>57.859000000000002</v>
      </c>
      <c r="CM43">
        <v>111.574</v>
      </c>
    </row>
    <row r="44" spans="1:91" x14ac:dyDescent="0.2">
      <c r="A44">
        <v>1999</v>
      </c>
      <c r="B44">
        <v>3</v>
      </c>
      <c r="C44">
        <v>72.150000000000006</v>
      </c>
      <c r="E44">
        <v>1992</v>
      </c>
      <c r="F44">
        <v>9</v>
      </c>
      <c r="G44">
        <v>36.731000000000002</v>
      </c>
      <c r="I44">
        <v>1999</v>
      </c>
      <c r="J44">
        <v>3</v>
      </c>
      <c r="K44">
        <v>65.075999999999993</v>
      </c>
      <c r="P44">
        <v>1999</v>
      </c>
      <c r="Q44">
        <v>3</v>
      </c>
      <c r="R44">
        <v>61.4</v>
      </c>
      <c r="U44">
        <f t="shared" si="0"/>
        <v>67.379000000000005</v>
      </c>
      <c r="W44" s="10" t="s">
        <v>162</v>
      </c>
      <c r="X44">
        <v>18</v>
      </c>
      <c r="Y44">
        <v>1999</v>
      </c>
      <c r="Z44">
        <v>3</v>
      </c>
      <c r="AA44">
        <v>66.349999999999994</v>
      </c>
      <c r="AB44">
        <v>1</v>
      </c>
      <c r="AC44">
        <v>57</v>
      </c>
      <c r="AE44" s="10" t="s">
        <v>162</v>
      </c>
      <c r="AF44">
        <v>18</v>
      </c>
      <c r="AG44">
        <v>1992</v>
      </c>
      <c r="AH44">
        <v>9</v>
      </c>
      <c r="AI44">
        <v>31.552</v>
      </c>
      <c r="AJ44">
        <v>1</v>
      </c>
      <c r="AK44">
        <v>60</v>
      </c>
      <c r="AM44">
        <v>2009</v>
      </c>
      <c r="AN44">
        <v>3</v>
      </c>
      <c r="AO44">
        <v>104.248</v>
      </c>
      <c r="AP44">
        <f t="shared" si="1"/>
        <v>4.2480000000000047</v>
      </c>
      <c r="AQ44">
        <v>4</v>
      </c>
      <c r="AR44">
        <v>101</v>
      </c>
      <c r="AT44">
        <v>2002</v>
      </c>
      <c r="AU44">
        <v>8</v>
      </c>
      <c r="AV44">
        <v>92.305999999999997</v>
      </c>
      <c r="AW44">
        <f t="shared" si="2"/>
        <v>-7.6940000000000026</v>
      </c>
      <c r="AX44">
        <v>0</v>
      </c>
      <c r="AY44">
        <v>0</v>
      </c>
      <c r="BA44">
        <v>2009</v>
      </c>
      <c r="BB44">
        <v>3</v>
      </c>
      <c r="BC44">
        <v>53.741999999999997</v>
      </c>
      <c r="BD44">
        <v>4</v>
      </c>
      <c r="BE44">
        <v>101</v>
      </c>
      <c r="BG44">
        <v>2002</v>
      </c>
      <c r="BH44">
        <v>8</v>
      </c>
      <c r="BI44">
        <v>46.704000000000001</v>
      </c>
      <c r="BJ44">
        <v>0</v>
      </c>
      <c r="BK44">
        <v>0</v>
      </c>
      <c r="BM44" s="10" t="s">
        <v>162</v>
      </c>
      <c r="BN44" s="10">
        <v>101</v>
      </c>
      <c r="BO44">
        <v>1997</v>
      </c>
      <c r="BP44">
        <v>3</v>
      </c>
      <c r="BQ44">
        <f t="shared" si="3"/>
        <v>6.1949999999999932</v>
      </c>
      <c r="BR44">
        <v>57.445</v>
      </c>
      <c r="BS44">
        <v>106.19499999999999</v>
      </c>
      <c r="BU44" s="10" t="s">
        <v>162</v>
      </c>
      <c r="BV44" s="10">
        <v>101</v>
      </c>
      <c r="BW44">
        <v>1990</v>
      </c>
      <c r="BX44">
        <v>8</v>
      </c>
      <c r="BY44">
        <f t="shared" si="4"/>
        <v>10.254000000000005</v>
      </c>
      <c r="BZ44">
        <v>57.643000000000001</v>
      </c>
      <c r="CA44">
        <v>110.254</v>
      </c>
      <c r="CC44">
        <v>1997</v>
      </c>
      <c r="CD44">
        <v>3</v>
      </c>
      <c r="CE44">
        <f t="shared" si="5"/>
        <v>6.2950000000000017</v>
      </c>
      <c r="CF44">
        <v>57.414000000000001</v>
      </c>
      <c r="CG44">
        <v>106.295</v>
      </c>
      <c r="CI44">
        <v>1990</v>
      </c>
      <c r="CJ44">
        <v>8</v>
      </c>
      <c r="CK44">
        <f t="shared" si="6"/>
        <v>10.192999999999998</v>
      </c>
      <c r="CL44">
        <v>57.613</v>
      </c>
      <c r="CM44">
        <v>110.193</v>
      </c>
    </row>
    <row r="45" spans="1:91" x14ac:dyDescent="0.2">
      <c r="A45">
        <v>1999</v>
      </c>
      <c r="B45">
        <v>4</v>
      </c>
      <c r="C45">
        <v>69.337000000000003</v>
      </c>
      <c r="E45">
        <v>1992</v>
      </c>
      <c r="F45">
        <v>10</v>
      </c>
      <c r="G45">
        <v>48.198999999999998</v>
      </c>
      <c r="I45">
        <v>1999</v>
      </c>
      <c r="J45">
        <v>4</v>
      </c>
      <c r="K45">
        <v>62.585000000000001</v>
      </c>
      <c r="P45">
        <v>1999</v>
      </c>
      <c r="Q45">
        <v>4</v>
      </c>
      <c r="R45">
        <v>57.46</v>
      </c>
      <c r="U45">
        <f t="shared" si="0"/>
        <v>63.439</v>
      </c>
      <c r="W45" s="10" t="s">
        <v>162</v>
      </c>
      <c r="X45">
        <v>18</v>
      </c>
      <c r="Y45">
        <v>1999</v>
      </c>
      <c r="Z45">
        <v>4</v>
      </c>
      <c r="AA45">
        <v>62.531999999999996</v>
      </c>
      <c r="AB45">
        <v>1</v>
      </c>
      <c r="AC45">
        <v>40</v>
      </c>
      <c r="AE45" s="10" t="s">
        <v>162</v>
      </c>
      <c r="AF45">
        <v>18</v>
      </c>
      <c r="AG45">
        <v>1992</v>
      </c>
      <c r="AH45">
        <v>10</v>
      </c>
      <c r="AI45">
        <v>41.354999999999997</v>
      </c>
      <c r="AJ45">
        <v>0</v>
      </c>
      <c r="AK45">
        <v>0</v>
      </c>
      <c r="AM45">
        <v>2009</v>
      </c>
      <c r="AN45">
        <v>4</v>
      </c>
      <c r="AO45">
        <v>101.334</v>
      </c>
      <c r="AP45">
        <f t="shared" si="1"/>
        <v>1.3340000000000032</v>
      </c>
      <c r="AQ45">
        <v>4</v>
      </c>
      <c r="AR45">
        <v>101</v>
      </c>
      <c r="AT45">
        <v>2002</v>
      </c>
      <c r="AU45">
        <v>9</v>
      </c>
      <c r="AV45">
        <v>93.477000000000004</v>
      </c>
      <c r="AW45">
        <f t="shared" si="2"/>
        <v>-6.5229999999999961</v>
      </c>
      <c r="AX45">
        <v>1</v>
      </c>
      <c r="AY45">
        <v>39</v>
      </c>
      <c r="BA45">
        <v>2009</v>
      </c>
      <c r="BB45">
        <v>4</v>
      </c>
      <c r="BC45">
        <v>52.075000000000003</v>
      </c>
      <c r="BD45">
        <v>4</v>
      </c>
      <c r="BE45">
        <v>101</v>
      </c>
      <c r="BG45">
        <v>2002</v>
      </c>
      <c r="BH45">
        <v>9</v>
      </c>
      <c r="BI45">
        <v>47.259</v>
      </c>
      <c r="BJ45">
        <v>1</v>
      </c>
      <c r="BK45">
        <v>39</v>
      </c>
      <c r="BM45" s="10" t="s">
        <v>162</v>
      </c>
      <c r="BN45" s="10">
        <v>101</v>
      </c>
      <c r="BO45">
        <v>1997</v>
      </c>
      <c r="BP45">
        <v>4</v>
      </c>
      <c r="BQ45">
        <f t="shared" si="3"/>
        <v>4.2129999999999939</v>
      </c>
      <c r="BR45">
        <v>55.71</v>
      </c>
      <c r="BS45">
        <v>104.21299999999999</v>
      </c>
      <c r="BU45" s="10" t="s">
        <v>162</v>
      </c>
      <c r="BV45" s="10">
        <v>101</v>
      </c>
      <c r="BW45">
        <v>1990</v>
      </c>
      <c r="BX45">
        <v>9</v>
      </c>
      <c r="BY45">
        <f t="shared" si="4"/>
        <v>10.617999999999995</v>
      </c>
      <c r="BZ45">
        <v>57.676000000000002</v>
      </c>
      <c r="CA45">
        <v>110.61799999999999</v>
      </c>
      <c r="CC45">
        <v>1997</v>
      </c>
      <c r="CD45">
        <v>4</v>
      </c>
      <c r="CE45">
        <f t="shared" si="5"/>
        <v>4.313999999999993</v>
      </c>
      <c r="CF45">
        <v>55.68</v>
      </c>
      <c r="CG45">
        <v>104.31399999999999</v>
      </c>
      <c r="CI45">
        <v>1990</v>
      </c>
      <c r="CJ45">
        <v>9</v>
      </c>
      <c r="CK45">
        <f t="shared" si="6"/>
        <v>10.557000000000002</v>
      </c>
      <c r="CL45">
        <v>57.646000000000001</v>
      </c>
      <c r="CM45">
        <v>110.557</v>
      </c>
    </row>
    <row r="46" spans="1:91" x14ac:dyDescent="0.2">
      <c r="A46">
        <v>2000</v>
      </c>
      <c r="B46">
        <v>1</v>
      </c>
      <c r="C46">
        <v>66.176000000000002</v>
      </c>
      <c r="E46">
        <v>1992</v>
      </c>
      <c r="F46">
        <v>11</v>
      </c>
      <c r="G46">
        <v>48.198999999999998</v>
      </c>
      <c r="I46">
        <v>2000</v>
      </c>
      <c r="J46">
        <v>1</v>
      </c>
      <c r="K46">
        <v>59.837000000000003</v>
      </c>
      <c r="P46">
        <v>2000</v>
      </c>
      <c r="Q46">
        <v>1</v>
      </c>
      <c r="R46">
        <v>56.723999999999997</v>
      </c>
      <c r="U46">
        <f t="shared" si="0"/>
        <v>62.702999999999996</v>
      </c>
      <c r="W46" s="10" t="s">
        <v>162</v>
      </c>
      <c r="X46">
        <v>18</v>
      </c>
      <c r="Y46">
        <v>2000</v>
      </c>
      <c r="Z46">
        <v>1</v>
      </c>
      <c r="AA46">
        <v>62.088999999999999</v>
      </c>
      <c r="AB46">
        <v>2</v>
      </c>
      <c r="AC46">
        <v>105</v>
      </c>
      <c r="AE46" s="10" t="s">
        <v>162</v>
      </c>
      <c r="AF46">
        <v>18</v>
      </c>
      <c r="AG46">
        <v>1992</v>
      </c>
      <c r="AH46">
        <v>11</v>
      </c>
      <c r="AI46">
        <v>42.832999999999998</v>
      </c>
      <c r="AJ46">
        <v>0</v>
      </c>
      <c r="AK46">
        <v>0</v>
      </c>
      <c r="AM46">
        <v>2010</v>
      </c>
      <c r="AN46">
        <v>1</v>
      </c>
      <c r="AO46">
        <v>96.272000000000006</v>
      </c>
      <c r="AP46">
        <f t="shared" si="1"/>
        <v>-3.7279999999999944</v>
      </c>
      <c r="AQ46">
        <v>5</v>
      </c>
      <c r="AR46">
        <v>104</v>
      </c>
      <c r="AT46">
        <v>2002</v>
      </c>
      <c r="AU46">
        <v>10</v>
      </c>
      <c r="AV46">
        <v>91.375</v>
      </c>
      <c r="AW46">
        <f t="shared" si="2"/>
        <v>-8.625</v>
      </c>
      <c r="AX46">
        <v>0</v>
      </c>
      <c r="AY46">
        <v>0</v>
      </c>
      <c r="BA46">
        <v>2010</v>
      </c>
      <c r="BB46">
        <v>1</v>
      </c>
      <c r="BC46">
        <v>49.271999999999998</v>
      </c>
      <c r="BD46">
        <v>5</v>
      </c>
      <c r="BE46">
        <v>104</v>
      </c>
      <c r="BG46">
        <v>2002</v>
      </c>
      <c r="BH46">
        <v>10</v>
      </c>
      <c r="BI46">
        <v>46.231999999999999</v>
      </c>
      <c r="BJ46">
        <v>0</v>
      </c>
      <c r="BK46">
        <v>0</v>
      </c>
      <c r="BM46" s="10" t="s">
        <v>162</v>
      </c>
      <c r="BN46" s="10">
        <v>101</v>
      </c>
      <c r="BO46">
        <v>1998</v>
      </c>
      <c r="BP46">
        <v>1</v>
      </c>
      <c r="BQ46">
        <f t="shared" si="3"/>
        <v>7.1659999999999968</v>
      </c>
      <c r="BR46">
        <v>58.661000000000001</v>
      </c>
      <c r="BS46">
        <v>107.166</v>
      </c>
      <c r="BU46" s="10" t="s">
        <v>162</v>
      </c>
      <c r="BV46" s="10">
        <v>101</v>
      </c>
      <c r="BW46">
        <v>1990</v>
      </c>
      <c r="BX46">
        <v>10</v>
      </c>
      <c r="BY46">
        <f t="shared" si="4"/>
        <v>11.584999999999994</v>
      </c>
      <c r="BZ46">
        <v>57.844000000000001</v>
      </c>
      <c r="CA46">
        <v>111.58499999999999</v>
      </c>
      <c r="CC46">
        <v>1998</v>
      </c>
      <c r="CD46">
        <v>1</v>
      </c>
      <c r="CE46">
        <f t="shared" si="5"/>
        <v>7.2669999999999959</v>
      </c>
      <c r="CF46">
        <v>58.63</v>
      </c>
      <c r="CG46">
        <v>107.267</v>
      </c>
      <c r="CI46">
        <v>1990</v>
      </c>
      <c r="CJ46">
        <v>10</v>
      </c>
      <c r="CK46">
        <f t="shared" si="6"/>
        <v>11.521000000000001</v>
      </c>
      <c r="CL46">
        <v>57.813000000000002</v>
      </c>
      <c r="CM46">
        <v>111.521</v>
      </c>
    </row>
    <row r="47" spans="1:91" x14ac:dyDescent="0.2">
      <c r="A47">
        <v>2000</v>
      </c>
      <c r="B47">
        <v>2</v>
      </c>
      <c r="C47">
        <v>61.14</v>
      </c>
      <c r="E47">
        <v>1992</v>
      </c>
      <c r="F47">
        <v>12</v>
      </c>
      <c r="G47">
        <v>48.198999999999998</v>
      </c>
      <c r="I47">
        <v>2000</v>
      </c>
      <c r="J47">
        <v>2</v>
      </c>
      <c r="K47">
        <v>55.743000000000002</v>
      </c>
      <c r="P47">
        <v>2000</v>
      </c>
      <c r="Q47">
        <v>2</v>
      </c>
      <c r="R47">
        <v>51.058</v>
      </c>
      <c r="U47">
        <f t="shared" si="0"/>
        <v>57.036999999999999</v>
      </c>
      <c r="W47" s="10" t="s">
        <v>162</v>
      </c>
      <c r="X47">
        <v>18</v>
      </c>
      <c r="Y47">
        <v>2000</v>
      </c>
      <c r="Z47">
        <v>2</v>
      </c>
      <c r="AA47">
        <v>55.594000000000001</v>
      </c>
      <c r="AB47">
        <v>3</v>
      </c>
      <c r="AC47">
        <v>145</v>
      </c>
      <c r="AE47" s="10" t="s">
        <v>162</v>
      </c>
      <c r="AF47">
        <v>18</v>
      </c>
      <c r="AG47">
        <v>1992</v>
      </c>
      <c r="AH47">
        <v>12</v>
      </c>
      <c r="AI47">
        <v>43.045999999999999</v>
      </c>
      <c r="AJ47">
        <v>0</v>
      </c>
      <c r="AK47">
        <v>0</v>
      </c>
      <c r="AM47">
        <v>2010</v>
      </c>
      <c r="AN47">
        <v>2</v>
      </c>
      <c r="AO47">
        <v>98.56</v>
      </c>
      <c r="AP47">
        <f t="shared" si="1"/>
        <v>-1.4399999999999977</v>
      </c>
      <c r="AQ47">
        <v>5</v>
      </c>
      <c r="AR47">
        <v>69</v>
      </c>
      <c r="AT47">
        <v>2002</v>
      </c>
      <c r="AU47">
        <v>11</v>
      </c>
      <c r="AV47">
        <v>88.084000000000003</v>
      </c>
      <c r="AW47">
        <f t="shared" si="2"/>
        <v>-11.915999999999997</v>
      </c>
      <c r="AX47">
        <v>1</v>
      </c>
      <c r="AY47">
        <v>92</v>
      </c>
      <c r="BA47">
        <v>2010</v>
      </c>
      <c r="BB47">
        <v>2</v>
      </c>
      <c r="BC47">
        <v>50.137999999999998</v>
      </c>
      <c r="BD47">
        <v>5</v>
      </c>
      <c r="BE47">
        <v>69</v>
      </c>
      <c r="BG47">
        <v>2002</v>
      </c>
      <c r="BH47">
        <v>11</v>
      </c>
      <c r="BI47">
        <v>44.588000000000001</v>
      </c>
      <c r="BJ47">
        <v>1</v>
      </c>
      <c r="BK47">
        <v>92</v>
      </c>
      <c r="BM47" s="10" t="s">
        <v>162</v>
      </c>
      <c r="BN47" s="10">
        <v>101</v>
      </c>
      <c r="BO47">
        <v>1998</v>
      </c>
      <c r="BP47">
        <v>2</v>
      </c>
      <c r="BQ47">
        <f t="shared" si="3"/>
        <v>12.102000000000004</v>
      </c>
      <c r="BR47">
        <v>63.084000000000003</v>
      </c>
      <c r="BS47">
        <v>112.102</v>
      </c>
      <c r="BU47" s="10" t="s">
        <v>162</v>
      </c>
      <c r="BV47" s="10">
        <v>101</v>
      </c>
      <c r="BW47">
        <v>1990</v>
      </c>
      <c r="BX47">
        <v>11</v>
      </c>
      <c r="BY47">
        <f t="shared" si="4"/>
        <v>14.867999999999995</v>
      </c>
      <c r="BZ47">
        <v>59.417999999999999</v>
      </c>
      <c r="CA47">
        <v>114.86799999999999</v>
      </c>
      <c r="CC47">
        <v>1998</v>
      </c>
      <c r="CD47">
        <v>2</v>
      </c>
      <c r="CE47">
        <f t="shared" si="5"/>
        <v>12.203000000000003</v>
      </c>
      <c r="CF47">
        <v>63.051000000000002</v>
      </c>
      <c r="CG47">
        <v>112.203</v>
      </c>
      <c r="CI47">
        <v>1990</v>
      </c>
      <c r="CJ47">
        <v>11</v>
      </c>
      <c r="CK47">
        <f t="shared" si="6"/>
        <v>14.799999999999997</v>
      </c>
      <c r="CL47">
        <v>59.38</v>
      </c>
      <c r="CM47">
        <v>114.8</v>
      </c>
    </row>
    <row r="48" spans="1:91" x14ac:dyDescent="0.2">
      <c r="A48">
        <v>2000</v>
      </c>
      <c r="B48">
        <v>3</v>
      </c>
      <c r="C48">
        <v>65.498000000000005</v>
      </c>
      <c r="E48">
        <v>1993</v>
      </c>
      <c r="F48">
        <v>1</v>
      </c>
      <c r="G48">
        <v>48.198999999999998</v>
      </c>
      <c r="I48">
        <v>2000</v>
      </c>
      <c r="J48">
        <v>3</v>
      </c>
      <c r="K48">
        <v>60.69</v>
      </c>
      <c r="P48">
        <v>2000</v>
      </c>
      <c r="Q48">
        <v>3</v>
      </c>
      <c r="R48">
        <v>54.616</v>
      </c>
      <c r="U48">
        <f t="shared" si="0"/>
        <v>60.594999999999999</v>
      </c>
      <c r="W48" s="10" t="s">
        <v>162</v>
      </c>
      <c r="X48">
        <v>18</v>
      </c>
      <c r="Y48">
        <v>2000</v>
      </c>
      <c r="Z48">
        <v>3</v>
      </c>
      <c r="AA48">
        <v>57.889000000000003</v>
      </c>
      <c r="AB48">
        <v>2</v>
      </c>
      <c r="AC48">
        <v>97</v>
      </c>
      <c r="AE48" s="10" t="s">
        <v>162</v>
      </c>
      <c r="AF48">
        <v>18</v>
      </c>
      <c r="AG48">
        <v>1993</v>
      </c>
      <c r="AH48">
        <v>1</v>
      </c>
      <c r="AI48">
        <v>43.073</v>
      </c>
      <c r="AJ48">
        <v>0</v>
      </c>
      <c r="AK48">
        <v>0</v>
      </c>
      <c r="AM48">
        <v>2010</v>
      </c>
      <c r="AN48">
        <v>3</v>
      </c>
      <c r="AO48">
        <v>97.238</v>
      </c>
      <c r="AP48">
        <f t="shared" si="1"/>
        <v>-2.7620000000000005</v>
      </c>
      <c r="AQ48">
        <v>3</v>
      </c>
      <c r="AR48">
        <v>62</v>
      </c>
      <c r="AT48">
        <v>2002</v>
      </c>
      <c r="AU48">
        <v>12</v>
      </c>
      <c r="AV48">
        <v>92.418000000000006</v>
      </c>
      <c r="AW48">
        <f t="shared" si="2"/>
        <v>-7.5819999999999936</v>
      </c>
      <c r="AX48">
        <v>1</v>
      </c>
      <c r="AY48">
        <v>39</v>
      </c>
      <c r="BA48">
        <v>2010</v>
      </c>
      <c r="BB48">
        <v>3</v>
      </c>
      <c r="BC48">
        <v>49.518999999999998</v>
      </c>
      <c r="BD48">
        <v>3</v>
      </c>
      <c r="BE48">
        <v>62</v>
      </c>
      <c r="BG48">
        <v>2002</v>
      </c>
      <c r="BH48">
        <v>12</v>
      </c>
      <c r="BI48">
        <v>46.881</v>
      </c>
      <c r="BJ48">
        <v>1</v>
      </c>
      <c r="BK48">
        <v>39</v>
      </c>
      <c r="BM48" s="10" t="s">
        <v>162</v>
      </c>
      <c r="BN48" s="10">
        <v>101</v>
      </c>
      <c r="BO48">
        <v>1998</v>
      </c>
      <c r="BP48">
        <v>3</v>
      </c>
      <c r="BQ48">
        <f t="shared" si="3"/>
        <v>13.117000000000004</v>
      </c>
      <c r="BR48">
        <v>63.829000000000001</v>
      </c>
      <c r="BS48">
        <v>113.117</v>
      </c>
      <c r="BU48" s="10" t="s">
        <v>162</v>
      </c>
      <c r="BV48" s="10">
        <v>101</v>
      </c>
      <c r="BW48">
        <v>1990</v>
      </c>
      <c r="BX48">
        <v>12</v>
      </c>
      <c r="BY48">
        <f t="shared" si="4"/>
        <v>16.058000000000007</v>
      </c>
      <c r="BZ48">
        <v>60.164999999999999</v>
      </c>
      <c r="CA48">
        <v>116.05800000000001</v>
      </c>
      <c r="CC48">
        <v>1998</v>
      </c>
      <c r="CD48">
        <v>3</v>
      </c>
      <c r="CE48">
        <f t="shared" si="5"/>
        <v>13.216999999999999</v>
      </c>
      <c r="CF48">
        <v>63.795000000000002</v>
      </c>
      <c r="CG48">
        <v>113.217</v>
      </c>
      <c r="CI48">
        <v>1990</v>
      </c>
      <c r="CJ48">
        <v>12</v>
      </c>
      <c r="CK48">
        <f t="shared" si="6"/>
        <v>15.988</v>
      </c>
      <c r="CL48">
        <v>60.127000000000002</v>
      </c>
      <c r="CM48">
        <v>115.988</v>
      </c>
    </row>
    <row r="49" spans="1:91" x14ac:dyDescent="0.2">
      <c r="A49">
        <v>2000</v>
      </c>
      <c r="B49">
        <v>4</v>
      </c>
      <c r="C49">
        <v>64.254999999999995</v>
      </c>
      <c r="E49">
        <v>1993</v>
      </c>
      <c r="F49">
        <v>2</v>
      </c>
      <c r="G49">
        <v>48.198999999999998</v>
      </c>
      <c r="I49">
        <v>2000</v>
      </c>
      <c r="J49">
        <v>4</v>
      </c>
      <c r="K49">
        <v>65.509</v>
      </c>
      <c r="P49">
        <v>2000</v>
      </c>
      <c r="Q49">
        <v>4</v>
      </c>
      <c r="R49">
        <v>61.484000000000002</v>
      </c>
      <c r="U49">
        <f t="shared" si="0"/>
        <v>67.463000000000008</v>
      </c>
      <c r="W49" s="10" t="s">
        <v>162</v>
      </c>
      <c r="X49">
        <v>18</v>
      </c>
      <c r="Y49">
        <v>2000</v>
      </c>
      <c r="Z49">
        <v>4</v>
      </c>
      <c r="AA49">
        <v>53.850999999999999</v>
      </c>
      <c r="AB49">
        <v>1</v>
      </c>
      <c r="AC49">
        <v>11</v>
      </c>
      <c r="AE49" s="10" t="s">
        <v>162</v>
      </c>
      <c r="AF49">
        <v>18</v>
      </c>
      <c r="AG49">
        <v>1993</v>
      </c>
      <c r="AH49">
        <v>2</v>
      </c>
      <c r="AI49">
        <v>43.073999999999998</v>
      </c>
      <c r="AJ49">
        <v>0</v>
      </c>
      <c r="AK49">
        <v>0</v>
      </c>
      <c r="AM49">
        <v>2010</v>
      </c>
      <c r="AN49">
        <v>4</v>
      </c>
      <c r="AO49">
        <v>101.09399999999999</v>
      </c>
      <c r="AP49">
        <f t="shared" si="1"/>
        <v>1.0939999999999941</v>
      </c>
      <c r="AQ49">
        <v>2</v>
      </c>
      <c r="AR49">
        <v>58</v>
      </c>
      <c r="AT49">
        <v>2003</v>
      </c>
      <c r="AU49">
        <v>1</v>
      </c>
      <c r="AV49">
        <v>91.835999999999999</v>
      </c>
      <c r="AW49">
        <f t="shared" si="2"/>
        <v>-8.1640000000000015</v>
      </c>
      <c r="AX49">
        <v>0</v>
      </c>
      <c r="AY49">
        <v>0</v>
      </c>
      <c r="BA49">
        <v>2010</v>
      </c>
      <c r="BB49">
        <v>4</v>
      </c>
      <c r="BC49">
        <v>51.545999999999999</v>
      </c>
      <c r="BD49">
        <v>2</v>
      </c>
      <c r="BE49">
        <v>58</v>
      </c>
      <c r="BG49">
        <v>2003</v>
      </c>
      <c r="BH49">
        <v>1</v>
      </c>
      <c r="BI49">
        <v>46.606000000000002</v>
      </c>
      <c r="BJ49">
        <v>0</v>
      </c>
      <c r="BK49">
        <v>0</v>
      </c>
      <c r="BM49" s="10" t="s">
        <v>162</v>
      </c>
      <c r="BN49" s="10">
        <v>101</v>
      </c>
      <c r="BO49">
        <v>1998</v>
      </c>
      <c r="BP49">
        <v>4</v>
      </c>
      <c r="BQ49">
        <f t="shared" si="3"/>
        <v>6.7189999999999941</v>
      </c>
      <c r="BR49">
        <v>59.774000000000001</v>
      </c>
      <c r="BS49">
        <v>106.71899999999999</v>
      </c>
      <c r="BU49" s="10" t="s">
        <v>162</v>
      </c>
      <c r="BV49" s="10">
        <v>101</v>
      </c>
      <c r="BW49">
        <v>1991</v>
      </c>
      <c r="BX49">
        <v>1</v>
      </c>
      <c r="BY49">
        <f t="shared" si="4"/>
        <v>16.494</v>
      </c>
      <c r="BZ49">
        <v>60.521000000000001</v>
      </c>
      <c r="CA49">
        <v>116.494</v>
      </c>
      <c r="CC49">
        <v>1998</v>
      </c>
      <c r="CD49">
        <v>4</v>
      </c>
      <c r="CE49">
        <f t="shared" si="5"/>
        <v>6.8190000000000026</v>
      </c>
      <c r="CF49">
        <v>59.741999999999997</v>
      </c>
      <c r="CG49">
        <v>106.819</v>
      </c>
      <c r="CI49">
        <v>1991</v>
      </c>
      <c r="CJ49">
        <v>1</v>
      </c>
      <c r="CK49">
        <f t="shared" si="6"/>
        <v>16.424000000000007</v>
      </c>
      <c r="CL49">
        <v>60.484000000000002</v>
      </c>
      <c r="CM49">
        <v>116.42400000000001</v>
      </c>
    </row>
    <row r="50" spans="1:91" x14ac:dyDescent="0.2">
      <c r="A50">
        <v>2001</v>
      </c>
      <c r="B50">
        <v>1</v>
      </c>
      <c r="C50">
        <v>62.606000000000002</v>
      </c>
      <c r="E50">
        <v>1993</v>
      </c>
      <c r="F50">
        <v>3</v>
      </c>
      <c r="G50">
        <v>48.198999999999998</v>
      </c>
      <c r="I50">
        <v>2001</v>
      </c>
      <c r="J50">
        <v>1</v>
      </c>
      <c r="K50">
        <v>56.280999999999999</v>
      </c>
      <c r="P50">
        <v>2001</v>
      </c>
      <c r="Q50">
        <v>1</v>
      </c>
      <c r="R50">
        <v>53.139000000000003</v>
      </c>
      <c r="U50">
        <f t="shared" si="0"/>
        <v>59.118000000000002</v>
      </c>
      <c r="W50" s="10" t="s">
        <v>162</v>
      </c>
      <c r="X50">
        <v>18</v>
      </c>
      <c r="Y50">
        <v>2001</v>
      </c>
      <c r="Z50">
        <v>1</v>
      </c>
      <c r="AA50">
        <v>56.543999999999997</v>
      </c>
      <c r="AB50">
        <v>3</v>
      </c>
      <c r="AC50">
        <v>145</v>
      </c>
      <c r="AE50" s="10" t="s">
        <v>162</v>
      </c>
      <c r="AF50">
        <v>18</v>
      </c>
      <c r="AG50">
        <v>1993</v>
      </c>
      <c r="AH50">
        <v>3</v>
      </c>
      <c r="AI50">
        <v>43.072000000000003</v>
      </c>
      <c r="AJ50">
        <v>0</v>
      </c>
      <c r="AK50">
        <v>0</v>
      </c>
      <c r="AM50">
        <v>2011</v>
      </c>
      <c r="AN50">
        <v>1</v>
      </c>
      <c r="AO50">
        <v>102.038</v>
      </c>
      <c r="AP50">
        <f t="shared" si="1"/>
        <v>2.0379999999999967</v>
      </c>
      <c r="AQ50">
        <v>5</v>
      </c>
      <c r="AR50">
        <v>73</v>
      </c>
      <c r="AT50">
        <v>2003</v>
      </c>
      <c r="AU50">
        <v>2</v>
      </c>
      <c r="AV50">
        <v>89.534000000000006</v>
      </c>
      <c r="AW50">
        <f t="shared" si="2"/>
        <v>-10.465999999999994</v>
      </c>
      <c r="AX50">
        <v>1</v>
      </c>
      <c r="AY50">
        <v>92</v>
      </c>
      <c r="BA50">
        <v>2011</v>
      </c>
      <c r="BB50">
        <v>1</v>
      </c>
      <c r="BC50">
        <v>52.389000000000003</v>
      </c>
      <c r="BD50">
        <v>5</v>
      </c>
      <c r="BE50">
        <v>73</v>
      </c>
      <c r="BG50">
        <v>2003</v>
      </c>
      <c r="BH50">
        <v>2</v>
      </c>
      <c r="BI50">
        <v>45.387</v>
      </c>
      <c r="BJ50">
        <v>1</v>
      </c>
      <c r="BK50">
        <v>92</v>
      </c>
      <c r="BM50" s="10" t="s">
        <v>162</v>
      </c>
      <c r="BN50" s="10">
        <v>101</v>
      </c>
      <c r="BO50">
        <v>1999</v>
      </c>
      <c r="BP50">
        <v>1</v>
      </c>
      <c r="BQ50">
        <f t="shared" si="3"/>
        <v>1.5499999999999972</v>
      </c>
      <c r="BR50">
        <v>57.307000000000002</v>
      </c>
      <c r="BS50">
        <v>101.55</v>
      </c>
      <c r="BU50" s="10" t="s">
        <v>162</v>
      </c>
      <c r="BV50" s="10">
        <v>101</v>
      </c>
      <c r="BW50">
        <v>1991</v>
      </c>
      <c r="BX50">
        <v>2</v>
      </c>
      <c r="BY50">
        <f t="shared" si="4"/>
        <v>16.655000000000001</v>
      </c>
      <c r="BZ50">
        <v>60.692</v>
      </c>
      <c r="CA50">
        <v>116.655</v>
      </c>
      <c r="CC50">
        <v>1999</v>
      </c>
      <c r="CD50">
        <v>1</v>
      </c>
      <c r="CE50">
        <f t="shared" si="5"/>
        <v>1.6509999999999962</v>
      </c>
      <c r="CF50">
        <v>57.276000000000003</v>
      </c>
      <c r="CG50">
        <v>101.651</v>
      </c>
      <c r="CI50">
        <v>1991</v>
      </c>
      <c r="CJ50">
        <v>2</v>
      </c>
      <c r="CK50">
        <f t="shared" si="6"/>
        <v>16.584000000000003</v>
      </c>
      <c r="CL50">
        <v>60.655000000000001</v>
      </c>
      <c r="CM50">
        <v>116.584</v>
      </c>
    </row>
    <row r="51" spans="1:91" x14ac:dyDescent="0.2">
      <c r="A51">
        <v>2001</v>
      </c>
      <c r="B51">
        <v>2</v>
      </c>
      <c r="C51">
        <v>59.944000000000003</v>
      </c>
      <c r="E51">
        <v>1993</v>
      </c>
      <c r="F51">
        <v>4</v>
      </c>
      <c r="G51">
        <v>48.198999999999998</v>
      </c>
      <c r="I51">
        <v>2001</v>
      </c>
      <c r="J51">
        <v>2</v>
      </c>
      <c r="K51">
        <v>53.564999999999998</v>
      </c>
      <c r="P51">
        <v>2001</v>
      </c>
      <c r="Q51">
        <v>2</v>
      </c>
      <c r="R51">
        <v>49.649000000000001</v>
      </c>
      <c r="U51">
        <f t="shared" si="0"/>
        <v>55.628</v>
      </c>
      <c r="W51" s="10" t="s">
        <v>162</v>
      </c>
      <c r="X51">
        <v>18</v>
      </c>
      <c r="Y51">
        <v>2001</v>
      </c>
      <c r="Z51">
        <v>2</v>
      </c>
      <c r="AA51">
        <v>52.997999999999998</v>
      </c>
      <c r="AB51">
        <v>2</v>
      </c>
      <c r="AC51">
        <v>68</v>
      </c>
      <c r="AE51" s="10" t="s">
        <v>162</v>
      </c>
      <c r="AF51">
        <v>18</v>
      </c>
      <c r="AG51">
        <v>1993</v>
      </c>
      <c r="AH51">
        <v>4</v>
      </c>
      <c r="AI51">
        <v>43.070999999999998</v>
      </c>
      <c r="AJ51">
        <v>0</v>
      </c>
      <c r="AK51">
        <v>0</v>
      </c>
      <c r="AM51">
        <v>2011</v>
      </c>
      <c r="AN51">
        <v>2</v>
      </c>
      <c r="AO51">
        <v>100.423</v>
      </c>
      <c r="AP51">
        <f t="shared" si="1"/>
        <v>0.42300000000000182</v>
      </c>
      <c r="AQ51">
        <v>2</v>
      </c>
      <c r="AR51">
        <v>56</v>
      </c>
      <c r="AT51">
        <v>2003</v>
      </c>
      <c r="AU51">
        <v>3</v>
      </c>
      <c r="AV51">
        <v>89.100999999999999</v>
      </c>
      <c r="AW51">
        <f t="shared" si="2"/>
        <v>-10.899000000000001</v>
      </c>
      <c r="AX51">
        <v>0</v>
      </c>
      <c r="AY51">
        <v>0</v>
      </c>
      <c r="BA51">
        <v>2011</v>
      </c>
      <c r="BB51">
        <v>2</v>
      </c>
      <c r="BC51">
        <v>51.475999999999999</v>
      </c>
      <c r="BD51">
        <v>2</v>
      </c>
      <c r="BE51">
        <v>56</v>
      </c>
      <c r="BG51">
        <v>2003</v>
      </c>
      <c r="BH51">
        <v>3</v>
      </c>
      <c r="BI51">
        <v>45.177999999999997</v>
      </c>
      <c r="BJ51">
        <v>0</v>
      </c>
      <c r="BK51">
        <v>0</v>
      </c>
      <c r="BM51" s="10" t="s">
        <v>162</v>
      </c>
      <c r="BN51" s="10">
        <v>101</v>
      </c>
      <c r="BO51">
        <v>1999</v>
      </c>
      <c r="BP51">
        <v>2</v>
      </c>
      <c r="BQ51">
        <f t="shared" si="3"/>
        <v>-2.203000000000003</v>
      </c>
      <c r="BR51">
        <v>55.167000000000002</v>
      </c>
      <c r="BS51">
        <v>97.796999999999997</v>
      </c>
      <c r="BU51" s="10" t="s">
        <v>162</v>
      </c>
      <c r="BV51" s="10">
        <v>101</v>
      </c>
      <c r="BW51">
        <v>1991</v>
      </c>
      <c r="BX51">
        <v>3</v>
      </c>
      <c r="BY51">
        <f t="shared" si="4"/>
        <v>20.975999999999999</v>
      </c>
      <c r="BZ51">
        <v>62.966000000000001</v>
      </c>
      <c r="CA51">
        <v>120.976</v>
      </c>
      <c r="CC51">
        <v>1999</v>
      </c>
      <c r="CD51">
        <v>2</v>
      </c>
      <c r="CE51">
        <f t="shared" si="5"/>
        <v>-2.1029999999999944</v>
      </c>
      <c r="CF51">
        <v>55.137</v>
      </c>
      <c r="CG51">
        <v>97.897000000000006</v>
      </c>
      <c r="CI51">
        <v>1991</v>
      </c>
      <c r="CJ51">
        <v>3</v>
      </c>
      <c r="CK51">
        <f t="shared" si="6"/>
        <v>20.894999999999996</v>
      </c>
      <c r="CL51">
        <v>62.924999999999997</v>
      </c>
      <c r="CM51">
        <v>120.895</v>
      </c>
    </row>
    <row r="52" spans="1:91" x14ac:dyDescent="0.2">
      <c r="A52">
        <v>2001</v>
      </c>
      <c r="B52">
        <v>3</v>
      </c>
      <c r="C52">
        <v>55.404000000000003</v>
      </c>
      <c r="E52">
        <v>1993</v>
      </c>
      <c r="F52">
        <v>5</v>
      </c>
      <c r="G52" s="7">
        <v>48.192</v>
      </c>
      <c r="I52">
        <v>2001</v>
      </c>
      <c r="J52">
        <v>3</v>
      </c>
      <c r="K52">
        <v>49.465000000000003</v>
      </c>
      <c r="P52">
        <v>2001</v>
      </c>
      <c r="Q52">
        <v>3</v>
      </c>
      <c r="R52">
        <v>45.22</v>
      </c>
      <c r="U52">
        <f t="shared" si="0"/>
        <v>51.198999999999998</v>
      </c>
      <c r="W52" s="10" t="s">
        <v>162</v>
      </c>
      <c r="X52">
        <v>18</v>
      </c>
      <c r="Y52">
        <v>2001</v>
      </c>
      <c r="Z52">
        <v>3</v>
      </c>
      <c r="AA52">
        <v>49.384</v>
      </c>
      <c r="AB52">
        <v>3</v>
      </c>
      <c r="AC52">
        <v>145</v>
      </c>
      <c r="AE52" s="10" t="s">
        <v>162</v>
      </c>
      <c r="AF52">
        <v>18</v>
      </c>
      <c r="AG52">
        <v>1993</v>
      </c>
      <c r="AH52">
        <v>5</v>
      </c>
      <c r="AI52">
        <v>43.070999999999998</v>
      </c>
      <c r="AJ52">
        <v>0</v>
      </c>
      <c r="AK52">
        <v>0</v>
      </c>
      <c r="AM52">
        <v>2011</v>
      </c>
      <c r="AN52">
        <v>3</v>
      </c>
      <c r="AO52">
        <v>105.49</v>
      </c>
      <c r="AP52">
        <f t="shared" si="1"/>
        <v>5.4899999999999949</v>
      </c>
      <c r="AQ52">
        <v>3</v>
      </c>
      <c r="AR52">
        <v>95</v>
      </c>
      <c r="AT52">
        <v>2003</v>
      </c>
      <c r="AU52">
        <v>4</v>
      </c>
      <c r="AV52">
        <v>88.975999999999999</v>
      </c>
      <c r="AW52">
        <f t="shared" si="2"/>
        <v>-11.024000000000001</v>
      </c>
      <c r="AX52">
        <v>0</v>
      </c>
      <c r="AY52">
        <v>0</v>
      </c>
      <c r="BA52">
        <v>2011</v>
      </c>
      <c r="BB52">
        <v>3</v>
      </c>
      <c r="BC52">
        <v>53.573</v>
      </c>
      <c r="BD52">
        <v>3</v>
      </c>
      <c r="BE52">
        <v>95</v>
      </c>
      <c r="BG52">
        <v>2003</v>
      </c>
      <c r="BH52">
        <v>4</v>
      </c>
      <c r="BI52">
        <v>45.125999999999998</v>
      </c>
      <c r="BJ52">
        <v>0</v>
      </c>
      <c r="BK52">
        <v>0</v>
      </c>
      <c r="BM52" s="10" t="s">
        <v>162</v>
      </c>
      <c r="BN52" s="10">
        <v>101</v>
      </c>
      <c r="BO52">
        <v>1999</v>
      </c>
      <c r="BP52">
        <v>3</v>
      </c>
      <c r="BQ52">
        <f t="shared" si="3"/>
        <v>-8.472999999999999</v>
      </c>
      <c r="BR52">
        <v>51.024999999999999</v>
      </c>
      <c r="BS52">
        <v>91.527000000000001</v>
      </c>
      <c r="BU52" s="10" t="s">
        <v>162</v>
      </c>
      <c r="BV52" s="10">
        <v>101</v>
      </c>
      <c r="BW52">
        <v>1991</v>
      </c>
      <c r="BX52">
        <v>4</v>
      </c>
      <c r="BY52">
        <f t="shared" si="4"/>
        <v>17.878</v>
      </c>
      <c r="BZ52">
        <v>61.887</v>
      </c>
      <c r="CA52">
        <v>117.878</v>
      </c>
      <c r="CC52">
        <v>1999</v>
      </c>
      <c r="CD52">
        <v>3</v>
      </c>
      <c r="CE52">
        <f t="shared" si="5"/>
        <v>-8.3739999999999952</v>
      </c>
      <c r="CF52">
        <v>50.997</v>
      </c>
      <c r="CG52">
        <v>91.626000000000005</v>
      </c>
      <c r="CI52">
        <v>1991</v>
      </c>
      <c r="CJ52">
        <v>4</v>
      </c>
      <c r="CK52">
        <f t="shared" si="6"/>
        <v>17.802000000000007</v>
      </c>
      <c r="CL52">
        <v>61.853999999999999</v>
      </c>
      <c r="CM52">
        <v>117.80200000000001</v>
      </c>
    </row>
    <row r="53" spans="1:91" x14ac:dyDescent="0.2">
      <c r="A53">
        <v>2001</v>
      </c>
      <c r="B53">
        <v>4</v>
      </c>
      <c r="C53">
        <v>52.636000000000003</v>
      </c>
      <c r="E53">
        <v>1993</v>
      </c>
      <c r="F53">
        <v>6</v>
      </c>
      <c r="G53">
        <v>59.511000000000003</v>
      </c>
      <c r="I53">
        <v>2001</v>
      </c>
      <c r="J53">
        <v>4</v>
      </c>
      <c r="K53">
        <v>46.783000000000001</v>
      </c>
      <c r="P53">
        <v>2001</v>
      </c>
      <c r="Q53">
        <v>4</v>
      </c>
      <c r="R53">
        <v>39.311</v>
      </c>
      <c r="U53">
        <f t="shared" si="0"/>
        <v>45.29</v>
      </c>
      <c r="W53" s="10" t="s">
        <v>162</v>
      </c>
      <c r="X53">
        <v>18</v>
      </c>
      <c r="Y53">
        <v>2001</v>
      </c>
      <c r="Z53">
        <v>4</v>
      </c>
      <c r="AA53">
        <v>42.595999999999997</v>
      </c>
      <c r="AB53">
        <v>3</v>
      </c>
      <c r="AC53">
        <v>145</v>
      </c>
      <c r="AE53" s="10" t="s">
        <v>162</v>
      </c>
      <c r="AF53">
        <v>18</v>
      </c>
      <c r="AG53">
        <v>1993</v>
      </c>
      <c r="AH53">
        <v>6</v>
      </c>
      <c r="AI53">
        <v>49.460999999999999</v>
      </c>
      <c r="AJ53">
        <v>1</v>
      </c>
      <c r="AK53">
        <v>60</v>
      </c>
      <c r="AM53">
        <v>2011</v>
      </c>
      <c r="AN53">
        <v>4</v>
      </c>
      <c r="AO53">
        <v>105.779</v>
      </c>
      <c r="AP53">
        <f t="shared" si="1"/>
        <v>5.7789999999999964</v>
      </c>
      <c r="AQ53">
        <v>3</v>
      </c>
      <c r="AR53">
        <v>95</v>
      </c>
      <c r="AT53">
        <v>2003</v>
      </c>
      <c r="AU53">
        <v>5</v>
      </c>
      <c r="AV53">
        <v>89.332999999999998</v>
      </c>
      <c r="AW53">
        <f t="shared" si="2"/>
        <v>-10.667000000000002</v>
      </c>
      <c r="AX53">
        <v>1</v>
      </c>
      <c r="AY53">
        <v>92</v>
      </c>
      <c r="BA53">
        <v>2011</v>
      </c>
      <c r="BB53">
        <v>4</v>
      </c>
      <c r="BC53">
        <v>54.008000000000003</v>
      </c>
      <c r="BD53">
        <v>3</v>
      </c>
      <c r="BE53">
        <v>95</v>
      </c>
      <c r="BG53">
        <v>2003</v>
      </c>
      <c r="BH53">
        <v>5</v>
      </c>
      <c r="BI53">
        <v>45.332999999999998</v>
      </c>
      <c r="BJ53">
        <v>1</v>
      </c>
      <c r="BK53">
        <v>92</v>
      </c>
      <c r="BM53" s="10" t="s">
        <v>162</v>
      </c>
      <c r="BN53" s="10">
        <v>101</v>
      </c>
      <c r="BO53">
        <v>1999</v>
      </c>
      <c r="BP53">
        <v>4</v>
      </c>
      <c r="BQ53">
        <f t="shared" si="3"/>
        <v>-8.4549999999999983</v>
      </c>
      <c r="BR53">
        <v>51.075000000000003</v>
      </c>
      <c r="BS53">
        <v>91.545000000000002</v>
      </c>
      <c r="BU53" s="10" t="s">
        <v>162</v>
      </c>
      <c r="BV53" s="10">
        <v>101</v>
      </c>
      <c r="BW53">
        <v>1991</v>
      </c>
      <c r="BX53">
        <v>5</v>
      </c>
      <c r="BY53">
        <f t="shared" si="4"/>
        <v>16.597999999999999</v>
      </c>
      <c r="BZ53">
        <v>61.243000000000002</v>
      </c>
      <c r="CA53">
        <v>116.598</v>
      </c>
      <c r="CC53">
        <v>1999</v>
      </c>
      <c r="CD53">
        <v>4</v>
      </c>
      <c r="CE53">
        <f t="shared" si="5"/>
        <v>-8.3559999999999945</v>
      </c>
      <c r="CF53">
        <v>51.045999999999999</v>
      </c>
      <c r="CG53">
        <v>91.644000000000005</v>
      </c>
      <c r="CI53">
        <v>1991</v>
      </c>
      <c r="CJ53">
        <v>5</v>
      </c>
      <c r="CK53">
        <f t="shared" si="6"/>
        <v>16.525000000000006</v>
      </c>
      <c r="CL53">
        <v>61.212000000000003</v>
      </c>
      <c r="CM53">
        <v>116.52500000000001</v>
      </c>
    </row>
    <row r="54" spans="1:91" x14ac:dyDescent="0.2">
      <c r="A54">
        <v>2002</v>
      </c>
      <c r="B54">
        <v>1</v>
      </c>
      <c r="C54">
        <v>48.088000000000001</v>
      </c>
      <c r="E54">
        <v>1993</v>
      </c>
      <c r="F54">
        <v>7</v>
      </c>
      <c r="G54">
        <v>55.429000000000002</v>
      </c>
      <c r="I54">
        <v>2002</v>
      </c>
      <c r="J54">
        <v>1</v>
      </c>
      <c r="K54">
        <v>42.587000000000003</v>
      </c>
      <c r="P54">
        <v>2002</v>
      </c>
      <c r="Q54">
        <v>1</v>
      </c>
      <c r="R54">
        <v>36.433999999999997</v>
      </c>
      <c r="U54">
        <f t="shared" si="0"/>
        <v>42.412999999999997</v>
      </c>
      <c r="W54" s="10" t="s">
        <v>162</v>
      </c>
      <c r="X54">
        <v>18</v>
      </c>
      <c r="Y54">
        <v>2002</v>
      </c>
      <c r="Z54">
        <v>1</v>
      </c>
      <c r="AA54">
        <v>38.603999999999999</v>
      </c>
      <c r="AB54">
        <v>3</v>
      </c>
      <c r="AC54">
        <v>145</v>
      </c>
      <c r="AE54" s="10" t="s">
        <v>162</v>
      </c>
      <c r="AF54">
        <v>18</v>
      </c>
      <c r="AG54">
        <v>1993</v>
      </c>
      <c r="AH54">
        <v>7</v>
      </c>
      <c r="AI54">
        <v>48.098999999999997</v>
      </c>
      <c r="AJ54">
        <v>0</v>
      </c>
      <c r="AK54">
        <v>0</v>
      </c>
      <c r="AM54">
        <v>2012</v>
      </c>
      <c r="AN54">
        <v>1</v>
      </c>
      <c r="AO54">
        <v>111.703</v>
      </c>
      <c r="AP54">
        <f t="shared" si="1"/>
        <v>11.703000000000003</v>
      </c>
      <c r="AQ54">
        <v>2</v>
      </c>
      <c r="AR54">
        <v>56</v>
      </c>
      <c r="AT54">
        <v>2003</v>
      </c>
      <c r="AU54">
        <v>6</v>
      </c>
      <c r="AV54">
        <v>95.033000000000001</v>
      </c>
      <c r="AW54">
        <f t="shared" si="2"/>
        <v>-4.9669999999999987</v>
      </c>
      <c r="AX54">
        <v>1</v>
      </c>
      <c r="AY54">
        <v>39</v>
      </c>
      <c r="BA54">
        <v>2012</v>
      </c>
      <c r="BB54">
        <v>1</v>
      </c>
      <c r="BC54">
        <v>57.081000000000003</v>
      </c>
      <c r="BD54">
        <v>2</v>
      </c>
      <c r="BE54">
        <v>56</v>
      </c>
      <c r="BG54">
        <v>2003</v>
      </c>
      <c r="BH54">
        <v>6</v>
      </c>
      <c r="BI54">
        <v>48.424999999999997</v>
      </c>
      <c r="BJ54">
        <v>1</v>
      </c>
      <c r="BK54">
        <v>39</v>
      </c>
      <c r="BM54" s="10" t="s">
        <v>162</v>
      </c>
      <c r="BN54" s="10">
        <v>101</v>
      </c>
      <c r="BO54">
        <v>2000</v>
      </c>
      <c r="BP54">
        <v>1</v>
      </c>
      <c r="BQ54">
        <f t="shared" si="3"/>
        <v>-7.2339999999999947</v>
      </c>
      <c r="BR54">
        <v>52.142000000000003</v>
      </c>
      <c r="BS54">
        <v>92.766000000000005</v>
      </c>
      <c r="BU54" s="10" t="s">
        <v>162</v>
      </c>
      <c r="BV54" s="10">
        <v>101</v>
      </c>
      <c r="BW54">
        <v>1991</v>
      </c>
      <c r="BX54">
        <v>6</v>
      </c>
      <c r="BY54">
        <f t="shared" si="4"/>
        <v>16.106999999999999</v>
      </c>
      <c r="BZ54">
        <v>60.905999999999999</v>
      </c>
      <c r="CA54">
        <v>116.107</v>
      </c>
      <c r="CC54">
        <v>2000</v>
      </c>
      <c r="CD54">
        <v>1</v>
      </c>
      <c r="CE54">
        <f t="shared" si="5"/>
        <v>-7.1359999999999957</v>
      </c>
      <c r="CF54">
        <v>52.113</v>
      </c>
      <c r="CG54">
        <v>92.864000000000004</v>
      </c>
      <c r="CI54">
        <v>1991</v>
      </c>
      <c r="CJ54">
        <v>6</v>
      </c>
      <c r="CK54">
        <f t="shared" si="6"/>
        <v>16.036000000000001</v>
      </c>
      <c r="CL54">
        <v>60.874000000000002</v>
      </c>
      <c r="CM54">
        <v>116.036</v>
      </c>
    </row>
    <row r="55" spans="1:91" x14ac:dyDescent="0.2">
      <c r="A55">
        <v>2002</v>
      </c>
      <c r="B55">
        <v>2</v>
      </c>
      <c r="C55">
        <v>52.823999999999998</v>
      </c>
      <c r="E55">
        <v>1993</v>
      </c>
      <c r="F55">
        <v>8</v>
      </c>
      <c r="G55">
        <v>55.567999999999998</v>
      </c>
      <c r="I55">
        <v>2002</v>
      </c>
      <c r="J55">
        <v>2</v>
      </c>
      <c r="K55">
        <v>45.457999999999998</v>
      </c>
      <c r="P55">
        <v>2002</v>
      </c>
      <c r="Q55">
        <v>2</v>
      </c>
      <c r="R55">
        <v>40.26</v>
      </c>
      <c r="S55">
        <v>51</v>
      </c>
      <c r="T55">
        <f>R55-S55</f>
        <v>-10.740000000000002</v>
      </c>
      <c r="U55">
        <f t="shared" si="0"/>
        <v>46.238999999999997</v>
      </c>
      <c r="W55" s="10" t="s">
        <v>162</v>
      </c>
      <c r="X55">
        <v>18</v>
      </c>
      <c r="Y55">
        <v>2002</v>
      </c>
      <c r="Z55">
        <v>2</v>
      </c>
      <c r="AA55">
        <v>42.018000000000001</v>
      </c>
      <c r="AB55">
        <v>5</v>
      </c>
      <c r="AC55">
        <v>165</v>
      </c>
      <c r="AE55" s="10" t="s">
        <v>162</v>
      </c>
      <c r="AF55">
        <v>18</v>
      </c>
      <c r="AG55">
        <v>1993</v>
      </c>
      <c r="AH55">
        <v>8</v>
      </c>
      <c r="AI55">
        <v>48.997</v>
      </c>
      <c r="AJ55">
        <v>0</v>
      </c>
      <c r="AK55">
        <v>0</v>
      </c>
      <c r="AM55">
        <v>2012</v>
      </c>
      <c r="AN55">
        <v>2</v>
      </c>
      <c r="AO55">
        <v>117.354</v>
      </c>
      <c r="AP55">
        <f t="shared" si="1"/>
        <v>17.353999999999999</v>
      </c>
      <c r="AQ55">
        <v>3</v>
      </c>
      <c r="AR55">
        <v>59</v>
      </c>
      <c r="AT55">
        <v>2003</v>
      </c>
      <c r="AU55">
        <v>7</v>
      </c>
      <c r="AV55">
        <v>88.614999999999995</v>
      </c>
      <c r="AW55">
        <f t="shared" si="2"/>
        <v>-11.385000000000005</v>
      </c>
      <c r="AX55">
        <v>1</v>
      </c>
      <c r="AY55">
        <v>92</v>
      </c>
      <c r="BA55">
        <v>2012</v>
      </c>
      <c r="BB55">
        <v>2</v>
      </c>
      <c r="BC55">
        <v>59.875999999999998</v>
      </c>
      <c r="BD55">
        <v>3</v>
      </c>
      <c r="BE55">
        <v>59</v>
      </c>
      <c r="BG55">
        <v>2003</v>
      </c>
      <c r="BH55">
        <v>7</v>
      </c>
      <c r="BI55">
        <v>44.954000000000001</v>
      </c>
      <c r="BJ55">
        <v>1</v>
      </c>
      <c r="BK55">
        <v>92</v>
      </c>
      <c r="BM55" s="10" t="s">
        <v>162</v>
      </c>
      <c r="BN55" s="10">
        <v>101</v>
      </c>
      <c r="BO55">
        <v>2000</v>
      </c>
      <c r="BP55">
        <v>2</v>
      </c>
      <c r="BQ55">
        <f t="shared" si="3"/>
        <v>-10.713999999999999</v>
      </c>
      <c r="BR55">
        <v>49.71</v>
      </c>
      <c r="BS55">
        <v>89.286000000000001</v>
      </c>
      <c r="BU55" s="10" t="s">
        <v>162</v>
      </c>
      <c r="BV55" s="10">
        <v>101</v>
      </c>
      <c r="BW55">
        <v>1991</v>
      </c>
      <c r="BX55">
        <v>7</v>
      </c>
      <c r="BY55">
        <f t="shared" si="4"/>
        <v>15.924000000000007</v>
      </c>
      <c r="BZ55">
        <v>60.738</v>
      </c>
      <c r="CA55">
        <v>115.92400000000001</v>
      </c>
      <c r="CC55">
        <v>2000</v>
      </c>
      <c r="CD55">
        <v>2</v>
      </c>
      <c r="CE55">
        <f t="shared" si="5"/>
        <v>-10.617000000000004</v>
      </c>
      <c r="CF55">
        <v>49.682000000000002</v>
      </c>
      <c r="CG55">
        <v>89.382999999999996</v>
      </c>
      <c r="CI55">
        <v>1991</v>
      </c>
      <c r="CJ55">
        <v>7</v>
      </c>
      <c r="CK55">
        <f t="shared" si="6"/>
        <v>15.852000000000004</v>
      </c>
      <c r="CL55">
        <v>60.704999999999998</v>
      </c>
      <c r="CM55">
        <v>115.852</v>
      </c>
    </row>
    <row r="56" spans="1:91" x14ac:dyDescent="0.2">
      <c r="A56">
        <v>2002</v>
      </c>
      <c r="B56">
        <v>3</v>
      </c>
      <c r="C56">
        <v>48.871000000000002</v>
      </c>
      <c r="E56">
        <v>1993</v>
      </c>
      <c r="F56">
        <v>9</v>
      </c>
      <c r="G56">
        <v>50.576000000000001</v>
      </c>
      <c r="I56">
        <v>2002</v>
      </c>
      <c r="J56">
        <v>3</v>
      </c>
      <c r="K56">
        <v>43.747</v>
      </c>
      <c r="P56">
        <v>2002</v>
      </c>
      <c r="Q56">
        <v>3</v>
      </c>
      <c r="R56">
        <v>37.640999999999998</v>
      </c>
      <c r="U56">
        <f t="shared" si="0"/>
        <v>43.62</v>
      </c>
      <c r="W56" s="10" t="s">
        <v>162</v>
      </c>
      <c r="X56">
        <v>18</v>
      </c>
      <c r="Y56">
        <v>2002</v>
      </c>
      <c r="Z56">
        <v>3</v>
      </c>
      <c r="AA56">
        <v>40.128999999999998</v>
      </c>
      <c r="AB56">
        <v>2</v>
      </c>
      <c r="AC56">
        <v>97</v>
      </c>
      <c r="AE56" s="10" t="s">
        <v>162</v>
      </c>
      <c r="AF56">
        <v>18</v>
      </c>
      <c r="AG56">
        <v>1993</v>
      </c>
      <c r="AH56">
        <v>9</v>
      </c>
      <c r="AI56">
        <v>46.738999999999997</v>
      </c>
      <c r="AJ56">
        <v>1</v>
      </c>
      <c r="AK56">
        <v>60</v>
      </c>
      <c r="AM56">
        <v>2012</v>
      </c>
      <c r="AN56">
        <v>3</v>
      </c>
      <c r="AO56">
        <v>112.922</v>
      </c>
      <c r="AP56">
        <f t="shared" si="1"/>
        <v>12.921999999999997</v>
      </c>
      <c r="AQ56">
        <v>3</v>
      </c>
      <c r="AR56">
        <v>61</v>
      </c>
      <c r="AT56">
        <v>2003</v>
      </c>
      <c r="AU56">
        <v>8</v>
      </c>
      <c r="AV56">
        <v>87.632000000000005</v>
      </c>
      <c r="AW56">
        <f t="shared" si="2"/>
        <v>-12.367999999999995</v>
      </c>
      <c r="AX56">
        <v>0</v>
      </c>
      <c r="AY56">
        <v>0</v>
      </c>
      <c r="BA56">
        <v>2012</v>
      </c>
      <c r="BB56">
        <v>3</v>
      </c>
      <c r="BC56">
        <v>60.122</v>
      </c>
      <c r="BD56">
        <v>3</v>
      </c>
      <c r="BE56">
        <v>61</v>
      </c>
      <c r="BG56">
        <v>2003</v>
      </c>
      <c r="BH56">
        <v>8</v>
      </c>
      <c r="BI56">
        <v>44.412999999999997</v>
      </c>
      <c r="BJ56">
        <v>0</v>
      </c>
      <c r="BK56">
        <v>0</v>
      </c>
      <c r="BM56" s="10" t="s">
        <v>162</v>
      </c>
      <c r="BN56" s="10">
        <v>101</v>
      </c>
      <c r="BO56">
        <v>2000</v>
      </c>
      <c r="BP56">
        <v>3</v>
      </c>
      <c r="BQ56">
        <f t="shared" si="3"/>
        <v>-11.265000000000001</v>
      </c>
      <c r="BR56">
        <v>49.515000000000001</v>
      </c>
      <c r="BS56">
        <v>88.734999999999999</v>
      </c>
      <c r="BU56" s="10" t="s">
        <v>162</v>
      </c>
      <c r="BV56" s="10">
        <v>101</v>
      </c>
      <c r="BW56">
        <v>1991</v>
      </c>
      <c r="BX56">
        <v>8</v>
      </c>
      <c r="BY56">
        <f t="shared" si="4"/>
        <v>10.802000000000007</v>
      </c>
      <c r="BZ56">
        <v>58.322000000000003</v>
      </c>
      <c r="CA56">
        <v>110.80200000000001</v>
      </c>
      <c r="CC56">
        <v>2000</v>
      </c>
      <c r="CD56">
        <v>3</v>
      </c>
      <c r="CE56">
        <f t="shared" si="5"/>
        <v>-11.167000000000002</v>
      </c>
      <c r="CF56">
        <v>49.487000000000002</v>
      </c>
      <c r="CG56">
        <v>88.832999999999998</v>
      </c>
      <c r="CI56">
        <v>1991</v>
      </c>
      <c r="CJ56">
        <v>8</v>
      </c>
      <c r="CK56">
        <f t="shared" si="6"/>
        <v>10.742000000000004</v>
      </c>
      <c r="CL56">
        <v>58.293999999999997</v>
      </c>
      <c r="CM56">
        <v>110.742</v>
      </c>
    </row>
    <row r="57" spans="1:91" x14ac:dyDescent="0.2">
      <c r="A57">
        <v>2002</v>
      </c>
      <c r="B57">
        <v>4</v>
      </c>
      <c r="C57">
        <v>48.45</v>
      </c>
      <c r="E57">
        <v>1993</v>
      </c>
      <c r="F57">
        <v>10</v>
      </c>
      <c r="G57">
        <v>58.545999999999999</v>
      </c>
      <c r="I57">
        <v>2002</v>
      </c>
      <c r="J57">
        <v>4</v>
      </c>
      <c r="K57">
        <v>44.061</v>
      </c>
      <c r="P57">
        <v>2002</v>
      </c>
      <c r="Q57">
        <v>4</v>
      </c>
      <c r="R57">
        <v>37.030999999999999</v>
      </c>
      <c r="U57">
        <f t="shared" si="0"/>
        <v>43.01</v>
      </c>
      <c r="W57" s="10" t="s">
        <v>162</v>
      </c>
      <c r="X57">
        <v>18</v>
      </c>
      <c r="Y57">
        <v>2002</v>
      </c>
      <c r="Z57">
        <v>4</v>
      </c>
      <c r="AA57">
        <v>38.96</v>
      </c>
      <c r="AB57">
        <v>3</v>
      </c>
      <c r="AC57">
        <v>145</v>
      </c>
      <c r="AE57" s="10" t="s">
        <v>162</v>
      </c>
      <c r="AF57">
        <v>18</v>
      </c>
      <c r="AG57">
        <v>1993</v>
      </c>
      <c r="AH57">
        <v>10</v>
      </c>
      <c r="AI57">
        <v>52.991</v>
      </c>
      <c r="AJ57">
        <v>0</v>
      </c>
      <c r="AK57">
        <v>0</v>
      </c>
      <c r="AM57">
        <v>2012</v>
      </c>
      <c r="AN57">
        <v>4</v>
      </c>
      <c r="AO57">
        <v>114.33</v>
      </c>
      <c r="AP57">
        <f t="shared" si="1"/>
        <v>14.329999999999998</v>
      </c>
      <c r="AQ57">
        <v>2</v>
      </c>
      <c r="AR57">
        <v>56</v>
      </c>
      <c r="AT57">
        <v>2003</v>
      </c>
      <c r="AU57">
        <v>9</v>
      </c>
      <c r="AV57">
        <v>88.777000000000001</v>
      </c>
      <c r="AW57">
        <f t="shared" si="2"/>
        <v>-11.222999999999999</v>
      </c>
      <c r="AX57">
        <v>2</v>
      </c>
      <c r="AY57">
        <v>131</v>
      </c>
      <c r="BA57">
        <v>2012</v>
      </c>
      <c r="BB57">
        <v>4</v>
      </c>
      <c r="BC57">
        <v>58.706000000000003</v>
      </c>
      <c r="BD57">
        <v>2</v>
      </c>
      <c r="BE57">
        <v>56</v>
      </c>
      <c r="BG57">
        <v>2003</v>
      </c>
      <c r="BH57">
        <v>9</v>
      </c>
      <c r="BI57">
        <v>45.033999999999999</v>
      </c>
      <c r="BJ57">
        <v>2</v>
      </c>
      <c r="BK57">
        <v>131</v>
      </c>
      <c r="BM57" s="10" t="s">
        <v>162</v>
      </c>
      <c r="BN57" s="10">
        <v>101</v>
      </c>
      <c r="BO57">
        <v>2000</v>
      </c>
      <c r="BP57">
        <v>4</v>
      </c>
      <c r="BQ57">
        <f t="shared" si="3"/>
        <v>-11.233000000000004</v>
      </c>
      <c r="BR57">
        <v>49.578000000000003</v>
      </c>
      <c r="BS57">
        <v>88.766999999999996</v>
      </c>
      <c r="BU57" s="10" t="s">
        <v>162</v>
      </c>
      <c r="BV57" s="10">
        <v>101</v>
      </c>
      <c r="BW57">
        <v>1991</v>
      </c>
      <c r="BX57">
        <v>9</v>
      </c>
      <c r="BY57">
        <f t="shared" si="4"/>
        <v>13.792000000000002</v>
      </c>
      <c r="BZ57">
        <v>59.418999999999997</v>
      </c>
      <c r="CA57">
        <v>113.792</v>
      </c>
      <c r="CC57">
        <v>2000</v>
      </c>
      <c r="CD57">
        <v>4</v>
      </c>
      <c r="CE57">
        <f t="shared" si="5"/>
        <v>-11.135000000000005</v>
      </c>
      <c r="CF57">
        <v>49.55</v>
      </c>
      <c r="CG57">
        <v>88.864999999999995</v>
      </c>
      <c r="CI57">
        <v>1991</v>
      </c>
      <c r="CJ57">
        <v>9</v>
      </c>
      <c r="CK57">
        <f t="shared" si="6"/>
        <v>13.725999999999999</v>
      </c>
      <c r="CL57">
        <v>59.383000000000003</v>
      </c>
      <c r="CM57">
        <v>113.726</v>
      </c>
    </row>
    <row r="58" spans="1:91" x14ac:dyDescent="0.2">
      <c r="A58">
        <v>2003</v>
      </c>
      <c r="B58">
        <v>1</v>
      </c>
      <c r="C58">
        <v>48.070999999999998</v>
      </c>
      <c r="E58">
        <v>1993</v>
      </c>
      <c r="F58">
        <v>11</v>
      </c>
      <c r="G58">
        <v>58.488</v>
      </c>
      <c r="I58">
        <v>2003</v>
      </c>
      <c r="J58">
        <v>1</v>
      </c>
      <c r="K58">
        <v>47.070999999999998</v>
      </c>
      <c r="P58">
        <v>2003</v>
      </c>
      <c r="Q58">
        <v>1</v>
      </c>
      <c r="R58">
        <v>35.204999999999998</v>
      </c>
      <c r="U58">
        <f t="shared" si="0"/>
        <v>41.183999999999997</v>
      </c>
      <c r="W58" s="10" t="s">
        <v>162</v>
      </c>
      <c r="X58">
        <v>18</v>
      </c>
      <c r="Y58">
        <v>2003</v>
      </c>
      <c r="Z58">
        <v>1</v>
      </c>
      <c r="AA58">
        <v>36.658000000000001</v>
      </c>
      <c r="AB58">
        <v>2</v>
      </c>
      <c r="AC58">
        <v>50</v>
      </c>
      <c r="AE58" s="10" t="s">
        <v>162</v>
      </c>
      <c r="AF58">
        <v>18</v>
      </c>
      <c r="AG58">
        <v>1993</v>
      </c>
      <c r="AH58">
        <v>11</v>
      </c>
      <c r="AI58">
        <v>53.576999999999998</v>
      </c>
      <c r="AJ58">
        <v>0</v>
      </c>
      <c r="AK58">
        <v>0</v>
      </c>
      <c r="AM58">
        <v>2013</v>
      </c>
      <c r="AN58">
        <v>1</v>
      </c>
      <c r="AO58">
        <v>128.08699999999999</v>
      </c>
      <c r="AP58">
        <f t="shared" si="1"/>
        <v>28.086999999999989</v>
      </c>
      <c r="AQ58">
        <v>2</v>
      </c>
      <c r="AR58">
        <v>12</v>
      </c>
      <c r="AT58">
        <v>2003</v>
      </c>
      <c r="AU58">
        <v>10</v>
      </c>
      <c r="AV58">
        <v>96.582999999999998</v>
      </c>
      <c r="AW58">
        <f t="shared" si="2"/>
        <v>-3.4170000000000016</v>
      </c>
      <c r="AX58">
        <v>1</v>
      </c>
      <c r="AY58">
        <v>1</v>
      </c>
      <c r="BA58">
        <v>2013</v>
      </c>
      <c r="BB58">
        <v>1</v>
      </c>
      <c r="BC58">
        <v>65.070999999999998</v>
      </c>
      <c r="BD58">
        <v>2</v>
      </c>
      <c r="BE58">
        <v>12</v>
      </c>
      <c r="BG58">
        <v>2003</v>
      </c>
      <c r="BH58">
        <v>10</v>
      </c>
      <c r="BI58">
        <v>49.06</v>
      </c>
      <c r="BJ58">
        <v>1</v>
      </c>
      <c r="BK58">
        <v>1</v>
      </c>
      <c r="BM58" s="10" t="s">
        <v>162</v>
      </c>
      <c r="BN58" s="10">
        <v>101</v>
      </c>
      <c r="BO58">
        <v>2001</v>
      </c>
      <c r="BP58">
        <v>1</v>
      </c>
      <c r="BQ58">
        <f t="shared" si="3"/>
        <v>-10.522999999999996</v>
      </c>
      <c r="BR58">
        <v>50.078000000000003</v>
      </c>
      <c r="BS58">
        <v>89.477000000000004</v>
      </c>
      <c r="BU58" s="10" t="s">
        <v>162</v>
      </c>
      <c r="BV58" s="10">
        <v>101</v>
      </c>
      <c r="BW58">
        <v>1991</v>
      </c>
      <c r="BX58">
        <v>10</v>
      </c>
      <c r="BY58">
        <f t="shared" si="4"/>
        <v>15.055999999999997</v>
      </c>
      <c r="BZ58">
        <v>60.079000000000001</v>
      </c>
      <c r="CA58">
        <v>115.056</v>
      </c>
      <c r="CC58">
        <v>2001</v>
      </c>
      <c r="CD58">
        <v>1</v>
      </c>
      <c r="CE58">
        <f t="shared" si="5"/>
        <v>-10.424999999999997</v>
      </c>
      <c r="CF58">
        <v>50.05</v>
      </c>
      <c r="CG58">
        <v>89.575000000000003</v>
      </c>
      <c r="CI58">
        <v>1991</v>
      </c>
      <c r="CJ58">
        <v>10</v>
      </c>
      <c r="CK58">
        <f t="shared" si="6"/>
        <v>14.988</v>
      </c>
      <c r="CL58">
        <v>60.042000000000002</v>
      </c>
      <c r="CM58">
        <v>114.988</v>
      </c>
    </row>
    <row r="59" spans="1:91" x14ac:dyDescent="0.2">
      <c r="A59">
        <v>2003</v>
      </c>
      <c r="B59">
        <v>2</v>
      </c>
      <c r="C59">
        <v>47.485999999999997</v>
      </c>
      <c r="E59">
        <v>1993</v>
      </c>
      <c r="F59">
        <v>12</v>
      </c>
      <c r="G59">
        <v>58.481999999999999</v>
      </c>
      <c r="I59">
        <v>2003</v>
      </c>
      <c r="J59">
        <v>2</v>
      </c>
      <c r="K59">
        <v>42.064999999999998</v>
      </c>
      <c r="P59">
        <v>2003</v>
      </c>
      <c r="Q59">
        <v>2</v>
      </c>
      <c r="R59">
        <v>38.249000000000002</v>
      </c>
      <c r="U59">
        <f t="shared" si="0"/>
        <v>44.228000000000002</v>
      </c>
      <c r="W59" s="10" t="s">
        <v>162</v>
      </c>
      <c r="X59">
        <v>18</v>
      </c>
      <c r="Y59">
        <v>2003</v>
      </c>
      <c r="Z59">
        <v>2</v>
      </c>
      <c r="AA59">
        <v>39.790999999999997</v>
      </c>
      <c r="AB59">
        <v>3</v>
      </c>
      <c r="AC59">
        <v>145</v>
      </c>
      <c r="AE59" s="10" t="s">
        <v>162</v>
      </c>
      <c r="AF59">
        <v>18</v>
      </c>
      <c r="AG59">
        <v>1993</v>
      </c>
      <c r="AH59">
        <v>12</v>
      </c>
      <c r="AI59">
        <v>53.48</v>
      </c>
      <c r="AJ59">
        <v>0</v>
      </c>
      <c r="AK59">
        <v>0</v>
      </c>
      <c r="AM59">
        <v>2013</v>
      </c>
      <c r="AN59">
        <v>2</v>
      </c>
      <c r="AO59">
        <v>108.956</v>
      </c>
      <c r="AP59">
        <f t="shared" si="1"/>
        <v>8.9560000000000031</v>
      </c>
      <c r="AQ59">
        <v>1</v>
      </c>
      <c r="AR59">
        <v>4</v>
      </c>
      <c r="AT59">
        <v>2003</v>
      </c>
      <c r="AU59">
        <v>11</v>
      </c>
      <c r="AV59">
        <v>95.134</v>
      </c>
      <c r="AW59">
        <f t="shared" si="2"/>
        <v>-4.8659999999999997</v>
      </c>
      <c r="AX59">
        <v>1</v>
      </c>
      <c r="AY59">
        <v>92</v>
      </c>
      <c r="BA59">
        <v>2013</v>
      </c>
      <c r="BB59">
        <v>2</v>
      </c>
      <c r="BC59">
        <v>54.805999999999997</v>
      </c>
      <c r="BD59">
        <v>1</v>
      </c>
      <c r="BE59">
        <v>4</v>
      </c>
      <c r="BG59">
        <v>2003</v>
      </c>
      <c r="BH59">
        <v>11</v>
      </c>
      <c r="BI59">
        <v>48.360999999999997</v>
      </c>
      <c r="BJ59">
        <v>1</v>
      </c>
      <c r="BK59">
        <v>92</v>
      </c>
      <c r="BM59" s="10" t="s">
        <v>162</v>
      </c>
      <c r="BN59" s="10">
        <v>101</v>
      </c>
      <c r="BO59">
        <v>2001</v>
      </c>
      <c r="BP59">
        <v>2</v>
      </c>
      <c r="BQ59">
        <f t="shared" si="3"/>
        <v>-11.823999999999998</v>
      </c>
      <c r="BR59">
        <v>49.137999999999998</v>
      </c>
      <c r="BS59">
        <v>88.176000000000002</v>
      </c>
      <c r="BU59" s="10" t="s">
        <v>162</v>
      </c>
      <c r="BV59" s="10">
        <v>101</v>
      </c>
      <c r="BW59">
        <v>1991</v>
      </c>
      <c r="BX59">
        <v>11</v>
      </c>
      <c r="BY59">
        <f t="shared" si="4"/>
        <v>20.597999999999999</v>
      </c>
      <c r="BZ59">
        <v>62.832999999999998</v>
      </c>
      <c r="CA59">
        <v>120.598</v>
      </c>
      <c r="CC59">
        <v>2001</v>
      </c>
      <c r="CD59">
        <v>2</v>
      </c>
      <c r="CE59">
        <f t="shared" si="5"/>
        <v>-11.727000000000004</v>
      </c>
      <c r="CF59">
        <v>49.11</v>
      </c>
      <c r="CG59">
        <v>88.272999999999996</v>
      </c>
      <c r="CI59">
        <v>1991</v>
      </c>
      <c r="CJ59">
        <v>11</v>
      </c>
      <c r="CK59">
        <f t="shared" si="6"/>
        <v>20.518000000000001</v>
      </c>
      <c r="CL59">
        <v>62.79</v>
      </c>
      <c r="CM59">
        <v>120.518</v>
      </c>
    </row>
    <row r="60" spans="1:91" x14ac:dyDescent="0.2">
      <c r="A60">
        <v>2003</v>
      </c>
      <c r="B60">
        <v>3</v>
      </c>
      <c r="C60">
        <v>44.654000000000003</v>
      </c>
      <c r="E60">
        <v>1994</v>
      </c>
      <c r="F60">
        <v>1</v>
      </c>
      <c r="G60" s="7">
        <v>58.481000000000002</v>
      </c>
      <c r="I60">
        <v>2003</v>
      </c>
      <c r="J60">
        <v>3</v>
      </c>
      <c r="K60">
        <v>39.682000000000002</v>
      </c>
      <c r="P60">
        <v>2003</v>
      </c>
      <c r="Q60">
        <v>3</v>
      </c>
      <c r="R60">
        <v>35.752000000000002</v>
      </c>
      <c r="S60">
        <v>36</v>
      </c>
      <c r="T60">
        <f>R60-S60</f>
        <v>-0.24799999999999756</v>
      </c>
      <c r="U60">
        <f t="shared" si="0"/>
        <v>41.731000000000002</v>
      </c>
      <c r="W60" s="10" t="s">
        <v>162</v>
      </c>
      <c r="X60">
        <v>18</v>
      </c>
      <c r="Y60">
        <v>2003</v>
      </c>
      <c r="Z60">
        <v>3</v>
      </c>
      <c r="AA60">
        <v>37.462000000000003</v>
      </c>
      <c r="AB60">
        <v>5</v>
      </c>
      <c r="AC60">
        <v>156</v>
      </c>
      <c r="AE60" s="10" t="s">
        <v>162</v>
      </c>
      <c r="AF60">
        <v>18</v>
      </c>
      <c r="AG60">
        <v>1994</v>
      </c>
      <c r="AH60">
        <v>1</v>
      </c>
      <c r="AI60">
        <v>53.372</v>
      </c>
      <c r="AJ60">
        <v>0</v>
      </c>
      <c r="AK60">
        <v>0</v>
      </c>
      <c r="AT60">
        <v>2003</v>
      </c>
      <c r="AU60">
        <v>12</v>
      </c>
      <c r="AV60">
        <v>95.578000000000003</v>
      </c>
      <c r="AW60">
        <f t="shared" si="2"/>
        <v>-4.421999999999997</v>
      </c>
      <c r="AX60">
        <v>2</v>
      </c>
      <c r="AY60">
        <v>131</v>
      </c>
      <c r="BG60">
        <v>2003</v>
      </c>
      <c r="BH60">
        <v>12</v>
      </c>
      <c r="BI60">
        <v>48.582999999999998</v>
      </c>
      <c r="BJ60">
        <v>2</v>
      </c>
      <c r="BK60">
        <v>131</v>
      </c>
      <c r="BM60" s="10" t="s">
        <v>162</v>
      </c>
      <c r="BN60" s="10">
        <v>101</v>
      </c>
      <c r="BO60">
        <v>2001</v>
      </c>
      <c r="BP60">
        <v>3</v>
      </c>
      <c r="BQ60">
        <f t="shared" si="3"/>
        <v>-14.603999999999999</v>
      </c>
      <c r="BR60">
        <v>47.267000000000003</v>
      </c>
      <c r="BS60">
        <v>85.396000000000001</v>
      </c>
      <c r="BU60" s="10" t="s">
        <v>162</v>
      </c>
      <c r="BV60" s="10">
        <v>101</v>
      </c>
      <c r="BW60">
        <v>1991</v>
      </c>
      <c r="BX60">
        <v>12</v>
      </c>
      <c r="BY60">
        <f t="shared" si="4"/>
        <v>21.866</v>
      </c>
      <c r="BZ60">
        <v>63.704999999999998</v>
      </c>
      <c r="CA60">
        <v>121.866</v>
      </c>
      <c r="CC60">
        <v>2001</v>
      </c>
      <c r="CD60">
        <v>3</v>
      </c>
      <c r="CE60">
        <f t="shared" si="5"/>
        <v>-14.507999999999996</v>
      </c>
      <c r="CF60">
        <v>47.238999999999997</v>
      </c>
      <c r="CG60">
        <v>85.492000000000004</v>
      </c>
      <c r="CI60">
        <v>1991</v>
      </c>
      <c r="CJ60">
        <v>12</v>
      </c>
      <c r="CK60">
        <f t="shared" si="6"/>
        <v>21.786000000000001</v>
      </c>
      <c r="CL60">
        <v>63.661999999999999</v>
      </c>
      <c r="CM60">
        <v>121.786</v>
      </c>
    </row>
    <row r="61" spans="1:91" x14ac:dyDescent="0.2">
      <c r="A61">
        <v>2003</v>
      </c>
      <c r="B61">
        <v>4</v>
      </c>
      <c r="C61">
        <v>51.27</v>
      </c>
      <c r="E61">
        <v>1994</v>
      </c>
      <c r="F61">
        <v>2</v>
      </c>
      <c r="G61">
        <v>58.475999999999999</v>
      </c>
      <c r="I61">
        <v>2003</v>
      </c>
      <c r="J61">
        <v>4</v>
      </c>
      <c r="K61">
        <v>45.987000000000002</v>
      </c>
      <c r="P61">
        <v>2003</v>
      </c>
      <c r="Q61">
        <v>4</v>
      </c>
      <c r="R61">
        <v>40.241999999999997</v>
      </c>
      <c r="U61">
        <f t="shared" si="0"/>
        <v>46.220999999999997</v>
      </c>
      <c r="W61" s="10" t="s">
        <v>162</v>
      </c>
      <c r="X61">
        <v>18</v>
      </c>
      <c r="Y61">
        <v>2003</v>
      </c>
      <c r="Z61">
        <v>4</v>
      </c>
      <c r="AA61">
        <v>41.866</v>
      </c>
      <c r="AB61">
        <v>3</v>
      </c>
      <c r="AC61">
        <v>145</v>
      </c>
      <c r="AE61" s="10" t="s">
        <v>162</v>
      </c>
      <c r="AF61">
        <v>18</v>
      </c>
      <c r="AG61">
        <v>1994</v>
      </c>
      <c r="AH61">
        <v>2</v>
      </c>
      <c r="AI61">
        <v>53.308999999999997</v>
      </c>
      <c r="AJ61">
        <v>0</v>
      </c>
      <c r="AK61">
        <v>0</v>
      </c>
      <c r="AT61">
        <v>2004</v>
      </c>
      <c r="AU61">
        <v>1</v>
      </c>
      <c r="AV61">
        <v>95.525999999999996</v>
      </c>
      <c r="AW61">
        <f t="shared" si="2"/>
        <v>-4.4740000000000038</v>
      </c>
      <c r="AX61">
        <v>0</v>
      </c>
      <c r="AY61">
        <v>0</v>
      </c>
      <c r="BG61">
        <v>2004</v>
      </c>
      <c r="BH61">
        <v>1</v>
      </c>
      <c r="BI61">
        <v>48.506999999999998</v>
      </c>
      <c r="BJ61">
        <v>0</v>
      </c>
      <c r="BK61">
        <v>0</v>
      </c>
      <c r="BM61" s="10" t="s">
        <v>162</v>
      </c>
      <c r="BN61" s="10">
        <v>101</v>
      </c>
      <c r="BO61">
        <v>2001</v>
      </c>
      <c r="BP61">
        <v>4</v>
      </c>
      <c r="BQ61">
        <f t="shared" si="3"/>
        <v>-19.572999999999993</v>
      </c>
      <c r="BR61">
        <v>43.86</v>
      </c>
      <c r="BS61">
        <v>80.427000000000007</v>
      </c>
      <c r="BU61" s="10" t="s">
        <v>162</v>
      </c>
      <c r="BV61" s="10">
        <v>101</v>
      </c>
      <c r="BW61">
        <v>1992</v>
      </c>
      <c r="BX61">
        <v>1</v>
      </c>
      <c r="BY61">
        <f t="shared" si="4"/>
        <v>22.177000000000007</v>
      </c>
      <c r="BZ61">
        <v>63.985999999999997</v>
      </c>
      <c r="CA61">
        <v>122.17700000000001</v>
      </c>
      <c r="CC61">
        <v>2001</v>
      </c>
      <c r="CD61">
        <v>4</v>
      </c>
      <c r="CE61">
        <f t="shared" si="5"/>
        <v>-19.477999999999994</v>
      </c>
      <c r="CF61">
        <v>43.832999999999998</v>
      </c>
      <c r="CG61">
        <v>80.522000000000006</v>
      </c>
      <c r="CI61">
        <v>1992</v>
      </c>
      <c r="CJ61">
        <v>1</v>
      </c>
      <c r="CK61">
        <f t="shared" si="6"/>
        <v>22.096000000000004</v>
      </c>
      <c r="CL61">
        <v>63.944000000000003</v>
      </c>
      <c r="CM61">
        <v>122.096</v>
      </c>
    </row>
    <row r="62" spans="1:91" x14ac:dyDescent="0.2">
      <c r="A62">
        <v>2004</v>
      </c>
      <c r="B62">
        <v>1</v>
      </c>
      <c r="C62">
        <v>51.107999999999997</v>
      </c>
      <c r="E62">
        <v>1994</v>
      </c>
      <c r="F62">
        <v>3</v>
      </c>
      <c r="G62">
        <v>66.908000000000001</v>
      </c>
      <c r="I62">
        <v>2004</v>
      </c>
      <c r="J62">
        <v>1</v>
      </c>
      <c r="K62">
        <v>45.317999999999998</v>
      </c>
      <c r="P62">
        <v>2004</v>
      </c>
      <c r="Q62">
        <v>1</v>
      </c>
      <c r="R62">
        <v>40.387</v>
      </c>
      <c r="U62">
        <f t="shared" si="0"/>
        <v>46.366</v>
      </c>
      <c r="W62" s="10" t="s">
        <v>162</v>
      </c>
      <c r="X62">
        <v>18</v>
      </c>
      <c r="Y62">
        <v>2004</v>
      </c>
      <c r="Z62">
        <v>1</v>
      </c>
      <c r="AA62">
        <v>42.405999999999999</v>
      </c>
      <c r="AB62">
        <v>2</v>
      </c>
      <c r="AC62">
        <v>105</v>
      </c>
      <c r="AE62" s="10" t="s">
        <v>162</v>
      </c>
      <c r="AF62">
        <v>18</v>
      </c>
      <c r="AG62">
        <v>1994</v>
      </c>
      <c r="AH62">
        <v>3</v>
      </c>
      <c r="AI62">
        <v>58.027999999999999</v>
      </c>
      <c r="AJ62">
        <v>1</v>
      </c>
      <c r="AK62">
        <v>60</v>
      </c>
      <c r="AT62">
        <v>2004</v>
      </c>
      <c r="AU62">
        <v>2</v>
      </c>
      <c r="AV62">
        <v>95.117000000000004</v>
      </c>
      <c r="AW62">
        <f t="shared" si="2"/>
        <v>-4.8829999999999956</v>
      </c>
      <c r="AX62">
        <v>1</v>
      </c>
      <c r="AY62">
        <v>92</v>
      </c>
      <c r="BG62">
        <v>2004</v>
      </c>
      <c r="BH62">
        <v>2</v>
      </c>
      <c r="BI62">
        <v>48.225000000000001</v>
      </c>
      <c r="BJ62">
        <v>1</v>
      </c>
      <c r="BK62">
        <v>92</v>
      </c>
      <c r="BM62" s="10" t="s">
        <v>162</v>
      </c>
      <c r="BN62" s="10">
        <v>101</v>
      </c>
      <c r="BO62">
        <v>2002</v>
      </c>
      <c r="BP62">
        <v>1</v>
      </c>
      <c r="BQ62">
        <f t="shared" si="3"/>
        <v>-21.594999999999999</v>
      </c>
      <c r="BR62">
        <v>42.639000000000003</v>
      </c>
      <c r="BS62">
        <v>78.405000000000001</v>
      </c>
      <c r="BU62" s="10" t="s">
        <v>162</v>
      </c>
      <c r="BV62" s="10">
        <v>101</v>
      </c>
      <c r="BW62">
        <v>1992</v>
      </c>
      <c r="BX62">
        <v>2</v>
      </c>
      <c r="BY62">
        <f t="shared" si="4"/>
        <v>24.668000000000006</v>
      </c>
      <c r="BZ62">
        <v>65.405000000000001</v>
      </c>
      <c r="CA62">
        <v>124.66800000000001</v>
      </c>
      <c r="CC62">
        <v>2002</v>
      </c>
      <c r="CD62">
        <v>1</v>
      </c>
      <c r="CE62">
        <f t="shared" si="5"/>
        <v>-21.5</v>
      </c>
      <c r="CF62">
        <v>42.612000000000002</v>
      </c>
      <c r="CG62">
        <v>78.5</v>
      </c>
      <c r="CI62">
        <v>1992</v>
      </c>
      <c r="CJ62">
        <v>2</v>
      </c>
      <c r="CK62">
        <f t="shared" si="6"/>
        <v>24.581999999999994</v>
      </c>
      <c r="CL62">
        <v>65.361000000000004</v>
      </c>
      <c r="CM62">
        <v>124.58199999999999</v>
      </c>
    </row>
    <row r="63" spans="1:91" x14ac:dyDescent="0.2">
      <c r="A63">
        <v>2004</v>
      </c>
      <c r="B63">
        <v>2</v>
      </c>
      <c r="C63">
        <v>51.997</v>
      </c>
      <c r="E63">
        <v>1994</v>
      </c>
      <c r="F63">
        <v>4</v>
      </c>
      <c r="G63">
        <v>64.278999999999996</v>
      </c>
      <c r="I63">
        <v>2004</v>
      </c>
      <c r="J63">
        <v>2</v>
      </c>
      <c r="K63">
        <v>45.68</v>
      </c>
      <c r="P63">
        <v>2004</v>
      </c>
      <c r="Q63">
        <v>2</v>
      </c>
      <c r="R63">
        <v>42.2</v>
      </c>
      <c r="S63">
        <v>43</v>
      </c>
      <c r="T63">
        <f>R63-S63</f>
        <v>-0.79999999999999716</v>
      </c>
      <c r="U63">
        <f t="shared" si="0"/>
        <v>48.179000000000002</v>
      </c>
      <c r="W63" s="10" t="s">
        <v>162</v>
      </c>
      <c r="X63">
        <v>18</v>
      </c>
      <c r="Y63">
        <v>2004</v>
      </c>
      <c r="Z63">
        <v>2</v>
      </c>
      <c r="AA63">
        <v>44.444000000000003</v>
      </c>
      <c r="AB63">
        <v>5</v>
      </c>
      <c r="AC63">
        <v>165</v>
      </c>
      <c r="AE63" s="10" t="s">
        <v>162</v>
      </c>
      <c r="AF63">
        <v>18</v>
      </c>
      <c r="AG63">
        <v>1994</v>
      </c>
      <c r="AH63">
        <v>4</v>
      </c>
      <c r="AI63">
        <v>57.348999999999997</v>
      </c>
      <c r="AJ63">
        <v>0</v>
      </c>
      <c r="AK63">
        <v>0</v>
      </c>
      <c r="AT63">
        <v>2004</v>
      </c>
      <c r="AU63">
        <v>3</v>
      </c>
      <c r="AV63">
        <v>88.087000000000003</v>
      </c>
      <c r="AW63">
        <f t="shared" si="2"/>
        <v>-11.912999999999997</v>
      </c>
      <c r="AX63">
        <v>1</v>
      </c>
      <c r="AY63">
        <v>1</v>
      </c>
      <c r="BG63">
        <v>2004</v>
      </c>
      <c r="BH63">
        <v>3</v>
      </c>
      <c r="BI63">
        <v>44.488999999999997</v>
      </c>
      <c r="BJ63">
        <v>1</v>
      </c>
      <c r="BK63">
        <v>1</v>
      </c>
      <c r="BM63" s="10" t="s">
        <v>162</v>
      </c>
      <c r="BN63" s="10">
        <v>101</v>
      </c>
      <c r="BO63">
        <v>2002</v>
      </c>
      <c r="BP63">
        <v>2</v>
      </c>
      <c r="BQ63">
        <f t="shared" si="3"/>
        <v>-20.929000000000002</v>
      </c>
      <c r="BR63">
        <v>43.244</v>
      </c>
      <c r="BS63">
        <v>79.070999999999998</v>
      </c>
      <c r="BU63" s="10" t="s">
        <v>162</v>
      </c>
      <c r="BV63" s="10">
        <v>101</v>
      </c>
      <c r="BW63">
        <v>1992</v>
      </c>
      <c r="BX63">
        <v>3</v>
      </c>
      <c r="BY63">
        <f t="shared" si="4"/>
        <v>24.435000000000002</v>
      </c>
      <c r="BZ63">
        <v>65.376999999999995</v>
      </c>
      <c r="CA63">
        <v>124.435</v>
      </c>
      <c r="CC63">
        <v>2002</v>
      </c>
      <c r="CD63">
        <v>2</v>
      </c>
      <c r="CE63">
        <f t="shared" si="5"/>
        <v>-20.834999999999994</v>
      </c>
      <c r="CF63">
        <v>43.216999999999999</v>
      </c>
      <c r="CG63">
        <v>79.165000000000006</v>
      </c>
      <c r="CI63">
        <v>1992</v>
      </c>
      <c r="CJ63">
        <v>3</v>
      </c>
      <c r="CK63">
        <f t="shared" si="6"/>
        <v>24.349999999999994</v>
      </c>
      <c r="CL63">
        <v>65.334999999999994</v>
      </c>
      <c r="CM63">
        <v>124.35</v>
      </c>
    </row>
    <row r="64" spans="1:91" x14ac:dyDescent="0.2">
      <c r="A64">
        <v>2004</v>
      </c>
      <c r="B64">
        <v>3</v>
      </c>
      <c r="C64">
        <v>56.679000000000002</v>
      </c>
      <c r="E64">
        <v>1994</v>
      </c>
      <c r="F64">
        <v>5</v>
      </c>
      <c r="G64">
        <v>64.370999999999995</v>
      </c>
      <c r="I64">
        <v>2004</v>
      </c>
      <c r="J64">
        <v>3</v>
      </c>
      <c r="K64">
        <v>51.206000000000003</v>
      </c>
      <c r="P64">
        <v>2004</v>
      </c>
      <c r="Q64">
        <v>3</v>
      </c>
      <c r="R64">
        <v>45.494999999999997</v>
      </c>
      <c r="U64">
        <f t="shared" si="0"/>
        <v>51.473999999999997</v>
      </c>
      <c r="W64" s="10" t="s">
        <v>162</v>
      </c>
      <c r="X64">
        <v>18</v>
      </c>
      <c r="Y64">
        <v>2004</v>
      </c>
      <c r="Z64">
        <v>3</v>
      </c>
      <c r="AA64">
        <v>47.856999999999999</v>
      </c>
      <c r="AB64">
        <v>2</v>
      </c>
      <c r="AC64">
        <v>88</v>
      </c>
      <c r="AE64" s="10" t="s">
        <v>162</v>
      </c>
      <c r="AF64">
        <v>18</v>
      </c>
      <c r="AG64">
        <v>1994</v>
      </c>
      <c r="AH64">
        <v>5</v>
      </c>
      <c r="AI64">
        <v>58.063000000000002</v>
      </c>
      <c r="AJ64">
        <v>0</v>
      </c>
      <c r="AK64">
        <v>0</v>
      </c>
      <c r="AT64">
        <v>2004</v>
      </c>
      <c r="AU64">
        <v>4</v>
      </c>
      <c r="AV64">
        <v>85.881</v>
      </c>
      <c r="AW64">
        <f t="shared" si="2"/>
        <v>-14.119</v>
      </c>
      <c r="AX64">
        <v>0</v>
      </c>
      <c r="AY64">
        <v>0</v>
      </c>
      <c r="BG64">
        <v>2004</v>
      </c>
      <c r="BH64">
        <v>4</v>
      </c>
      <c r="BI64">
        <v>43.396000000000001</v>
      </c>
      <c r="BJ64">
        <v>0</v>
      </c>
      <c r="BK64">
        <v>0</v>
      </c>
      <c r="BM64" s="10" t="s">
        <v>162</v>
      </c>
      <c r="BN64" s="10">
        <v>101</v>
      </c>
      <c r="BO64">
        <v>2002</v>
      </c>
      <c r="BP64">
        <v>3</v>
      </c>
      <c r="BQ64">
        <f t="shared" si="3"/>
        <v>-20.875</v>
      </c>
      <c r="BR64">
        <v>43.152999999999999</v>
      </c>
      <c r="BS64">
        <v>79.125</v>
      </c>
      <c r="BU64" s="10" t="s">
        <v>162</v>
      </c>
      <c r="BV64" s="10">
        <v>101</v>
      </c>
      <c r="BW64">
        <v>1992</v>
      </c>
      <c r="BX64">
        <v>4</v>
      </c>
      <c r="BY64">
        <f t="shared" si="4"/>
        <v>24.272999999999996</v>
      </c>
      <c r="BZ64">
        <v>65.287000000000006</v>
      </c>
      <c r="CA64">
        <v>124.273</v>
      </c>
      <c r="CC64">
        <v>2002</v>
      </c>
      <c r="CD64">
        <v>3</v>
      </c>
      <c r="CE64">
        <f t="shared" si="5"/>
        <v>-20.778000000000006</v>
      </c>
      <c r="CF64">
        <v>43.127000000000002</v>
      </c>
      <c r="CG64">
        <v>79.221999999999994</v>
      </c>
      <c r="CI64">
        <v>1992</v>
      </c>
      <c r="CJ64">
        <v>4</v>
      </c>
      <c r="CK64">
        <f t="shared" si="6"/>
        <v>24.188000000000002</v>
      </c>
      <c r="CL64">
        <v>65.245000000000005</v>
      </c>
      <c r="CM64">
        <v>124.188</v>
      </c>
    </row>
    <row r="65" spans="1:91" x14ac:dyDescent="0.2">
      <c r="A65">
        <v>2004</v>
      </c>
      <c r="B65">
        <v>4</v>
      </c>
      <c r="C65">
        <v>58.941000000000003</v>
      </c>
      <c r="E65">
        <v>1994</v>
      </c>
      <c r="F65">
        <v>6</v>
      </c>
      <c r="G65">
        <v>60.755000000000003</v>
      </c>
      <c r="I65">
        <v>2004</v>
      </c>
      <c r="J65">
        <v>4</v>
      </c>
      <c r="K65">
        <v>53.158999999999999</v>
      </c>
      <c r="P65">
        <v>2004</v>
      </c>
      <c r="Q65">
        <v>4</v>
      </c>
      <c r="R65">
        <v>49.548000000000002</v>
      </c>
      <c r="U65">
        <f t="shared" si="0"/>
        <v>55.527000000000001</v>
      </c>
      <c r="W65" s="10" t="s">
        <v>162</v>
      </c>
      <c r="X65">
        <v>18</v>
      </c>
      <c r="Y65">
        <v>2004</v>
      </c>
      <c r="Z65">
        <v>4</v>
      </c>
      <c r="AA65">
        <v>52.286999999999999</v>
      </c>
      <c r="AB65">
        <v>2</v>
      </c>
      <c r="AC65">
        <v>105</v>
      </c>
      <c r="AE65" s="10" t="s">
        <v>162</v>
      </c>
      <c r="AF65">
        <v>18</v>
      </c>
      <c r="AG65">
        <v>1994</v>
      </c>
      <c r="AH65">
        <v>6</v>
      </c>
      <c r="AI65">
        <v>56.613999999999997</v>
      </c>
      <c r="AJ65">
        <v>1</v>
      </c>
      <c r="AK65">
        <v>60</v>
      </c>
      <c r="AT65">
        <v>2004</v>
      </c>
      <c r="AU65">
        <v>5</v>
      </c>
      <c r="AV65">
        <v>92.424000000000007</v>
      </c>
      <c r="AW65">
        <f t="shared" si="2"/>
        <v>-7.5759999999999934</v>
      </c>
      <c r="AX65">
        <v>1</v>
      </c>
      <c r="AY65">
        <v>92</v>
      </c>
      <c r="BG65">
        <v>2004</v>
      </c>
      <c r="BH65">
        <v>5</v>
      </c>
      <c r="BI65">
        <v>46.944000000000003</v>
      </c>
      <c r="BJ65">
        <v>1</v>
      </c>
      <c r="BK65">
        <v>92</v>
      </c>
      <c r="BM65" s="10" t="s">
        <v>162</v>
      </c>
      <c r="BN65" s="10">
        <v>101</v>
      </c>
      <c r="BO65">
        <v>2002</v>
      </c>
      <c r="BP65">
        <v>4</v>
      </c>
      <c r="BQ65">
        <f t="shared" si="3"/>
        <v>-21.822999999999993</v>
      </c>
      <c r="BR65">
        <v>42.637</v>
      </c>
      <c r="BS65">
        <v>78.177000000000007</v>
      </c>
      <c r="BU65" s="10" t="s">
        <v>162</v>
      </c>
      <c r="BV65" s="10">
        <v>101</v>
      </c>
      <c r="BW65">
        <v>1992</v>
      </c>
      <c r="BX65">
        <v>5</v>
      </c>
      <c r="BY65">
        <f t="shared" si="4"/>
        <v>23.028000000000006</v>
      </c>
      <c r="BZ65">
        <v>64.641999999999996</v>
      </c>
      <c r="CA65">
        <v>123.02800000000001</v>
      </c>
      <c r="CC65">
        <v>2002</v>
      </c>
      <c r="CD65">
        <v>4</v>
      </c>
      <c r="CE65">
        <f t="shared" si="5"/>
        <v>-21.727999999999994</v>
      </c>
      <c r="CF65">
        <v>42.610999999999997</v>
      </c>
      <c r="CG65">
        <v>78.272000000000006</v>
      </c>
      <c r="CI65">
        <v>1992</v>
      </c>
      <c r="CJ65">
        <v>5</v>
      </c>
      <c r="CK65">
        <f t="shared" si="6"/>
        <v>22.945999999999998</v>
      </c>
      <c r="CL65">
        <v>64.602000000000004</v>
      </c>
      <c r="CM65">
        <v>122.946</v>
      </c>
    </row>
    <row r="66" spans="1:91" x14ac:dyDescent="0.2">
      <c r="A66">
        <v>2005</v>
      </c>
      <c r="B66">
        <v>1</v>
      </c>
      <c r="C66">
        <v>58.616</v>
      </c>
      <c r="E66">
        <v>1994</v>
      </c>
      <c r="F66">
        <v>7</v>
      </c>
      <c r="G66">
        <v>58.030999999999999</v>
      </c>
      <c r="I66">
        <v>2005</v>
      </c>
      <c r="J66">
        <v>1</v>
      </c>
      <c r="K66">
        <v>53.076999999999998</v>
      </c>
      <c r="P66">
        <v>2005</v>
      </c>
      <c r="Q66">
        <v>1</v>
      </c>
      <c r="R66">
        <v>52.935000000000002</v>
      </c>
      <c r="U66">
        <f t="shared" si="0"/>
        <v>58.914000000000001</v>
      </c>
      <c r="W66" s="10" t="s">
        <v>162</v>
      </c>
      <c r="X66">
        <v>18</v>
      </c>
      <c r="Y66">
        <v>2005</v>
      </c>
      <c r="Z66">
        <v>1</v>
      </c>
      <c r="AA66">
        <v>56.414999999999999</v>
      </c>
      <c r="AB66">
        <v>4</v>
      </c>
      <c r="AC66">
        <v>149</v>
      </c>
      <c r="AE66" s="10" t="s">
        <v>162</v>
      </c>
      <c r="AF66">
        <v>18</v>
      </c>
      <c r="AG66">
        <v>1994</v>
      </c>
      <c r="AH66">
        <v>7</v>
      </c>
      <c r="AI66">
        <v>53.889000000000003</v>
      </c>
      <c r="AJ66">
        <v>0</v>
      </c>
      <c r="AK66">
        <v>0</v>
      </c>
      <c r="AT66">
        <v>2004</v>
      </c>
      <c r="AU66">
        <v>6</v>
      </c>
      <c r="AV66">
        <v>99.763000000000005</v>
      </c>
      <c r="AW66">
        <f t="shared" si="2"/>
        <v>-0.23699999999999477</v>
      </c>
      <c r="AX66">
        <v>1</v>
      </c>
      <c r="AY66">
        <v>39</v>
      </c>
      <c r="BG66">
        <v>2004</v>
      </c>
      <c r="BH66">
        <v>6</v>
      </c>
      <c r="BI66">
        <v>50.914000000000001</v>
      </c>
      <c r="BJ66">
        <v>1</v>
      </c>
      <c r="BK66">
        <v>39</v>
      </c>
      <c r="BM66" s="10" t="s">
        <v>162</v>
      </c>
      <c r="BN66" s="10">
        <v>101</v>
      </c>
      <c r="BO66">
        <v>2003</v>
      </c>
      <c r="BP66">
        <v>1</v>
      </c>
      <c r="BQ66">
        <f t="shared" si="3"/>
        <v>-22.424000000000007</v>
      </c>
      <c r="BR66">
        <v>42.366999999999997</v>
      </c>
      <c r="BS66">
        <v>77.575999999999993</v>
      </c>
      <c r="BU66" s="10" t="s">
        <v>162</v>
      </c>
      <c r="BV66" s="10">
        <v>101</v>
      </c>
      <c r="BW66">
        <v>1992</v>
      </c>
      <c r="BX66">
        <v>6</v>
      </c>
      <c r="BY66">
        <f t="shared" si="4"/>
        <v>22.602000000000004</v>
      </c>
      <c r="BZ66">
        <v>64.835999999999999</v>
      </c>
      <c r="CA66">
        <v>122.602</v>
      </c>
      <c r="CC66">
        <v>2003</v>
      </c>
      <c r="CD66">
        <v>1</v>
      </c>
      <c r="CE66">
        <f t="shared" si="5"/>
        <v>-22.331999999999994</v>
      </c>
      <c r="CF66">
        <v>42.338999999999999</v>
      </c>
      <c r="CG66">
        <v>77.668000000000006</v>
      </c>
      <c r="CI66">
        <v>1992</v>
      </c>
      <c r="CJ66">
        <v>6</v>
      </c>
      <c r="CK66">
        <f t="shared" si="6"/>
        <v>22.519999999999996</v>
      </c>
      <c r="CL66">
        <v>64.793999999999997</v>
      </c>
      <c r="CM66">
        <v>122.52</v>
      </c>
    </row>
    <row r="67" spans="1:91" x14ac:dyDescent="0.2">
      <c r="A67">
        <v>2005</v>
      </c>
      <c r="B67">
        <v>2</v>
      </c>
      <c r="C67">
        <v>59.712000000000003</v>
      </c>
      <c r="E67">
        <v>1994</v>
      </c>
      <c r="F67">
        <v>8</v>
      </c>
      <c r="G67">
        <v>57.991999999999997</v>
      </c>
      <c r="I67">
        <v>2005</v>
      </c>
      <c r="J67">
        <v>2</v>
      </c>
      <c r="K67">
        <v>52.994999999999997</v>
      </c>
      <c r="P67">
        <v>2005</v>
      </c>
      <c r="Q67">
        <v>2</v>
      </c>
      <c r="R67">
        <v>52.23</v>
      </c>
      <c r="U67">
        <f t="shared" ref="U67:U90" si="7">R67+5.979</f>
        <v>58.208999999999996</v>
      </c>
      <c r="W67" s="10" t="s">
        <v>162</v>
      </c>
      <c r="X67">
        <v>18</v>
      </c>
      <c r="Y67">
        <v>2005</v>
      </c>
      <c r="Z67">
        <v>2</v>
      </c>
      <c r="AA67">
        <v>57.06</v>
      </c>
      <c r="AB67">
        <v>4</v>
      </c>
      <c r="AC67">
        <v>156</v>
      </c>
      <c r="AE67" s="10" t="s">
        <v>162</v>
      </c>
      <c r="AF67">
        <v>18</v>
      </c>
      <c r="AG67">
        <v>1994</v>
      </c>
      <c r="AH67">
        <v>8</v>
      </c>
      <c r="AI67">
        <v>53.232999999999997</v>
      </c>
      <c r="AJ67">
        <v>0</v>
      </c>
      <c r="AK67">
        <v>0</v>
      </c>
      <c r="AT67">
        <v>2004</v>
      </c>
      <c r="AU67">
        <v>7</v>
      </c>
      <c r="AV67">
        <v>100.759</v>
      </c>
      <c r="AW67">
        <f t="shared" ref="AW67:AW130" si="8">AV67-100</f>
        <v>0.75900000000000034</v>
      </c>
      <c r="AX67">
        <v>2</v>
      </c>
      <c r="AY67">
        <v>93</v>
      </c>
      <c r="BG67">
        <v>2004</v>
      </c>
      <c r="BH67">
        <v>7</v>
      </c>
      <c r="BI67">
        <v>51.267000000000003</v>
      </c>
      <c r="BJ67">
        <v>2</v>
      </c>
      <c r="BK67">
        <v>93</v>
      </c>
      <c r="BM67" s="10" t="s">
        <v>162</v>
      </c>
      <c r="BN67" s="10">
        <v>101</v>
      </c>
      <c r="BO67">
        <v>2003</v>
      </c>
      <c r="BP67">
        <v>2</v>
      </c>
      <c r="BQ67">
        <f t="shared" ref="BQ67:BQ118" si="9">BS67-100</f>
        <v>-21.302000000000007</v>
      </c>
      <c r="BR67">
        <v>43.179000000000002</v>
      </c>
      <c r="BS67">
        <v>78.697999999999993</v>
      </c>
      <c r="BU67" s="10" t="s">
        <v>162</v>
      </c>
      <c r="BV67" s="10">
        <v>101</v>
      </c>
      <c r="BW67">
        <v>1992</v>
      </c>
      <c r="BX67">
        <v>7</v>
      </c>
      <c r="BY67">
        <f t="shared" ref="BY67:BY130" si="10">CA67-100</f>
        <v>20.558999999999997</v>
      </c>
      <c r="BZ67">
        <v>64.322000000000003</v>
      </c>
      <c r="CA67">
        <v>120.559</v>
      </c>
      <c r="CC67">
        <v>2003</v>
      </c>
      <c r="CD67">
        <v>2</v>
      </c>
      <c r="CE67">
        <f t="shared" ref="CE67:CE118" si="11">CG67-100</f>
        <v>-21.209000000000003</v>
      </c>
      <c r="CF67">
        <v>43.152000000000001</v>
      </c>
      <c r="CG67">
        <v>78.790999999999997</v>
      </c>
      <c r="CI67">
        <v>1992</v>
      </c>
      <c r="CJ67">
        <v>7</v>
      </c>
      <c r="CK67">
        <f t="shared" ref="CK67:CK130" si="12">CM67-100</f>
        <v>20.480999999999995</v>
      </c>
      <c r="CL67">
        <v>64.281999999999996</v>
      </c>
      <c r="CM67">
        <v>120.48099999999999</v>
      </c>
    </row>
    <row r="68" spans="1:91" x14ac:dyDescent="0.2">
      <c r="A68">
        <v>2005</v>
      </c>
      <c r="B68">
        <v>3</v>
      </c>
      <c r="C68">
        <v>59.427</v>
      </c>
      <c r="E68">
        <v>1994</v>
      </c>
      <c r="F68">
        <v>9</v>
      </c>
      <c r="G68">
        <v>57.988</v>
      </c>
      <c r="I68">
        <v>2005</v>
      </c>
      <c r="J68">
        <v>3</v>
      </c>
      <c r="K68">
        <v>53.79</v>
      </c>
      <c r="P68">
        <v>2005</v>
      </c>
      <c r="Q68">
        <v>3</v>
      </c>
      <c r="R68">
        <v>50.347000000000001</v>
      </c>
      <c r="S68">
        <v>65</v>
      </c>
      <c r="T68">
        <f>R68-S68</f>
        <v>-14.652999999999999</v>
      </c>
      <c r="U68">
        <f t="shared" si="7"/>
        <v>56.326000000000001</v>
      </c>
      <c r="W68" s="10" t="s">
        <v>162</v>
      </c>
      <c r="X68">
        <v>18</v>
      </c>
      <c r="Y68">
        <v>2005</v>
      </c>
      <c r="Z68">
        <v>3</v>
      </c>
      <c r="AA68">
        <v>54.079000000000001</v>
      </c>
      <c r="AB68">
        <v>4</v>
      </c>
      <c r="AC68">
        <v>154</v>
      </c>
      <c r="AE68" s="10" t="s">
        <v>162</v>
      </c>
      <c r="AF68">
        <v>18</v>
      </c>
      <c r="AG68">
        <v>1994</v>
      </c>
      <c r="AH68">
        <v>9</v>
      </c>
      <c r="AI68">
        <v>53.012999999999998</v>
      </c>
      <c r="AJ68">
        <v>0</v>
      </c>
      <c r="AK68">
        <v>0</v>
      </c>
      <c r="AT68">
        <v>2004</v>
      </c>
      <c r="AU68">
        <v>8</v>
      </c>
      <c r="AV68">
        <v>103.38200000000001</v>
      </c>
      <c r="AW68">
        <f t="shared" si="8"/>
        <v>3.382000000000005</v>
      </c>
      <c r="AX68">
        <v>0</v>
      </c>
      <c r="AY68">
        <v>0</v>
      </c>
      <c r="BG68">
        <v>2004</v>
      </c>
      <c r="BH68">
        <v>8</v>
      </c>
      <c r="BI68">
        <v>52.701000000000001</v>
      </c>
      <c r="BJ68">
        <v>0</v>
      </c>
      <c r="BK68">
        <v>0</v>
      </c>
      <c r="BM68" s="10" t="s">
        <v>162</v>
      </c>
      <c r="BN68" s="10">
        <v>101</v>
      </c>
      <c r="BO68">
        <v>2003</v>
      </c>
      <c r="BP68">
        <v>3</v>
      </c>
      <c r="BQ68">
        <f t="shared" si="9"/>
        <v>-22.652000000000001</v>
      </c>
      <c r="BR68">
        <v>42.173999999999999</v>
      </c>
      <c r="BS68">
        <v>77.347999999999999</v>
      </c>
      <c r="BU68" s="10" t="s">
        <v>162</v>
      </c>
      <c r="BV68" s="10">
        <v>101</v>
      </c>
      <c r="BW68">
        <v>1992</v>
      </c>
      <c r="BX68">
        <v>8</v>
      </c>
      <c r="BY68">
        <f t="shared" si="10"/>
        <v>8.6020000000000039</v>
      </c>
      <c r="BZ68">
        <v>56.329000000000001</v>
      </c>
      <c r="CA68">
        <v>108.602</v>
      </c>
      <c r="CC68">
        <v>2003</v>
      </c>
      <c r="CD68">
        <v>3</v>
      </c>
      <c r="CE68">
        <f t="shared" si="11"/>
        <v>-22.510999999999996</v>
      </c>
      <c r="CF68">
        <v>42.18</v>
      </c>
      <c r="CG68">
        <v>77.489000000000004</v>
      </c>
      <c r="CI68">
        <v>1992</v>
      </c>
      <c r="CJ68">
        <v>8</v>
      </c>
      <c r="CK68">
        <f t="shared" si="12"/>
        <v>8.5450000000000017</v>
      </c>
      <c r="CL68">
        <v>56.325000000000003</v>
      </c>
      <c r="CM68">
        <v>108.545</v>
      </c>
    </row>
    <row r="69" spans="1:91" x14ac:dyDescent="0.2">
      <c r="A69">
        <v>2005</v>
      </c>
      <c r="B69">
        <v>4</v>
      </c>
      <c r="C69">
        <v>61.167000000000002</v>
      </c>
      <c r="E69">
        <v>1994</v>
      </c>
      <c r="F69">
        <v>10</v>
      </c>
      <c r="G69">
        <v>57.987000000000002</v>
      </c>
      <c r="I69">
        <v>2005</v>
      </c>
      <c r="J69">
        <v>4</v>
      </c>
      <c r="K69">
        <v>54.756999999999998</v>
      </c>
      <c r="P69">
        <v>2005</v>
      </c>
      <c r="Q69">
        <v>4</v>
      </c>
      <c r="R69">
        <v>54.713999999999999</v>
      </c>
      <c r="U69">
        <f t="shared" si="7"/>
        <v>60.692999999999998</v>
      </c>
      <c r="W69" s="10" t="s">
        <v>162</v>
      </c>
      <c r="X69">
        <v>18</v>
      </c>
      <c r="Y69">
        <v>2005</v>
      </c>
      <c r="Z69">
        <v>4</v>
      </c>
      <c r="AA69">
        <v>58.597000000000001</v>
      </c>
      <c r="AB69">
        <v>2</v>
      </c>
      <c r="AC69">
        <v>88</v>
      </c>
      <c r="AE69" s="10" t="s">
        <v>162</v>
      </c>
      <c r="AF69">
        <v>18</v>
      </c>
      <c r="AG69">
        <v>1994</v>
      </c>
      <c r="AH69">
        <v>10</v>
      </c>
      <c r="AI69">
        <v>52.92</v>
      </c>
      <c r="AJ69">
        <v>0</v>
      </c>
      <c r="AK69">
        <v>0</v>
      </c>
      <c r="AT69">
        <v>2004</v>
      </c>
      <c r="AU69">
        <v>9</v>
      </c>
      <c r="AV69">
        <v>106.34</v>
      </c>
      <c r="AW69">
        <f t="shared" si="8"/>
        <v>6.3400000000000034</v>
      </c>
      <c r="AX69">
        <v>1</v>
      </c>
      <c r="AY69">
        <v>39</v>
      </c>
      <c r="BG69">
        <v>2004</v>
      </c>
      <c r="BH69">
        <v>9</v>
      </c>
      <c r="BI69">
        <v>54.485999999999997</v>
      </c>
      <c r="BJ69">
        <v>1</v>
      </c>
      <c r="BK69">
        <v>39</v>
      </c>
      <c r="BM69" s="10" t="s">
        <v>162</v>
      </c>
      <c r="BN69" s="10">
        <v>101</v>
      </c>
      <c r="BO69">
        <v>2003</v>
      </c>
      <c r="BP69">
        <v>4</v>
      </c>
      <c r="BQ69">
        <f t="shared" si="9"/>
        <v>-20.516000000000005</v>
      </c>
      <c r="BR69">
        <v>43.665999999999997</v>
      </c>
      <c r="BS69">
        <v>79.483999999999995</v>
      </c>
      <c r="BU69" s="10" t="s">
        <v>162</v>
      </c>
      <c r="BV69" s="10">
        <v>101</v>
      </c>
      <c r="BW69">
        <v>1992</v>
      </c>
      <c r="BX69">
        <v>9</v>
      </c>
      <c r="BY69">
        <f t="shared" si="10"/>
        <v>20.257999999999996</v>
      </c>
      <c r="BZ69">
        <v>62.505000000000003</v>
      </c>
      <c r="CA69">
        <v>120.258</v>
      </c>
      <c r="CC69">
        <v>2003</v>
      </c>
      <c r="CD69">
        <v>4</v>
      </c>
      <c r="CE69">
        <f t="shared" si="11"/>
        <v>-20.406000000000006</v>
      </c>
      <c r="CF69">
        <v>43.648000000000003</v>
      </c>
      <c r="CG69">
        <v>79.593999999999994</v>
      </c>
      <c r="CI69">
        <v>1992</v>
      </c>
      <c r="CJ69">
        <v>9</v>
      </c>
      <c r="CK69">
        <f t="shared" si="12"/>
        <v>20.182000000000002</v>
      </c>
      <c r="CL69">
        <v>62.460999999999999</v>
      </c>
      <c r="CM69">
        <v>120.182</v>
      </c>
    </row>
    <row r="70" spans="1:91" x14ac:dyDescent="0.2">
      <c r="A70">
        <v>2006</v>
      </c>
      <c r="B70">
        <v>1</v>
      </c>
      <c r="C70">
        <v>59.933999999999997</v>
      </c>
      <c r="E70">
        <v>1994</v>
      </c>
      <c r="F70">
        <v>11</v>
      </c>
      <c r="G70">
        <v>57.987000000000002</v>
      </c>
      <c r="I70">
        <v>2006</v>
      </c>
      <c r="J70">
        <v>1</v>
      </c>
      <c r="K70">
        <v>53.905999999999999</v>
      </c>
      <c r="P70">
        <v>2006</v>
      </c>
      <c r="Q70">
        <v>1</v>
      </c>
      <c r="R70">
        <v>53.613</v>
      </c>
      <c r="U70">
        <f t="shared" si="7"/>
        <v>59.591999999999999</v>
      </c>
      <c r="W70" s="10" t="s">
        <v>162</v>
      </c>
      <c r="X70">
        <v>18</v>
      </c>
      <c r="Y70">
        <v>2006</v>
      </c>
      <c r="Z70">
        <v>1</v>
      </c>
      <c r="AA70">
        <v>58.497</v>
      </c>
      <c r="AB70">
        <v>4</v>
      </c>
      <c r="AC70">
        <v>156</v>
      </c>
      <c r="AE70" s="10" t="s">
        <v>162</v>
      </c>
      <c r="AF70">
        <v>18</v>
      </c>
      <c r="AG70">
        <v>1994</v>
      </c>
      <c r="AH70">
        <v>11</v>
      </c>
      <c r="AI70">
        <v>52.875</v>
      </c>
      <c r="AJ70">
        <v>0</v>
      </c>
      <c r="AK70">
        <v>0</v>
      </c>
      <c r="AT70">
        <v>2004</v>
      </c>
      <c r="AU70">
        <v>10</v>
      </c>
      <c r="AV70">
        <v>105.837</v>
      </c>
      <c r="AW70">
        <f t="shared" si="8"/>
        <v>5.8370000000000033</v>
      </c>
      <c r="AX70">
        <v>1</v>
      </c>
      <c r="AY70">
        <v>92</v>
      </c>
      <c r="BG70">
        <v>2004</v>
      </c>
      <c r="BH70">
        <v>10</v>
      </c>
      <c r="BI70">
        <v>54.02</v>
      </c>
      <c r="BJ70">
        <v>1</v>
      </c>
      <c r="BK70">
        <v>92</v>
      </c>
      <c r="BM70" s="10" t="s">
        <v>162</v>
      </c>
      <c r="BN70" s="10">
        <v>101</v>
      </c>
      <c r="BO70">
        <v>2004</v>
      </c>
      <c r="BP70">
        <v>1</v>
      </c>
      <c r="BQ70">
        <f t="shared" si="9"/>
        <v>-19.712000000000003</v>
      </c>
      <c r="BR70">
        <v>44.155999999999999</v>
      </c>
      <c r="BS70">
        <v>80.287999999999997</v>
      </c>
      <c r="BU70" s="10" t="s">
        <v>162</v>
      </c>
      <c r="BV70" s="10">
        <v>101</v>
      </c>
      <c r="BW70">
        <v>1992</v>
      </c>
      <c r="BX70">
        <v>10</v>
      </c>
      <c r="BY70">
        <f t="shared" si="10"/>
        <v>27.852999999999994</v>
      </c>
      <c r="BZ70">
        <v>66.429000000000002</v>
      </c>
      <c r="CA70">
        <v>127.85299999999999</v>
      </c>
      <c r="CC70">
        <v>2004</v>
      </c>
      <c r="CD70">
        <v>1</v>
      </c>
      <c r="CE70">
        <f t="shared" si="11"/>
        <v>-19.614999999999995</v>
      </c>
      <c r="CF70">
        <v>44.128999999999998</v>
      </c>
      <c r="CG70">
        <v>80.385000000000005</v>
      </c>
      <c r="CI70">
        <v>1992</v>
      </c>
      <c r="CJ70">
        <v>10</v>
      </c>
      <c r="CK70">
        <f t="shared" si="12"/>
        <v>27.762</v>
      </c>
      <c r="CL70">
        <v>66.373000000000005</v>
      </c>
      <c r="CM70">
        <v>127.762</v>
      </c>
    </row>
    <row r="71" spans="1:91" x14ac:dyDescent="0.2">
      <c r="A71">
        <v>2006</v>
      </c>
      <c r="B71">
        <v>2</v>
      </c>
      <c r="C71">
        <v>58.692</v>
      </c>
      <c r="E71">
        <v>1994</v>
      </c>
      <c r="F71">
        <v>12</v>
      </c>
      <c r="G71">
        <v>57.987000000000002</v>
      </c>
      <c r="I71">
        <v>2006</v>
      </c>
      <c r="J71">
        <v>2</v>
      </c>
      <c r="K71">
        <v>53.67</v>
      </c>
      <c r="P71">
        <v>2006</v>
      </c>
      <c r="Q71">
        <v>2</v>
      </c>
      <c r="R71">
        <v>53.874000000000002</v>
      </c>
      <c r="U71">
        <f t="shared" si="7"/>
        <v>59.853000000000002</v>
      </c>
      <c r="W71" s="10" t="s">
        <v>162</v>
      </c>
      <c r="X71">
        <v>18</v>
      </c>
      <c r="Y71">
        <v>2006</v>
      </c>
      <c r="Z71">
        <v>2</v>
      </c>
      <c r="AA71">
        <v>58.786000000000001</v>
      </c>
      <c r="AB71">
        <v>3</v>
      </c>
      <c r="AC71">
        <v>145</v>
      </c>
      <c r="AE71" s="10" t="s">
        <v>162</v>
      </c>
      <c r="AF71">
        <v>18</v>
      </c>
      <c r="AG71">
        <v>1994</v>
      </c>
      <c r="AH71">
        <v>12</v>
      </c>
      <c r="AI71">
        <v>52.853999999999999</v>
      </c>
      <c r="AJ71">
        <v>0</v>
      </c>
      <c r="AK71">
        <v>0</v>
      </c>
      <c r="AT71">
        <v>2004</v>
      </c>
      <c r="AU71">
        <v>11</v>
      </c>
      <c r="AV71">
        <v>111.285</v>
      </c>
      <c r="AW71">
        <f t="shared" si="8"/>
        <v>11.284999999999997</v>
      </c>
      <c r="AX71">
        <v>1</v>
      </c>
      <c r="AY71">
        <v>92</v>
      </c>
      <c r="BG71">
        <v>2004</v>
      </c>
      <c r="BH71">
        <v>11</v>
      </c>
      <c r="BI71">
        <v>56.835000000000001</v>
      </c>
      <c r="BJ71">
        <v>1</v>
      </c>
      <c r="BK71">
        <v>92</v>
      </c>
      <c r="BM71" s="10" t="s">
        <v>162</v>
      </c>
      <c r="BN71" s="10">
        <v>101</v>
      </c>
      <c r="BO71">
        <v>2004</v>
      </c>
      <c r="BP71">
        <v>2</v>
      </c>
      <c r="BQ71">
        <f t="shared" si="9"/>
        <v>-18.652000000000001</v>
      </c>
      <c r="BR71">
        <v>44.871000000000002</v>
      </c>
      <c r="BS71">
        <v>81.347999999999999</v>
      </c>
      <c r="BU71" s="10" t="s">
        <v>162</v>
      </c>
      <c r="BV71" s="10">
        <v>101</v>
      </c>
      <c r="BW71">
        <v>1992</v>
      </c>
      <c r="BX71">
        <v>11</v>
      </c>
      <c r="BY71">
        <f t="shared" si="10"/>
        <v>2.7489999999999952</v>
      </c>
      <c r="BZ71">
        <v>63.566000000000003</v>
      </c>
      <c r="CA71">
        <v>102.749</v>
      </c>
      <c r="CC71">
        <v>2004</v>
      </c>
      <c r="CD71">
        <v>2</v>
      </c>
      <c r="CE71">
        <f t="shared" si="11"/>
        <v>-18.557000000000002</v>
      </c>
      <c r="CF71">
        <v>44.843000000000004</v>
      </c>
      <c r="CG71">
        <v>81.442999999999998</v>
      </c>
      <c r="CI71">
        <v>1992</v>
      </c>
      <c r="CJ71">
        <v>11</v>
      </c>
      <c r="CK71">
        <f t="shared" si="12"/>
        <v>2.7060000000000031</v>
      </c>
      <c r="CL71">
        <v>63.537999999999997</v>
      </c>
      <c r="CM71">
        <v>102.706</v>
      </c>
    </row>
    <row r="72" spans="1:91" x14ac:dyDescent="0.2">
      <c r="A72">
        <v>2006</v>
      </c>
      <c r="B72">
        <v>3</v>
      </c>
      <c r="C72">
        <v>57.868000000000002</v>
      </c>
      <c r="E72">
        <v>1995</v>
      </c>
      <c r="F72">
        <v>1</v>
      </c>
      <c r="G72">
        <v>57.987000000000002</v>
      </c>
      <c r="I72">
        <v>2006</v>
      </c>
      <c r="J72">
        <v>3</v>
      </c>
      <c r="K72">
        <v>52.905999999999999</v>
      </c>
      <c r="P72">
        <v>2006</v>
      </c>
      <c r="Q72">
        <v>3</v>
      </c>
      <c r="R72">
        <v>52.264000000000003</v>
      </c>
      <c r="U72">
        <f t="shared" si="7"/>
        <v>58.243000000000002</v>
      </c>
      <c r="W72" s="10" t="s">
        <v>162</v>
      </c>
      <c r="X72">
        <v>18</v>
      </c>
      <c r="Y72">
        <v>2006</v>
      </c>
      <c r="Z72">
        <v>3</v>
      </c>
      <c r="AA72">
        <v>57.194000000000003</v>
      </c>
      <c r="AB72">
        <v>3</v>
      </c>
      <c r="AC72">
        <v>145</v>
      </c>
      <c r="AE72" s="10" t="s">
        <v>162</v>
      </c>
      <c r="AF72">
        <v>18</v>
      </c>
      <c r="AG72">
        <v>1995</v>
      </c>
      <c r="AH72">
        <v>1</v>
      </c>
      <c r="AI72">
        <v>52.843000000000004</v>
      </c>
      <c r="AJ72">
        <v>0</v>
      </c>
      <c r="AK72">
        <v>0</v>
      </c>
      <c r="AT72">
        <v>2004</v>
      </c>
      <c r="AU72">
        <v>12</v>
      </c>
      <c r="AV72">
        <v>113.07899999999999</v>
      </c>
      <c r="AW72">
        <f t="shared" si="8"/>
        <v>13.078999999999994</v>
      </c>
      <c r="AX72">
        <v>0</v>
      </c>
      <c r="AY72">
        <v>0</v>
      </c>
      <c r="BG72">
        <v>2004</v>
      </c>
      <c r="BH72">
        <v>12</v>
      </c>
      <c r="BI72">
        <v>57.735999999999997</v>
      </c>
      <c r="BJ72">
        <v>0</v>
      </c>
      <c r="BK72">
        <v>0</v>
      </c>
      <c r="BM72" s="10" t="s">
        <v>162</v>
      </c>
      <c r="BN72" s="10">
        <v>101</v>
      </c>
      <c r="BO72">
        <v>2004</v>
      </c>
      <c r="BP72">
        <v>3</v>
      </c>
      <c r="BQ72">
        <f t="shared" si="9"/>
        <v>-16.650000000000006</v>
      </c>
      <c r="BR72">
        <v>46.238</v>
      </c>
      <c r="BS72">
        <v>83.35</v>
      </c>
      <c r="BU72" s="10" t="s">
        <v>162</v>
      </c>
      <c r="BV72" s="10">
        <v>101</v>
      </c>
      <c r="BW72">
        <v>1992</v>
      </c>
      <c r="BX72">
        <v>12</v>
      </c>
      <c r="BY72">
        <f t="shared" si="10"/>
        <v>-12.715999999999994</v>
      </c>
      <c r="BZ72">
        <v>48.027000000000001</v>
      </c>
      <c r="CA72">
        <v>87.284000000000006</v>
      </c>
      <c r="CC72">
        <v>2004</v>
      </c>
      <c r="CD72">
        <v>3</v>
      </c>
      <c r="CE72">
        <f t="shared" si="11"/>
        <v>-16.554000000000002</v>
      </c>
      <c r="CF72">
        <v>46.21</v>
      </c>
      <c r="CG72">
        <v>83.445999999999998</v>
      </c>
      <c r="CI72">
        <v>1992</v>
      </c>
      <c r="CJ72">
        <v>12</v>
      </c>
      <c r="CK72">
        <f t="shared" si="12"/>
        <v>-12.727999999999994</v>
      </c>
      <c r="CL72">
        <v>48.037999999999997</v>
      </c>
      <c r="CM72">
        <v>87.272000000000006</v>
      </c>
    </row>
    <row r="73" spans="1:91" x14ac:dyDescent="0.2">
      <c r="A73">
        <v>2006</v>
      </c>
      <c r="B73">
        <v>4</v>
      </c>
      <c r="C73">
        <v>57.284999999999997</v>
      </c>
      <c r="E73">
        <v>1995</v>
      </c>
      <c r="F73">
        <v>2</v>
      </c>
      <c r="G73">
        <v>57.987000000000002</v>
      </c>
      <c r="I73">
        <v>2006</v>
      </c>
      <c r="J73">
        <v>4</v>
      </c>
      <c r="K73">
        <v>52.723999999999997</v>
      </c>
      <c r="P73">
        <v>2006</v>
      </c>
      <c r="Q73">
        <v>4</v>
      </c>
      <c r="R73">
        <v>53.738999999999997</v>
      </c>
      <c r="S73">
        <v>65</v>
      </c>
      <c r="T73">
        <f>R73-S73</f>
        <v>-11.261000000000003</v>
      </c>
      <c r="U73">
        <f t="shared" si="7"/>
        <v>59.717999999999996</v>
      </c>
      <c r="W73" s="10" t="s">
        <v>162</v>
      </c>
      <c r="X73">
        <v>18</v>
      </c>
      <c r="Y73">
        <v>2006</v>
      </c>
      <c r="Z73">
        <v>4</v>
      </c>
      <c r="AA73">
        <v>58.048999999999999</v>
      </c>
      <c r="AB73">
        <v>4</v>
      </c>
      <c r="AC73">
        <v>101</v>
      </c>
      <c r="AE73" s="10" t="s">
        <v>162</v>
      </c>
      <c r="AF73">
        <v>18</v>
      </c>
      <c r="AG73">
        <v>1995</v>
      </c>
      <c r="AH73">
        <v>2</v>
      </c>
      <c r="AI73">
        <v>52.838000000000001</v>
      </c>
      <c r="AJ73">
        <v>0</v>
      </c>
      <c r="AK73">
        <v>0</v>
      </c>
      <c r="AT73">
        <v>2005</v>
      </c>
      <c r="AU73">
        <v>1</v>
      </c>
      <c r="AV73">
        <v>113.57</v>
      </c>
      <c r="AW73">
        <f t="shared" si="8"/>
        <v>13.569999999999993</v>
      </c>
      <c r="AX73">
        <v>1</v>
      </c>
      <c r="AY73">
        <v>92</v>
      </c>
      <c r="BG73">
        <v>2005</v>
      </c>
      <c r="BH73">
        <v>1</v>
      </c>
      <c r="BI73">
        <v>57.963999999999999</v>
      </c>
      <c r="BJ73">
        <v>1</v>
      </c>
      <c r="BK73">
        <v>92</v>
      </c>
      <c r="BM73" s="10" t="s">
        <v>162</v>
      </c>
      <c r="BN73" s="10">
        <v>101</v>
      </c>
      <c r="BO73">
        <v>2004</v>
      </c>
      <c r="BP73">
        <v>4</v>
      </c>
      <c r="BQ73">
        <f t="shared" si="9"/>
        <v>-13.742999999999995</v>
      </c>
      <c r="BR73">
        <v>48.16</v>
      </c>
      <c r="BS73">
        <v>86.257000000000005</v>
      </c>
      <c r="BU73" s="10" t="s">
        <v>162</v>
      </c>
      <c r="BV73" s="10">
        <v>101</v>
      </c>
      <c r="BW73">
        <v>1993</v>
      </c>
      <c r="BX73">
        <v>1</v>
      </c>
      <c r="BY73">
        <f t="shared" si="10"/>
        <v>-16.355000000000004</v>
      </c>
      <c r="BZ73">
        <v>43.505000000000003</v>
      </c>
      <c r="CA73">
        <v>83.644999999999996</v>
      </c>
      <c r="CC73">
        <v>2004</v>
      </c>
      <c r="CD73">
        <v>4</v>
      </c>
      <c r="CE73">
        <f t="shared" si="11"/>
        <v>-13.647999999999996</v>
      </c>
      <c r="CF73">
        <v>48.131</v>
      </c>
      <c r="CG73">
        <v>86.352000000000004</v>
      </c>
      <c r="CI73">
        <v>1993</v>
      </c>
      <c r="CJ73">
        <v>1</v>
      </c>
      <c r="CK73">
        <f t="shared" si="12"/>
        <v>-16.363</v>
      </c>
      <c r="CL73">
        <v>43.514000000000003</v>
      </c>
      <c r="CM73">
        <v>83.637</v>
      </c>
    </row>
    <row r="74" spans="1:91" x14ac:dyDescent="0.2">
      <c r="A74">
        <v>2007</v>
      </c>
      <c r="B74">
        <v>1</v>
      </c>
      <c r="C74">
        <v>56.250999999999998</v>
      </c>
      <c r="E74">
        <v>1995</v>
      </c>
      <c r="F74">
        <v>3</v>
      </c>
      <c r="G74">
        <v>57.987000000000002</v>
      </c>
      <c r="I74">
        <v>2007</v>
      </c>
      <c r="J74">
        <v>1</v>
      </c>
      <c r="K74">
        <v>50.902000000000001</v>
      </c>
      <c r="P74">
        <v>2007</v>
      </c>
      <c r="Q74">
        <v>1</v>
      </c>
      <c r="R74">
        <v>52.994</v>
      </c>
      <c r="U74">
        <f t="shared" si="7"/>
        <v>58.972999999999999</v>
      </c>
      <c r="W74" s="10" t="s">
        <v>162</v>
      </c>
      <c r="X74">
        <v>18</v>
      </c>
      <c r="Y74">
        <v>2007</v>
      </c>
      <c r="Z74">
        <v>1</v>
      </c>
      <c r="AA74">
        <v>57.816000000000003</v>
      </c>
      <c r="AB74">
        <v>3</v>
      </c>
      <c r="AC74">
        <v>92</v>
      </c>
      <c r="AE74" s="10" t="s">
        <v>162</v>
      </c>
      <c r="AF74">
        <v>18</v>
      </c>
      <c r="AG74">
        <v>1995</v>
      </c>
      <c r="AH74">
        <v>3</v>
      </c>
      <c r="AI74">
        <v>52.835000000000001</v>
      </c>
      <c r="AJ74">
        <v>0</v>
      </c>
      <c r="AK74">
        <v>0</v>
      </c>
      <c r="AT74">
        <v>2005</v>
      </c>
      <c r="AU74">
        <v>2</v>
      </c>
      <c r="AV74">
        <v>115.378</v>
      </c>
      <c r="AW74">
        <f t="shared" si="8"/>
        <v>15.378</v>
      </c>
      <c r="AX74">
        <v>0</v>
      </c>
      <c r="AY74">
        <v>0</v>
      </c>
      <c r="BG74">
        <v>2005</v>
      </c>
      <c r="BH74">
        <v>2</v>
      </c>
      <c r="BI74">
        <v>58.899000000000001</v>
      </c>
      <c r="BJ74">
        <v>0</v>
      </c>
      <c r="BK74">
        <v>0</v>
      </c>
      <c r="BM74" s="10" t="s">
        <v>162</v>
      </c>
      <c r="BN74" s="10">
        <v>101</v>
      </c>
      <c r="BO74">
        <v>2005</v>
      </c>
      <c r="BP74">
        <v>1</v>
      </c>
      <c r="BQ74">
        <f t="shared" si="9"/>
        <v>-10.334000000000003</v>
      </c>
      <c r="BR74">
        <v>50.438000000000002</v>
      </c>
      <c r="BS74">
        <v>89.665999999999997</v>
      </c>
      <c r="BU74" s="10" t="s">
        <v>162</v>
      </c>
      <c r="BV74" s="10">
        <v>101</v>
      </c>
      <c r="BW74">
        <v>1993</v>
      </c>
      <c r="BX74">
        <v>2</v>
      </c>
      <c r="BY74">
        <f t="shared" si="10"/>
        <v>-17.409000000000006</v>
      </c>
      <c r="BZ74">
        <v>42.024999999999999</v>
      </c>
      <c r="CA74">
        <v>82.590999999999994</v>
      </c>
      <c r="CC74">
        <v>2005</v>
      </c>
      <c r="CD74">
        <v>1</v>
      </c>
      <c r="CE74">
        <f t="shared" si="11"/>
        <v>-10.236999999999995</v>
      </c>
      <c r="CF74">
        <v>50.41</v>
      </c>
      <c r="CG74">
        <v>89.763000000000005</v>
      </c>
      <c r="CI74">
        <v>1993</v>
      </c>
      <c r="CJ74">
        <v>2</v>
      </c>
      <c r="CK74">
        <f t="shared" si="12"/>
        <v>-17.415000000000006</v>
      </c>
      <c r="CL74">
        <v>42.027999999999999</v>
      </c>
      <c r="CM74">
        <v>82.584999999999994</v>
      </c>
    </row>
    <row r="75" spans="1:91" x14ac:dyDescent="0.2">
      <c r="A75">
        <v>2007</v>
      </c>
      <c r="B75">
        <v>2</v>
      </c>
      <c r="C75">
        <v>43.786000000000001</v>
      </c>
      <c r="E75">
        <v>1995</v>
      </c>
      <c r="F75">
        <v>4</v>
      </c>
      <c r="G75">
        <v>57.987000000000002</v>
      </c>
      <c r="I75">
        <v>2007</v>
      </c>
      <c r="J75">
        <v>2</v>
      </c>
      <c r="K75">
        <v>50.542000000000002</v>
      </c>
      <c r="P75">
        <v>2007</v>
      </c>
      <c r="Q75">
        <v>2</v>
      </c>
      <c r="R75">
        <v>50.957999999999998</v>
      </c>
      <c r="U75">
        <f t="shared" si="7"/>
        <v>56.936999999999998</v>
      </c>
      <c r="W75" s="10" t="s">
        <v>162</v>
      </c>
      <c r="X75">
        <v>18</v>
      </c>
      <c r="Y75">
        <v>2007</v>
      </c>
      <c r="Z75">
        <v>2</v>
      </c>
      <c r="AA75">
        <v>55.981999999999999</v>
      </c>
      <c r="AB75">
        <v>4</v>
      </c>
      <c r="AC75">
        <v>103</v>
      </c>
      <c r="AE75" s="10" t="s">
        <v>162</v>
      </c>
      <c r="AF75">
        <v>18</v>
      </c>
      <c r="AG75">
        <v>1995</v>
      </c>
      <c r="AH75">
        <v>4</v>
      </c>
      <c r="AI75">
        <v>52.834000000000003</v>
      </c>
      <c r="AJ75">
        <v>0</v>
      </c>
      <c r="AK75">
        <v>0</v>
      </c>
      <c r="AT75">
        <v>2005</v>
      </c>
      <c r="AU75">
        <v>3</v>
      </c>
      <c r="AV75">
        <v>118.063</v>
      </c>
      <c r="AW75">
        <f t="shared" si="8"/>
        <v>18.063000000000002</v>
      </c>
      <c r="AX75">
        <v>3</v>
      </c>
      <c r="AY75">
        <v>137</v>
      </c>
      <c r="BG75">
        <v>2005</v>
      </c>
      <c r="BH75">
        <v>3</v>
      </c>
      <c r="BI75">
        <v>60.384</v>
      </c>
      <c r="BJ75">
        <v>3</v>
      </c>
      <c r="BK75">
        <v>137</v>
      </c>
      <c r="BM75" s="10" t="s">
        <v>162</v>
      </c>
      <c r="BN75" s="10">
        <v>101</v>
      </c>
      <c r="BO75">
        <v>2005</v>
      </c>
      <c r="BP75">
        <v>2</v>
      </c>
      <c r="BQ75">
        <f t="shared" si="9"/>
        <v>-9.5120000000000005</v>
      </c>
      <c r="BR75">
        <v>50.91</v>
      </c>
      <c r="BS75">
        <v>90.488</v>
      </c>
      <c r="BU75" s="10" t="s">
        <v>162</v>
      </c>
      <c r="BV75" s="10">
        <v>101</v>
      </c>
      <c r="BW75">
        <v>1993</v>
      </c>
      <c r="BX75">
        <v>3</v>
      </c>
      <c r="BY75">
        <f t="shared" si="10"/>
        <v>-17.981999999999999</v>
      </c>
      <c r="BZ75">
        <v>41.356000000000002</v>
      </c>
      <c r="CA75">
        <v>82.018000000000001</v>
      </c>
      <c r="CC75">
        <v>2005</v>
      </c>
      <c r="CD75">
        <v>2</v>
      </c>
      <c r="CE75">
        <f t="shared" si="11"/>
        <v>-9.4140000000000015</v>
      </c>
      <c r="CF75">
        <v>50.881999999999998</v>
      </c>
      <c r="CG75">
        <v>90.585999999999999</v>
      </c>
      <c r="CI75">
        <v>1993</v>
      </c>
      <c r="CJ75">
        <v>3</v>
      </c>
      <c r="CK75">
        <f t="shared" si="12"/>
        <v>-17.986999999999995</v>
      </c>
      <c r="CL75">
        <v>41.353999999999999</v>
      </c>
      <c r="CM75">
        <v>82.013000000000005</v>
      </c>
    </row>
    <row r="76" spans="1:91" x14ac:dyDescent="0.2">
      <c r="A76">
        <v>2007</v>
      </c>
      <c r="B76">
        <v>3</v>
      </c>
      <c r="C76">
        <v>42.737000000000002</v>
      </c>
      <c r="E76">
        <v>1995</v>
      </c>
      <c r="F76">
        <v>5</v>
      </c>
      <c r="G76">
        <v>57.987000000000002</v>
      </c>
      <c r="I76">
        <v>2007</v>
      </c>
      <c r="J76">
        <v>3</v>
      </c>
      <c r="K76">
        <v>42.128999999999998</v>
      </c>
      <c r="P76">
        <v>2007</v>
      </c>
      <c r="Q76">
        <v>3</v>
      </c>
      <c r="R76">
        <v>50.664999999999999</v>
      </c>
      <c r="U76">
        <f t="shared" si="7"/>
        <v>56.643999999999998</v>
      </c>
      <c r="W76" s="10" t="s">
        <v>162</v>
      </c>
      <c r="X76">
        <v>18</v>
      </c>
      <c r="Y76">
        <v>2007</v>
      </c>
      <c r="Z76">
        <v>3</v>
      </c>
      <c r="AA76">
        <v>55.146999999999998</v>
      </c>
      <c r="AB76">
        <v>3</v>
      </c>
      <c r="AC76">
        <v>92</v>
      </c>
      <c r="AE76" s="10" t="s">
        <v>162</v>
      </c>
      <c r="AF76">
        <v>18</v>
      </c>
      <c r="AG76">
        <v>1995</v>
      </c>
      <c r="AH76">
        <v>5</v>
      </c>
      <c r="AI76">
        <v>52.832999999999998</v>
      </c>
      <c r="AJ76">
        <v>0</v>
      </c>
      <c r="AK76">
        <v>0</v>
      </c>
      <c r="AT76">
        <v>2005</v>
      </c>
      <c r="AU76">
        <v>4</v>
      </c>
      <c r="AV76">
        <v>116.786</v>
      </c>
      <c r="AW76">
        <f t="shared" si="8"/>
        <v>16.786000000000001</v>
      </c>
      <c r="AX76">
        <v>1</v>
      </c>
      <c r="AY76">
        <v>92</v>
      </c>
      <c r="BG76">
        <v>2005</v>
      </c>
      <c r="BH76">
        <v>4</v>
      </c>
      <c r="BI76">
        <v>59.631</v>
      </c>
      <c r="BJ76">
        <v>1</v>
      </c>
      <c r="BK76">
        <v>92</v>
      </c>
      <c r="BM76" s="10" t="s">
        <v>162</v>
      </c>
      <c r="BN76" s="10">
        <v>101</v>
      </c>
      <c r="BO76">
        <v>2005</v>
      </c>
      <c r="BP76">
        <v>3</v>
      </c>
      <c r="BQ76">
        <f t="shared" si="9"/>
        <v>-11.769000000000005</v>
      </c>
      <c r="BR76">
        <v>49.235999999999997</v>
      </c>
      <c r="BS76">
        <v>88.230999999999995</v>
      </c>
      <c r="BU76" s="10" t="s">
        <v>162</v>
      </c>
      <c r="BV76" s="10">
        <v>101</v>
      </c>
      <c r="BW76">
        <v>1993</v>
      </c>
      <c r="BX76">
        <v>4</v>
      </c>
      <c r="BY76">
        <f t="shared" si="10"/>
        <v>-4.1610000000000014</v>
      </c>
      <c r="BZ76">
        <v>47.628</v>
      </c>
      <c r="CA76">
        <v>95.838999999999999</v>
      </c>
      <c r="CC76">
        <v>2005</v>
      </c>
      <c r="CD76">
        <v>3</v>
      </c>
      <c r="CE76">
        <f t="shared" si="11"/>
        <v>-11.673000000000002</v>
      </c>
      <c r="CF76">
        <v>49.207000000000001</v>
      </c>
      <c r="CG76">
        <v>88.326999999999998</v>
      </c>
      <c r="CI76">
        <v>1993</v>
      </c>
      <c r="CJ76">
        <v>4</v>
      </c>
      <c r="CK76">
        <f t="shared" si="12"/>
        <v>-4.1910000000000025</v>
      </c>
      <c r="CL76">
        <v>47.594999999999999</v>
      </c>
      <c r="CM76">
        <v>95.808999999999997</v>
      </c>
    </row>
    <row r="77" spans="1:91" x14ac:dyDescent="0.2">
      <c r="A77">
        <v>2007</v>
      </c>
      <c r="B77">
        <v>4</v>
      </c>
      <c r="C77">
        <v>48.04</v>
      </c>
      <c r="E77">
        <v>1995</v>
      </c>
      <c r="F77">
        <v>6</v>
      </c>
      <c r="G77">
        <v>57.987000000000002</v>
      </c>
      <c r="I77">
        <v>2007</v>
      </c>
      <c r="J77">
        <v>4</v>
      </c>
      <c r="K77">
        <v>43.406999999999996</v>
      </c>
      <c r="P77">
        <v>2007</v>
      </c>
      <c r="Q77">
        <v>4</v>
      </c>
      <c r="R77">
        <v>47.62</v>
      </c>
      <c r="S77">
        <v>61</v>
      </c>
      <c r="T77">
        <f>R77-S77</f>
        <v>-13.380000000000003</v>
      </c>
      <c r="U77">
        <f t="shared" si="7"/>
        <v>53.598999999999997</v>
      </c>
      <c r="W77" s="10" t="s">
        <v>162</v>
      </c>
      <c r="X77">
        <v>18</v>
      </c>
      <c r="Y77">
        <v>2007</v>
      </c>
      <c r="Z77">
        <v>4</v>
      </c>
      <c r="AA77">
        <v>51.723999999999997</v>
      </c>
      <c r="AB77">
        <v>3</v>
      </c>
      <c r="AC77">
        <v>97</v>
      </c>
      <c r="AE77" s="10" t="s">
        <v>162</v>
      </c>
      <c r="AF77">
        <v>18</v>
      </c>
      <c r="AG77">
        <v>1995</v>
      </c>
      <c r="AH77">
        <v>6</v>
      </c>
      <c r="AI77">
        <v>52.832999999999998</v>
      </c>
      <c r="AJ77">
        <v>0</v>
      </c>
      <c r="AK77">
        <v>0</v>
      </c>
      <c r="AT77">
        <v>2005</v>
      </c>
      <c r="AU77">
        <v>5</v>
      </c>
      <c r="AV77">
        <v>119.25</v>
      </c>
      <c r="AW77">
        <f t="shared" si="8"/>
        <v>19.25</v>
      </c>
      <c r="AX77">
        <v>1</v>
      </c>
      <c r="AY77">
        <v>92</v>
      </c>
      <c r="BG77">
        <v>2005</v>
      </c>
      <c r="BH77">
        <v>5</v>
      </c>
      <c r="BI77">
        <v>61.109000000000002</v>
      </c>
      <c r="BJ77">
        <v>1</v>
      </c>
      <c r="BK77">
        <v>92</v>
      </c>
      <c r="BM77" s="10" t="s">
        <v>162</v>
      </c>
      <c r="BN77" s="10">
        <v>101</v>
      </c>
      <c r="BO77">
        <v>2005</v>
      </c>
      <c r="BP77">
        <v>4</v>
      </c>
      <c r="BQ77">
        <f t="shared" si="9"/>
        <v>-10.161000000000001</v>
      </c>
      <c r="BR77">
        <v>50.466999999999999</v>
      </c>
      <c r="BS77">
        <v>89.838999999999999</v>
      </c>
      <c r="BU77" s="10" t="s">
        <v>162</v>
      </c>
      <c r="BV77" s="10">
        <v>101</v>
      </c>
      <c r="BW77">
        <v>1993</v>
      </c>
      <c r="BX77">
        <v>5</v>
      </c>
      <c r="BY77">
        <f t="shared" si="10"/>
        <v>0.95600000000000307</v>
      </c>
      <c r="BZ77">
        <v>50.649000000000001</v>
      </c>
      <c r="CA77">
        <v>100.956</v>
      </c>
      <c r="CC77">
        <v>2005</v>
      </c>
      <c r="CD77">
        <v>4</v>
      </c>
      <c r="CE77">
        <f t="shared" si="11"/>
        <v>-10.063000000000002</v>
      </c>
      <c r="CF77">
        <v>50.438000000000002</v>
      </c>
      <c r="CG77">
        <v>89.936999999999998</v>
      </c>
      <c r="CI77">
        <v>1993</v>
      </c>
      <c r="CJ77">
        <v>5</v>
      </c>
      <c r="CK77">
        <f t="shared" si="12"/>
        <v>0.91500000000000625</v>
      </c>
      <c r="CL77">
        <v>50.612000000000002</v>
      </c>
      <c r="CM77">
        <v>100.91500000000001</v>
      </c>
    </row>
    <row r="78" spans="1:91" x14ac:dyDescent="0.2">
      <c r="A78">
        <v>2008</v>
      </c>
      <c r="B78">
        <v>1</v>
      </c>
      <c r="C78">
        <v>44.588999999999999</v>
      </c>
      <c r="E78">
        <v>1995</v>
      </c>
      <c r="F78">
        <v>7</v>
      </c>
      <c r="G78">
        <v>57.987000000000002</v>
      </c>
      <c r="I78">
        <v>2008</v>
      </c>
      <c r="J78">
        <v>1</v>
      </c>
      <c r="K78">
        <v>34.588000000000001</v>
      </c>
      <c r="P78">
        <v>2008</v>
      </c>
      <c r="Q78">
        <v>1</v>
      </c>
      <c r="R78">
        <v>44.595999999999997</v>
      </c>
      <c r="U78">
        <f t="shared" si="7"/>
        <v>50.574999999999996</v>
      </c>
      <c r="W78" s="10" t="s">
        <v>162</v>
      </c>
      <c r="X78">
        <v>18</v>
      </c>
      <c r="Y78">
        <v>2008</v>
      </c>
      <c r="Z78">
        <v>1</v>
      </c>
      <c r="AA78">
        <v>48.218000000000004</v>
      </c>
      <c r="AB78">
        <v>2</v>
      </c>
      <c r="AC78">
        <v>88</v>
      </c>
      <c r="AE78" s="10" t="s">
        <v>162</v>
      </c>
      <c r="AF78">
        <v>18</v>
      </c>
      <c r="AG78">
        <v>1995</v>
      </c>
      <c r="AH78">
        <v>7</v>
      </c>
      <c r="AI78">
        <v>52.832000000000001</v>
      </c>
      <c r="AJ78">
        <v>0</v>
      </c>
      <c r="AK78">
        <v>0</v>
      </c>
      <c r="AT78">
        <v>2005</v>
      </c>
      <c r="AU78">
        <v>6</v>
      </c>
      <c r="AV78">
        <v>118.911</v>
      </c>
      <c r="AW78">
        <f t="shared" si="8"/>
        <v>18.911000000000001</v>
      </c>
      <c r="AX78">
        <v>2</v>
      </c>
      <c r="AY78">
        <v>131</v>
      </c>
      <c r="BG78">
        <v>2005</v>
      </c>
      <c r="BH78">
        <v>6</v>
      </c>
      <c r="BI78">
        <v>60.915999999999997</v>
      </c>
      <c r="BJ78">
        <v>2</v>
      </c>
      <c r="BK78">
        <v>131</v>
      </c>
      <c r="BM78" s="10" t="s">
        <v>162</v>
      </c>
      <c r="BN78" s="10">
        <v>101</v>
      </c>
      <c r="BO78">
        <v>2006</v>
      </c>
      <c r="BP78">
        <v>1</v>
      </c>
      <c r="BQ78">
        <f t="shared" si="9"/>
        <v>-8.6919999999999931</v>
      </c>
      <c r="BR78">
        <v>51.423000000000002</v>
      </c>
      <c r="BS78">
        <v>91.308000000000007</v>
      </c>
      <c r="BU78" s="10" t="s">
        <v>162</v>
      </c>
      <c r="BV78" s="10">
        <v>101</v>
      </c>
      <c r="BW78">
        <v>1993</v>
      </c>
      <c r="BX78">
        <v>6</v>
      </c>
      <c r="BY78">
        <f t="shared" si="10"/>
        <v>13.753</v>
      </c>
      <c r="BZ78">
        <v>57.584000000000003</v>
      </c>
      <c r="CA78">
        <v>113.753</v>
      </c>
      <c r="CC78">
        <v>2006</v>
      </c>
      <c r="CD78">
        <v>1</v>
      </c>
      <c r="CE78">
        <f t="shared" si="11"/>
        <v>-8.5939999999999941</v>
      </c>
      <c r="CF78">
        <v>51.393999999999998</v>
      </c>
      <c r="CG78">
        <v>91.406000000000006</v>
      </c>
      <c r="CI78">
        <v>1993</v>
      </c>
      <c r="CJ78">
        <v>6</v>
      </c>
      <c r="CK78">
        <f t="shared" si="12"/>
        <v>13.683000000000007</v>
      </c>
      <c r="CL78">
        <v>57.536000000000001</v>
      </c>
      <c r="CM78">
        <v>113.68300000000001</v>
      </c>
    </row>
    <row r="79" spans="1:91" x14ac:dyDescent="0.2">
      <c r="A79">
        <v>2008</v>
      </c>
      <c r="B79">
        <v>2</v>
      </c>
      <c r="C79">
        <v>46.014000000000003</v>
      </c>
      <c r="E79">
        <v>1995</v>
      </c>
      <c r="F79">
        <v>8</v>
      </c>
      <c r="G79">
        <v>57.984999999999999</v>
      </c>
      <c r="I79">
        <v>2008</v>
      </c>
      <c r="J79">
        <v>2</v>
      </c>
      <c r="K79">
        <v>42.877000000000002</v>
      </c>
      <c r="P79">
        <v>2008</v>
      </c>
      <c r="Q79">
        <v>2</v>
      </c>
      <c r="R79">
        <v>47.279000000000003</v>
      </c>
      <c r="U79">
        <f t="shared" si="7"/>
        <v>53.258000000000003</v>
      </c>
      <c r="W79" s="10" t="s">
        <v>162</v>
      </c>
      <c r="X79">
        <v>18</v>
      </c>
      <c r="Y79">
        <v>2008</v>
      </c>
      <c r="Z79">
        <v>2</v>
      </c>
      <c r="AA79">
        <v>50.201000000000001</v>
      </c>
      <c r="AB79">
        <v>4</v>
      </c>
      <c r="AC79">
        <v>110</v>
      </c>
      <c r="AE79" s="10" t="s">
        <v>162</v>
      </c>
      <c r="AF79">
        <v>18</v>
      </c>
      <c r="AG79">
        <v>1995</v>
      </c>
      <c r="AH79">
        <v>8</v>
      </c>
      <c r="AI79">
        <v>52.832000000000001</v>
      </c>
      <c r="AJ79">
        <v>0</v>
      </c>
      <c r="AK79">
        <v>0</v>
      </c>
      <c r="AT79">
        <v>2005</v>
      </c>
      <c r="AU79">
        <v>7</v>
      </c>
      <c r="AV79">
        <v>114.717</v>
      </c>
      <c r="AW79">
        <f t="shared" si="8"/>
        <v>14.716999999999999</v>
      </c>
      <c r="AX79">
        <v>0</v>
      </c>
      <c r="AY79">
        <v>0</v>
      </c>
      <c r="BG79">
        <v>2005</v>
      </c>
      <c r="BH79">
        <v>7</v>
      </c>
      <c r="BI79">
        <v>58.713000000000001</v>
      </c>
      <c r="BJ79">
        <v>0</v>
      </c>
      <c r="BK79">
        <v>0</v>
      </c>
      <c r="BM79" s="10" t="s">
        <v>162</v>
      </c>
      <c r="BN79" s="10">
        <v>101</v>
      </c>
      <c r="BO79">
        <v>2006</v>
      </c>
      <c r="BP79">
        <v>2</v>
      </c>
      <c r="BQ79">
        <f t="shared" si="9"/>
        <v>-8.3469999999999942</v>
      </c>
      <c r="BR79">
        <v>51.566000000000003</v>
      </c>
      <c r="BS79">
        <v>91.653000000000006</v>
      </c>
      <c r="BU79" s="10" t="s">
        <v>162</v>
      </c>
      <c r="BV79" s="10">
        <v>101</v>
      </c>
      <c r="BW79">
        <v>1993</v>
      </c>
      <c r="BX79">
        <v>7</v>
      </c>
      <c r="BY79">
        <f t="shared" si="10"/>
        <v>13.989000000000004</v>
      </c>
      <c r="BZ79">
        <v>58.665999999999997</v>
      </c>
      <c r="CA79">
        <v>113.989</v>
      </c>
      <c r="CC79">
        <v>2006</v>
      </c>
      <c r="CD79">
        <v>2</v>
      </c>
      <c r="CE79">
        <f t="shared" si="11"/>
        <v>-8.2489999999999952</v>
      </c>
      <c r="CF79">
        <v>51.537999999999997</v>
      </c>
      <c r="CG79">
        <v>91.751000000000005</v>
      </c>
      <c r="CI79">
        <v>1993</v>
      </c>
      <c r="CJ79">
        <v>7</v>
      </c>
      <c r="CK79">
        <f t="shared" si="12"/>
        <v>13.921000000000006</v>
      </c>
      <c r="CL79">
        <v>58.625999999999998</v>
      </c>
      <c r="CM79">
        <v>113.92100000000001</v>
      </c>
    </row>
    <row r="80" spans="1:91" x14ac:dyDescent="0.2">
      <c r="E80">
        <v>1995</v>
      </c>
      <c r="F80">
        <v>9</v>
      </c>
      <c r="G80">
        <v>55.582000000000001</v>
      </c>
      <c r="I80">
        <v>2008</v>
      </c>
      <c r="J80">
        <v>3</v>
      </c>
      <c r="K80">
        <v>45.451000000000001</v>
      </c>
      <c r="P80">
        <v>2008</v>
      </c>
      <c r="Q80">
        <v>3</v>
      </c>
      <c r="R80">
        <v>46.665999999999997</v>
      </c>
      <c r="U80">
        <f t="shared" si="7"/>
        <v>52.644999999999996</v>
      </c>
      <c r="W80" s="10" t="s">
        <v>162</v>
      </c>
      <c r="X80">
        <v>18</v>
      </c>
      <c r="Y80">
        <v>2008</v>
      </c>
      <c r="Z80">
        <v>3</v>
      </c>
      <c r="AA80">
        <v>50.277000000000001</v>
      </c>
      <c r="AB80">
        <v>3</v>
      </c>
      <c r="AC80">
        <v>99</v>
      </c>
      <c r="AE80" s="10" t="s">
        <v>162</v>
      </c>
      <c r="AF80">
        <v>18</v>
      </c>
      <c r="AG80">
        <v>1995</v>
      </c>
      <c r="AH80">
        <v>9</v>
      </c>
      <c r="AI80">
        <v>51.521000000000001</v>
      </c>
      <c r="AJ80">
        <v>1</v>
      </c>
      <c r="AK80">
        <v>60</v>
      </c>
      <c r="AT80">
        <v>2005</v>
      </c>
      <c r="AU80">
        <v>8</v>
      </c>
      <c r="AV80">
        <v>108.71599999999999</v>
      </c>
      <c r="AW80">
        <f t="shared" si="8"/>
        <v>8.715999999999994</v>
      </c>
      <c r="AX80">
        <v>1</v>
      </c>
      <c r="AY80">
        <v>92</v>
      </c>
      <c r="BG80">
        <v>2005</v>
      </c>
      <c r="BH80">
        <v>8</v>
      </c>
      <c r="BI80">
        <v>55.412999999999997</v>
      </c>
      <c r="BJ80">
        <v>1</v>
      </c>
      <c r="BK80">
        <v>92</v>
      </c>
      <c r="BM80" s="10" t="s">
        <v>162</v>
      </c>
      <c r="BN80" s="10">
        <v>101</v>
      </c>
      <c r="BO80">
        <v>2006</v>
      </c>
      <c r="BP80">
        <v>3</v>
      </c>
      <c r="BQ80">
        <f t="shared" si="9"/>
        <v>-9.0049999999999955</v>
      </c>
      <c r="BR80">
        <v>51.034999999999997</v>
      </c>
      <c r="BS80">
        <v>90.995000000000005</v>
      </c>
      <c r="BU80" s="10" t="s">
        <v>162</v>
      </c>
      <c r="BV80" s="10">
        <v>101</v>
      </c>
      <c r="BW80">
        <v>1993</v>
      </c>
      <c r="BX80">
        <v>8</v>
      </c>
      <c r="BY80">
        <f t="shared" si="10"/>
        <v>11.120000000000005</v>
      </c>
      <c r="BZ80">
        <v>57.616</v>
      </c>
      <c r="CA80">
        <v>111.12</v>
      </c>
      <c r="CC80">
        <v>2006</v>
      </c>
      <c r="CD80">
        <v>3</v>
      </c>
      <c r="CE80">
        <f t="shared" si="11"/>
        <v>-8.9060000000000059</v>
      </c>
      <c r="CF80">
        <v>51.006</v>
      </c>
      <c r="CG80">
        <v>91.093999999999994</v>
      </c>
      <c r="CI80">
        <v>1993</v>
      </c>
      <c r="CJ80">
        <v>8</v>
      </c>
      <c r="CK80">
        <f t="shared" si="12"/>
        <v>11.058999999999997</v>
      </c>
      <c r="CL80">
        <v>57.582999999999998</v>
      </c>
      <c r="CM80">
        <v>111.059</v>
      </c>
    </row>
    <row r="81" spans="5:91" x14ac:dyDescent="0.2">
      <c r="E81">
        <v>1995</v>
      </c>
      <c r="F81">
        <v>10</v>
      </c>
      <c r="G81">
        <v>54.156999999999996</v>
      </c>
      <c r="I81">
        <v>2008</v>
      </c>
      <c r="J81">
        <v>4</v>
      </c>
      <c r="K81">
        <v>44.664000000000001</v>
      </c>
      <c r="P81">
        <v>2008</v>
      </c>
      <c r="Q81">
        <v>4</v>
      </c>
      <c r="R81">
        <v>47.801000000000002</v>
      </c>
      <c r="S81">
        <v>48</v>
      </c>
      <c r="T81">
        <f>R81-S81</f>
        <v>-0.19899999999999807</v>
      </c>
      <c r="U81">
        <f t="shared" si="7"/>
        <v>53.78</v>
      </c>
      <c r="W81" s="10" t="s">
        <v>162</v>
      </c>
      <c r="X81">
        <v>18</v>
      </c>
      <c r="Y81">
        <v>2008</v>
      </c>
      <c r="Z81">
        <v>4</v>
      </c>
      <c r="AA81">
        <v>51.402000000000001</v>
      </c>
      <c r="AB81">
        <v>4</v>
      </c>
      <c r="AC81">
        <v>108</v>
      </c>
      <c r="AE81" s="10" t="s">
        <v>162</v>
      </c>
      <c r="AF81">
        <v>18</v>
      </c>
      <c r="AG81">
        <v>1995</v>
      </c>
      <c r="AH81">
        <v>10</v>
      </c>
      <c r="AI81">
        <v>49.853000000000002</v>
      </c>
      <c r="AJ81">
        <v>0</v>
      </c>
      <c r="AK81">
        <v>0</v>
      </c>
      <c r="AT81">
        <v>2005</v>
      </c>
      <c r="AU81">
        <v>9</v>
      </c>
      <c r="AV81">
        <v>112.98699999999999</v>
      </c>
      <c r="AW81">
        <f t="shared" si="8"/>
        <v>12.986999999999995</v>
      </c>
      <c r="AX81">
        <v>1</v>
      </c>
      <c r="AY81">
        <v>39</v>
      </c>
      <c r="BG81">
        <v>2005</v>
      </c>
      <c r="BH81">
        <v>9</v>
      </c>
      <c r="BI81">
        <v>57.899000000000001</v>
      </c>
      <c r="BJ81">
        <v>1</v>
      </c>
      <c r="BK81">
        <v>39</v>
      </c>
      <c r="BM81" s="10" t="s">
        <v>162</v>
      </c>
      <c r="BN81" s="10">
        <v>101</v>
      </c>
      <c r="BO81">
        <v>2006</v>
      </c>
      <c r="BP81">
        <v>4</v>
      </c>
      <c r="BQ81">
        <f t="shared" si="9"/>
        <v>-9.894999999999996</v>
      </c>
      <c r="BR81">
        <v>50.466999999999999</v>
      </c>
      <c r="BS81">
        <v>90.105000000000004</v>
      </c>
      <c r="BU81" s="10" t="s">
        <v>162</v>
      </c>
      <c r="BV81" s="10">
        <v>101</v>
      </c>
      <c r="BW81">
        <v>1993</v>
      </c>
      <c r="BX81">
        <v>9</v>
      </c>
      <c r="BY81">
        <f t="shared" si="10"/>
        <v>10.084000000000003</v>
      </c>
      <c r="BZ81">
        <v>56.508000000000003</v>
      </c>
      <c r="CA81">
        <v>110.084</v>
      </c>
      <c r="CC81">
        <v>2006</v>
      </c>
      <c r="CD81">
        <v>4</v>
      </c>
      <c r="CE81">
        <f t="shared" si="11"/>
        <v>-9.796999999999997</v>
      </c>
      <c r="CF81">
        <v>50.439</v>
      </c>
      <c r="CG81">
        <v>90.203000000000003</v>
      </c>
      <c r="CI81">
        <v>1993</v>
      </c>
      <c r="CJ81">
        <v>9</v>
      </c>
      <c r="CK81">
        <f t="shared" si="12"/>
        <v>10.024000000000001</v>
      </c>
      <c r="CL81">
        <v>56.481000000000002</v>
      </c>
      <c r="CM81">
        <v>110.024</v>
      </c>
    </row>
    <row r="82" spans="5:91" x14ac:dyDescent="0.2">
      <c r="E82">
        <v>1995</v>
      </c>
      <c r="F82">
        <v>11</v>
      </c>
      <c r="G82">
        <v>54.125999999999998</v>
      </c>
      <c r="I82">
        <v>2009</v>
      </c>
      <c r="J82">
        <v>1</v>
      </c>
      <c r="K82">
        <v>44.485999999999997</v>
      </c>
      <c r="P82">
        <v>2009</v>
      </c>
      <c r="Q82">
        <v>1</v>
      </c>
      <c r="R82">
        <v>48.079000000000001</v>
      </c>
      <c r="U82">
        <f t="shared" si="7"/>
        <v>54.058</v>
      </c>
      <c r="W82" s="10" t="s">
        <v>162</v>
      </c>
      <c r="X82">
        <v>18</v>
      </c>
      <c r="Y82">
        <v>2009</v>
      </c>
      <c r="Z82">
        <v>1</v>
      </c>
      <c r="AA82">
        <v>51.984999999999999</v>
      </c>
      <c r="AB82">
        <v>5</v>
      </c>
      <c r="AC82">
        <v>121</v>
      </c>
      <c r="AE82" s="10" t="s">
        <v>162</v>
      </c>
      <c r="AF82">
        <v>18</v>
      </c>
      <c r="AG82">
        <v>1995</v>
      </c>
      <c r="AH82">
        <v>11</v>
      </c>
      <c r="AI82">
        <v>49.37</v>
      </c>
      <c r="AJ82">
        <v>0</v>
      </c>
      <c r="AK82">
        <v>0</v>
      </c>
      <c r="AT82">
        <v>2005</v>
      </c>
      <c r="AU82">
        <v>10</v>
      </c>
      <c r="AV82">
        <v>115.988</v>
      </c>
      <c r="AW82">
        <f t="shared" si="8"/>
        <v>15.988</v>
      </c>
      <c r="AX82">
        <v>1</v>
      </c>
      <c r="AY82">
        <v>92</v>
      </c>
      <c r="BG82">
        <v>2005</v>
      </c>
      <c r="BH82">
        <v>10</v>
      </c>
      <c r="BI82">
        <v>59.475000000000001</v>
      </c>
      <c r="BJ82">
        <v>1</v>
      </c>
      <c r="BK82">
        <v>92</v>
      </c>
      <c r="BM82" s="10" t="s">
        <v>162</v>
      </c>
      <c r="BN82" s="10">
        <v>101</v>
      </c>
      <c r="BO82">
        <v>2007</v>
      </c>
      <c r="BP82">
        <v>1</v>
      </c>
      <c r="BQ82">
        <f t="shared" si="9"/>
        <v>-10.299999999999997</v>
      </c>
      <c r="BR82">
        <v>50.216000000000001</v>
      </c>
      <c r="BS82">
        <v>89.7</v>
      </c>
      <c r="BU82" s="10" t="s">
        <v>162</v>
      </c>
      <c r="BV82" s="10">
        <v>101</v>
      </c>
      <c r="BW82">
        <v>1993</v>
      </c>
      <c r="BX82">
        <v>10</v>
      </c>
      <c r="BY82">
        <f t="shared" si="10"/>
        <v>9.0280000000000058</v>
      </c>
      <c r="BZ82">
        <v>54.823</v>
      </c>
      <c r="CA82">
        <v>109.02800000000001</v>
      </c>
      <c r="CC82">
        <v>2007</v>
      </c>
      <c r="CD82">
        <v>1</v>
      </c>
      <c r="CE82">
        <f t="shared" si="11"/>
        <v>-10.201999999999998</v>
      </c>
      <c r="CF82">
        <v>50.186999999999998</v>
      </c>
      <c r="CG82">
        <v>89.798000000000002</v>
      </c>
      <c r="CI82">
        <v>1993</v>
      </c>
      <c r="CJ82">
        <v>10</v>
      </c>
      <c r="CK82">
        <f t="shared" si="12"/>
        <v>8.9689999999999941</v>
      </c>
      <c r="CL82">
        <v>54.801000000000002</v>
      </c>
      <c r="CM82">
        <v>108.96899999999999</v>
      </c>
    </row>
    <row r="83" spans="5:91" x14ac:dyDescent="0.2">
      <c r="E83">
        <v>1995</v>
      </c>
      <c r="F83">
        <v>12</v>
      </c>
      <c r="G83">
        <v>52.793999999999997</v>
      </c>
      <c r="I83">
        <v>2009</v>
      </c>
      <c r="J83">
        <v>2</v>
      </c>
      <c r="K83">
        <v>47.53</v>
      </c>
      <c r="P83">
        <v>2009</v>
      </c>
      <c r="Q83">
        <v>2</v>
      </c>
      <c r="R83">
        <v>46.677999999999997</v>
      </c>
      <c r="U83">
        <f t="shared" si="7"/>
        <v>52.656999999999996</v>
      </c>
      <c r="W83" s="10" t="s">
        <v>162</v>
      </c>
      <c r="X83">
        <v>18</v>
      </c>
      <c r="Y83">
        <v>2009</v>
      </c>
      <c r="Z83">
        <v>2</v>
      </c>
      <c r="AA83">
        <v>50.055</v>
      </c>
      <c r="AB83">
        <v>5</v>
      </c>
      <c r="AC83">
        <v>121</v>
      </c>
      <c r="AE83" s="10" t="s">
        <v>162</v>
      </c>
      <c r="AF83">
        <v>18</v>
      </c>
      <c r="AG83">
        <v>1995</v>
      </c>
      <c r="AH83">
        <v>12</v>
      </c>
      <c r="AI83">
        <v>48.527000000000001</v>
      </c>
      <c r="AJ83">
        <v>1</v>
      </c>
      <c r="AK83">
        <v>60</v>
      </c>
      <c r="AT83">
        <v>2005</v>
      </c>
      <c r="AU83">
        <v>11</v>
      </c>
      <c r="AV83">
        <v>116.26300000000001</v>
      </c>
      <c r="AW83">
        <f t="shared" si="8"/>
        <v>16.263000000000005</v>
      </c>
      <c r="AX83">
        <v>0</v>
      </c>
      <c r="AY83">
        <v>0</v>
      </c>
      <c r="BG83">
        <v>2005</v>
      </c>
      <c r="BH83">
        <v>11</v>
      </c>
      <c r="BI83">
        <v>59.643000000000001</v>
      </c>
      <c r="BJ83">
        <v>0</v>
      </c>
      <c r="BK83">
        <v>0</v>
      </c>
      <c r="BM83" s="10" t="s">
        <v>162</v>
      </c>
      <c r="BN83" s="10">
        <v>101</v>
      </c>
      <c r="BO83">
        <v>2007</v>
      </c>
      <c r="BP83">
        <v>2</v>
      </c>
      <c r="BQ83">
        <f t="shared" si="9"/>
        <v>-11.075999999999993</v>
      </c>
      <c r="BR83">
        <v>49.734000000000002</v>
      </c>
      <c r="BS83">
        <v>88.924000000000007</v>
      </c>
      <c r="BU83" s="10" t="s">
        <v>162</v>
      </c>
      <c r="BV83" s="10">
        <v>101</v>
      </c>
      <c r="BW83">
        <v>1993</v>
      </c>
      <c r="BX83">
        <v>11</v>
      </c>
      <c r="BY83">
        <f t="shared" si="10"/>
        <v>12.430999999999997</v>
      </c>
      <c r="BZ83">
        <v>56.676000000000002</v>
      </c>
      <c r="CA83">
        <v>112.431</v>
      </c>
      <c r="CC83">
        <v>2007</v>
      </c>
      <c r="CD83">
        <v>2</v>
      </c>
      <c r="CE83">
        <f t="shared" si="11"/>
        <v>-10.978999999999999</v>
      </c>
      <c r="CF83">
        <v>49.704999999999998</v>
      </c>
      <c r="CG83">
        <v>89.021000000000001</v>
      </c>
      <c r="CI83">
        <v>1993</v>
      </c>
      <c r="CJ83">
        <v>11</v>
      </c>
      <c r="CK83">
        <f t="shared" si="12"/>
        <v>12.367000000000004</v>
      </c>
      <c r="CL83">
        <v>56.642000000000003</v>
      </c>
      <c r="CM83">
        <v>112.367</v>
      </c>
    </row>
    <row r="84" spans="5:91" x14ac:dyDescent="0.2">
      <c r="E84">
        <v>1996</v>
      </c>
      <c r="F84">
        <v>1</v>
      </c>
      <c r="G84">
        <v>48.552999999999997</v>
      </c>
      <c r="I84">
        <v>2009</v>
      </c>
      <c r="J84">
        <v>3</v>
      </c>
      <c r="K84">
        <v>48.22</v>
      </c>
      <c r="P84">
        <v>2009</v>
      </c>
      <c r="Q84">
        <v>3</v>
      </c>
      <c r="R84">
        <v>44.338999999999999</v>
      </c>
      <c r="U84">
        <f t="shared" si="7"/>
        <v>50.317999999999998</v>
      </c>
      <c r="W84" s="10" t="s">
        <v>162</v>
      </c>
      <c r="X84">
        <v>18</v>
      </c>
      <c r="Y84">
        <v>2009</v>
      </c>
      <c r="Z84">
        <v>3</v>
      </c>
      <c r="AA84">
        <v>47.777999999999999</v>
      </c>
      <c r="AB84">
        <v>4</v>
      </c>
      <c r="AC84">
        <v>110</v>
      </c>
      <c r="AE84" s="10" t="s">
        <v>162</v>
      </c>
      <c r="AF84">
        <v>18</v>
      </c>
      <c r="AG84">
        <v>1996</v>
      </c>
      <c r="AH84">
        <v>1</v>
      </c>
      <c r="AI84">
        <v>44.567999999999998</v>
      </c>
      <c r="AJ84">
        <v>0</v>
      </c>
      <c r="AK84">
        <v>0</v>
      </c>
      <c r="AT84">
        <v>2005</v>
      </c>
      <c r="AU84">
        <v>12</v>
      </c>
      <c r="AV84">
        <v>115.608</v>
      </c>
      <c r="AW84">
        <f t="shared" si="8"/>
        <v>15.608000000000004</v>
      </c>
      <c r="AX84">
        <v>2</v>
      </c>
      <c r="AY84">
        <v>131</v>
      </c>
      <c r="BG84">
        <v>2005</v>
      </c>
      <c r="BH84">
        <v>12</v>
      </c>
      <c r="BI84">
        <v>59.314999999999998</v>
      </c>
      <c r="BJ84">
        <v>2</v>
      </c>
      <c r="BK84">
        <v>131</v>
      </c>
      <c r="BM84" s="10" t="s">
        <v>162</v>
      </c>
      <c r="BN84" s="10">
        <v>101</v>
      </c>
      <c r="BO84">
        <v>2007</v>
      </c>
      <c r="BP84">
        <v>3</v>
      </c>
      <c r="BQ84">
        <f t="shared" si="9"/>
        <v>-11.503</v>
      </c>
      <c r="BR84">
        <v>49.476999999999997</v>
      </c>
      <c r="BS84">
        <v>88.497</v>
      </c>
      <c r="BU84" s="10" t="s">
        <v>162</v>
      </c>
      <c r="BV84" s="10">
        <v>101</v>
      </c>
      <c r="BW84">
        <v>1993</v>
      </c>
      <c r="BX84">
        <v>12</v>
      </c>
      <c r="BY84">
        <f t="shared" si="10"/>
        <v>13.713999999999999</v>
      </c>
      <c r="BZ84">
        <v>57.636000000000003</v>
      </c>
      <c r="CA84">
        <v>113.714</v>
      </c>
      <c r="CC84">
        <v>2007</v>
      </c>
      <c r="CD84">
        <v>3</v>
      </c>
      <c r="CE84">
        <f t="shared" si="11"/>
        <v>-11.406000000000006</v>
      </c>
      <c r="CF84">
        <v>49.448</v>
      </c>
      <c r="CG84">
        <v>88.593999999999994</v>
      </c>
      <c r="CI84">
        <v>1993</v>
      </c>
      <c r="CJ84">
        <v>12</v>
      </c>
      <c r="CK84">
        <f t="shared" si="12"/>
        <v>13.647999999999996</v>
      </c>
      <c r="CL84">
        <v>57.600999999999999</v>
      </c>
      <c r="CM84">
        <v>113.648</v>
      </c>
    </row>
    <row r="85" spans="5:91" x14ac:dyDescent="0.2">
      <c r="E85">
        <v>1996</v>
      </c>
      <c r="F85">
        <v>2</v>
      </c>
      <c r="G85">
        <v>48.536999999999999</v>
      </c>
      <c r="I85">
        <v>2009</v>
      </c>
      <c r="J85">
        <v>4</v>
      </c>
      <c r="K85">
        <v>48.377000000000002</v>
      </c>
      <c r="P85">
        <v>2009</v>
      </c>
      <c r="Q85">
        <v>4</v>
      </c>
      <c r="R85">
        <v>40.487000000000002</v>
      </c>
      <c r="S85">
        <v>45</v>
      </c>
      <c r="T85">
        <f>R85-S85</f>
        <v>-4.5129999999999981</v>
      </c>
      <c r="U85">
        <f t="shared" si="7"/>
        <v>46.466000000000001</v>
      </c>
      <c r="W85" s="10" t="s">
        <v>162</v>
      </c>
      <c r="X85">
        <v>18</v>
      </c>
      <c r="Y85">
        <v>2009</v>
      </c>
      <c r="Z85">
        <v>4</v>
      </c>
      <c r="AA85">
        <v>45.332999999999998</v>
      </c>
      <c r="AB85">
        <v>5</v>
      </c>
      <c r="AC85">
        <v>119</v>
      </c>
      <c r="AE85" s="10" t="s">
        <v>162</v>
      </c>
      <c r="AF85">
        <v>18</v>
      </c>
      <c r="AG85">
        <v>1996</v>
      </c>
      <c r="AH85">
        <v>2</v>
      </c>
      <c r="AI85">
        <v>43.819000000000003</v>
      </c>
      <c r="AJ85">
        <v>0</v>
      </c>
      <c r="AK85">
        <v>0</v>
      </c>
      <c r="AT85">
        <v>2006</v>
      </c>
      <c r="AU85">
        <v>1</v>
      </c>
      <c r="AV85">
        <v>117.458</v>
      </c>
      <c r="AW85">
        <f t="shared" si="8"/>
        <v>17.457999999999998</v>
      </c>
      <c r="AX85">
        <v>0</v>
      </c>
      <c r="AY85">
        <v>0</v>
      </c>
      <c r="BG85">
        <v>2006</v>
      </c>
      <c r="BH85">
        <v>1</v>
      </c>
      <c r="BI85">
        <v>60.220999999999997</v>
      </c>
      <c r="BJ85">
        <v>0</v>
      </c>
      <c r="BK85">
        <v>0</v>
      </c>
      <c r="BM85" s="10" t="s">
        <v>162</v>
      </c>
      <c r="BN85" s="10">
        <v>101</v>
      </c>
      <c r="BO85">
        <v>2007</v>
      </c>
      <c r="BP85">
        <v>4</v>
      </c>
      <c r="BQ85">
        <f t="shared" si="9"/>
        <v>-13.233000000000004</v>
      </c>
      <c r="BR85">
        <v>48.265999999999998</v>
      </c>
      <c r="BS85">
        <v>86.766999999999996</v>
      </c>
      <c r="BU85" s="10" t="s">
        <v>162</v>
      </c>
      <c r="BV85" s="10">
        <v>101</v>
      </c>
      <c r="BW85">
        <v>1994</v>
      </c>
      <c r="BX85">
        <v>1</v>
      </c>
      <c r="BY85">
        <f t="shared" si="10"/>
        <v>14.191000000000003</v>
      </c>
      <c r="BZ85">
        <v>58.113</v>
      </c>
      <c r="CA85">
        <v>114.191</v>
      </c>
      <c r="CC85">
        <v>2007</v>
      </c>
      <c r="CD85">
        <v>4</v>
      </c>
      <c r="CE85">
        <f t="shared" si="11"/>
        <v>-13.135999999999996</v>
      </c>
      <c r="CF85">
        <v>48.238</v>
      </c>
      <c r="CG85">
        <v>86.864000000000004</v>
      </c>
      <c r="CI85">
        <v>1994</v>
      </c>
      <c r="CJ85">
        <v>1</v>
      </c>
      <c r="CK85">
        <f t="shared" si="12"/>
        <v>14.123999999999995</v>
      </c>
      <c r="CL85">
        <v>58.078000000000003</v>
      </c>
      <c r="CM85">
        <v>114.124</v>
      </c>
    </row>
    <row r="86" spans="5:91" x14ac:dyDescent="0.2">
      <c r="E86">
        <v>1996</v>
      </c>
      <c r="F86">
        <v>3</v>
      </c>
      <c r="G86">
        <v>44.319000000000003</v>
      </c>
      <c r="P86">
        <v>2010</v>
      </c>
      <c r="Q86">
        <v>1</v>
      </c>
      <c r="R86">
        <v>37.860999999999997</v>
      </c>
      <c r="U86">
        <f t="shared" si="7"/>
        <v>43.839999999999996</v>
      </c>
      <c r="W86" s="10" t="s">
        <v>162</v>
      </c>
      <c r="X86">
        <v>18</v>
      </c>
      <c r="Y86">
        <v>2010</v>
      </c>
      <c r="Z86">
        <v>1</v>
      </c>
      <c r="AA86">
        <v>42.859000000000002</v>
      </c>
      <c r="AB86">
        <v>8</v>
      </c>
      <c r="AC86">
        <v>185</v>
      </c>
      <c r="AE86" s="10" t="s">
        <v>162</v>
      </c>
      <c r="AF86">
        <v>18</v>
      </c>
      <c r="AG86">
        <v>1996</v>
      </c>
      <c r="AH86">
        <v>3</v>
      </c>
      <c r="AI86">
        <v>41.338999999999999</v>
      </c>
      <c r="AJ86">
        <v>1</v>
      </c>
      <c r="AK86">
        <v>60</v>
      </c>
      <c r="AT86">
        <v>2006</v>
      </c>
      <c r="AU86">
        <v>2</v>
      </c>
      <c r="AV86">
        <v>120.462</v>
      </c>
      <c r="AW86">
        <f t="shared" si="8"/>
        <v>20.462000000000003</v>
      </c>
      <c r="AX86">
        <v>1</v>
      </c>
      <c r="AY86">
        <v>92</v>
      </c>
      <c r="BG86">
        <v>2006</v>
      </c>
      <c r="BH86">
        <v>2</v>
      </c>
      <c r="BI86">
        <v>61.75</v>
      </c>
      <c r="BJ86">
        <v>1</v>
      </c>
      <c r="BK86">
        <v>92</v>
      </c>
      <c r="BM86" s="10" t="s">
        <v>162</v>
      </c>
      <c r="BN86" s="10">
        <v>101</v>
      </c>
      <c r="BO86">
        <v>2008</v>
      </c>
      <c r="BP86">
        <v>1</v>
      </c>
      <c r="BQ86">
        <f t="shared" si="9"/>
        <v>-14.683000000000007</v>
      </c>
      <c r="BR86">
        <v>47.316000000000003</v>
      </c>
      <c r="BS86">
        <v>85.316999999999993</v>
      </c>
      <c r="BU86" s="10" t="s">
        <v>162</v>
      </c>
      <c r="BV86" s="10">
        <v>101</v>
      </c>
      <c r="BW86">
        <v>1994</v>
      </c>
      <c r="BX86">
        <v>2</v>
      </c>
      <c r="BY86">
        <f t="shared" si="10"/>
        <v>19.293999999999997</v>
      </c>
      <c r="BZ86">
        <v>61.703000000000003</v>
      </c>
      <c r="CA86">
        <v>119.294</v>
      </c>
      <c r="CC86">
        <v>2008</v>
      </c>
      <c r="CD86">
        <v>1</v>
      </c>
      <c r="CE86">
        <f t="shared" si="11"/>
        <v>-14.587000000000003</v>
      </c>
      <c r="CF86">
        <v>47.286999999999999</v>
      </c>
      <c r="CG86">
        <v>85.412999999999997</v>
      </c>
      <c r="CI86">
        <v>1994</v>
      </c>
      <c r="CJ86">
        <v>2</v>
      </c>
      <c r="CK86">
        <f t="shared" si="12"/>
        <v>19.215999999999994</v>
      </c>
      <c r="CL86">
        <v>61.661000000000001</v>
      </c>
      <c r="CM86">
        <v>119.21599999999999</v>
      </c>
    </row>
    <row r="87" spans="5:91" x14ac:dyDescent="0.2">
      <c r="E87">
        <v>1996</v>
      </c>
      <c r="F87">
        <v>4</v>
      </c>
      <c r="G87">
        <v>41.530999999999999</v>
      </c>
      <c r="P87">
        <v>2010</v>
      </c>
      <c r="Q87">
        <v>2</v>
      </c>
      <c r="R87">
        <v>39.680999999999997</v>
      </c>
      <c r="U87">
        <f t="shared" si="7"/>
        <v>45.66</v>
      </c>
      <c r="W87" s="10" t="s">
        <v>162</v>
      </c>
      <c r="X87">
        <v>18</v>
      </c>
      <c r="Y87">
        <v>2010</v>
      </c>
      <c r="Z87">
        <v>2</v>
      </c>
      <c r="AA87">
        <v>44.085999999999999</v>
      </c>
      <c r="AB87">
        <v>7</v>
      </c>
      <c r="AC87">
        <v>128</v>
      </c>
      <c r="AE87" s="10" t="s">
        <v>162</v>
      </c>
      <c r="AF87">
        <v>18</v>
      </c>
      <c r="AG87">
        <v>1996</v>
      </c>
      <c r="AH87">
        <v>4</v>
      </c>
      <c r="AI87">
        <v>38.101999999999997</v>
      </c>
      <c r="AJ87">
        <v>0</v>
      </c>
      <c r="AK87">
        <v>0</v>
      </c>
      <c r="AT87">
        <v>2006</v>
      </c>
      <c r="AU87">
        <v>3</v>
      </c>
      <c r="AV87">
        <v>120.221</v>
      </c>
      <c r="AW87">
        <f t="shared" si="8"/>
        <v>20.221000000000004</v>
      </c>
      <c r="AX87">
        <v>2</v>
      </c>
      <c r="AY87">
        <v>131</v>
      </c>
      <c r="BG87">
        <v>2006</v>
      </c>
      <c r="BH87">
        <v>3</v>
      </c>
      <c r="BI87">
        <v>61.552</v>
      </c>
      <c r="BJ87">
        <v>2</v>
      </c>
      <c r="BK87">
        <v>131</v>
      </c>
      <c r="BM87" s="10" t="s">
        <v>162</v>
      </c>
      <c r="BN87" s="10">
        <v>101</v>
      </c>
      <c r="BO87">
        <v>2008</v>
      </c>
      <c r="BP87">
        <v>2</v>
      </c>
      <c r="BQ87">
        <f t="shared" si="9"/>
        <v>-14.299999999999997</v>
      </c>
      <c r="BR87">
        <v>47.646999999999998</v>
      </c>
      <c r="BS87">
        <v>85.7</v>
      </c>
      <c r="BU87" s="10" t="s">
        <v>162</v>
      </c>
      <c r="BV87" s="10">
        <v>101</v>
      </c>
      <c r="BW87">
        <v>1994</v>
      </c>
      <c r="BX87">
        <v>3</v>
      </c>
      <c r="BY87">
        <f t="shared" si="10"/>
        <v>16.816000000000003</v>
      </c>
      <c r="BZ87">
        <v>60.789000000000001</v>
      </c>
      <c r="CA87">
        <v>116.816</v>
      </c>
      <c r="CC87">
        <v>2008</v>
      </c>
      <c r="CD87">
        <v>2</v>
      </c>
      <c r="CE87">
        <f t="shared" si="11"/>
        <v>-14.203999999999994</v>
      </c>
      <c r="CF87">
        <v>47.619</v>
      </c>
      <c r="CG87">
        <v>85.796000000000006</v>
      </c>
      <c r="CI87">
        <v>1994</v>
      </c>
      <c r="CJ87">
        <v>3</v>
      </c>
      <c r="CK87">
        <f t="shared" si="12"/>
        <v>16.742000000000004</v>
      </c>
      <c r="CL87">
        <v>60.756999999999998</v>
      </c>
      <c r="CM87">
        <v>116.742</v>
      </c>
    </row>
    <row r="88" spans="5:91" x14ac:dyDescent="0.2">
      <c r="E88">
        <v>1996</v>
      </c>
      <c r="F88">
        <v>5</v>
      </c>
      <c r="G88">
        <v>41.485999999999997</v>
      </c>
      <c r="P88">
        <v>2010</v>
      </c>
      <c r="Q88">
        <v>3</v>
      </c>
      <c r="R88">
        <v>41.86</v>
      </c>
      <c r="U88">
        <f t="shared" si="7"/>
        <v>47.838999999999999</v>
      </c>
      <c r="W88" s="10" t="s">
        <v>162</v>
      </c>
      <c r="X88">
        <v>18</v>
      </c>
      <c r="Y88">
        <v>2010</v>
      </c>
      <c r="Z88">
        <v>3</v>
      </c>
      <c r="AA88">
        <v>43.777999999999999</v>
      </c>
      <c r="AB88">
        <v>4</v>
      </c>
      <c r="AC88">
        <v>127</v>
      </c>
      <c r="AE88" s="10" t="s">
        <v>162</v>
      </c>
      <c r="AF88">
        <v>18</v>
      </c>
      <c r="AG88">
        <v>1996</v>
      </c>
      <c r="AH88">
        <v>5</v>
      </c>
      <c r="AI88">
        <v>37.191000000000003</v>
      </c>
      <c r="AJ88">
        <v>0</v>
      </c>
      <c r="AK88">
        <v>0</v>
      </c>
      <c r="AT88">
        <v>2006</v>
      </c>
      <c r="AU88">
        <v>4</v>
      </c>
      <c r="AV88">
        <v>121.758</v>
      </c>
      <c r="AW88">
        <f t="shared" si="8"/>
        <v>21.757999999999996</v>
      </c>
      <c r="AX88">
        <v>1</v>
      </c>
      <c r="AY88">
        <v>92</v>
      </c>
      <c r="BG88">
        <v>2006</v>
      </c>
      <c r="BH88">
        <v>4</v>
      </c>
      <c r="BI88">
        <v>62.396999999999998</v>
      </c>
      <c r="BJ88">
        <v>1</v>
      </c>
      <c r="BK88">
        <v>92</v>
      </c>
      <c r="BM88" s="10" t="s">
        <v>162</v>
      </c>
      <c r="BN88" s="10">
        <v>101</v>
      </c>
      <c r="BO88">
        <v>2008</v>
      </c>
      <c r="BP88">
        <v>3</v>
      </c>
      <c r="BQ88">
        <f t="shared" si="9"/>
        <v>-13.959999999999994</v>
      </c>
      <c r="BR88">
        <v>47.85</v>
      </c>
      <c r="BS88">
        <v>86.04</v>
      </c>
      <c r="BU88" s="10" t="s">
        <v>162</v>
      </c>
      <c r="BV88" s="10">
        <v>101</v>
      </c>
      <c r="BW88">
        <v>1994</v>
      </c>
      <c r="BX88">
        <v>4</v>
      </c>
      <c r="BY88">
        <f t="shared" si="10"/>
        <v>15.745000000000005</v>
      </c>
      <c r="BZ88">
        <v>60.158999999999999</v>
      </c>
      <c r="CA88">
        <v>115.745</v>
      </c>
      <c r="CC88">
        <v>2008</v>
      </c>
      <c r="CD88">
        <v>3</v>
      </c>
      <c r="CE88">
        <f t="shared" si="11"/>
        <v>-13.864000000000004</v>
      </c>
      <c r="CF88">
        <v>47.822000000000003</v>
      </c>
      <c r="CG88">
        <v>86.135999999999996</v>
      </c>
      <c r="CI88">
        <v>1994</v>
      </c>
      <c r="CJ88">
        <v>4</v>
      </c>
      <c r="CK88">
        <f t="shared" si="12"/>
        <v>15.674000000000007</v>
      </c>
      <c r="CL88">
        <v>60.128999999999998</v>
      </c>
      <c r="CM88">
        <v>115.67400000000001</v>
      </c>
    </row>
    <row r="89" spans="5:91" x14ac:dyDescent="0.2">
      <c r="E89">
        <v>1996</v>
      </c>
      <c r="F89">
        <v>6</v>
      </c>
      <c r="G89">
        <v>39.131</v>
      </c>
      <c r="P89">
        <v>2010</v>
      </c>
      <c r="Q89">
        <v>4</v>
      </c>
      <c r="R89">
        <v>44.207000000000001</v>
      </c>
      <c r="U89">
        <f t="shared" si="7"/>
        <v>50.186</v>
      </c>
      <c r="W89" s="10" t="s">
        <v>162</v>
      </c>
      <c r="X89">
        <v>18</v>
      </c>
      <c r="Y89">
        <v>2010</v>
      </c>
      <c r="Z89">
        <v>4</v>
      </c>
      <c r="AA89">
        <v>45.56</v>
      </c>
      <c r="AB89">
        <v>5</v>
      </c>
      <c r="AC89">
        <v>136</v>
      </c>
      <c r="AE89" s="10" t="s">
        <v>162</v>
      </c>
      <c r="AF89">
        <v>18</v>
      </c>
      <c r="AG89">
        <v>1996</v>
      </c>
      <c r="AH89">
        <v>6</v>
      </c>
      <c r="AI89">
        <v>35.531999999999996</v>
      </c>
      <c r="AJ89">
        <v>1</v>
      </c>
      <c r="AK89">
        <v>60</v>
      </c>
      <c r="AT89">
        <v>2006</v>
      </c>
      <c r="AU89">
        <v>5</v>
      </c>
      <c r="AV89">
        <v>122.905</v>
      </c>
      <c r="AW89">
        <f t="shared" si="8"/>
        <v>22.905000000000001</v>
      </c>
      <c r="AX89">
        <v>1</v>
      </c>
      <c r="AY89">
        <v>92</v>
      </c>
      <c r="BG89">
        <v>2006</v>
      </c>
      <c r="BH89">
        <v>5</v>
      </c>
      <c r="BI89">
        <v>63.003999999999998</v>
      </c>
      <c r="BJ89">
        <v>1</v>
      </c>
      <c r="BK89">
        <v>92</v>
      </c>
      <c r="BM89" s="10" t="s">
        <v>162</v>
      </c>
      <c r="BN89" s="10">
        <v>101</v>
      </c>
      <c r="BO89">
        <v>2008</v>
      </c>
      <c r="BP89">
        <v>4</v>
      </c>
      <c r="BQ89">
        <f t="shared" si="9"/>
        <v>-13.606999999999999</v>
      </c>
      <c r="BR89">
        <v>48.177</v>
      </c>
      <c r="BS89">
        <v>86.393000000000001</v>
      </c>
      <c r="BU89" s="10" t="s">
        <v>162</v>
      </c>
      <c r="BV89" s="10">
        <v>101</v>
      </c>
      <c r="BW89">
        <v>1994</v>
      </c>
      <c r="BX89">
        <v>5</v>
      </c>
      <c r="BY89">
        <f t="shared" si="10"/>
        <v>15.328000000000003</v>
      </c>
      <c r="BZ89">
        <v>59.813000000000002</v>
      </c>
      <c r="CA89">
        <v>115.328</v>
      </c>
      <c r="CC89">
        <v>2008</v>
      </c>
      <c r="CD89">
        <v>4</v>
      </c>
      <c r="CE89">
        <f t="shared" si="11"/>
        <v>-13.510999999999996</v>
      </c>
      <c r="CF89">
        <v>48.149000000000001</v>
      </c>
      <c r="CG89">
        <v>86.489000000000004</v>
      </c>
      <c r="CI89">
        <v>1994</v>
      </c>
      <c r="CJ89">
        <v>5</v>
      </c>
      <c r="CK89">
        <f t="shared" si="12"/>
        <v>15.257999999999996</v>
      </c>
      <c r="CL89">
        <v>59.781999999999996</v>
      </c>
      <c r="CM89">
        <v>115.258</v>
      </c>
    </row>
    <row r="90" spans="5:91" x14ac:dyDescent="0.2">
      <c r="E90">
        <v>1996</v>
      </c>
      <c r="F90">
        <v>7</v>
      </c>
      <c r="G90">
        <v>39.176000000000002</v>
      </c>
      <c r="P90">
        <v>2011</v>
      </c>
      <c r="Q90">
        <v>1</v>
      </c>
      <c r="R90">
        <v>48.984000000000002</v>
      </c>
      <c r="S90">
        <v>47</v>
      </c>
      <c r="T90">
        <f>R90-S90</f>
        <v>1.9840000000000018</v>
      </c>
      <c r="U90">
        <f t="shared" si="7"/>
        <v>54.963000000000001</v>
      </c>
      <c r="W90" s="10" t="s">
        <v>162</v>
      </c>
      <c r="X90">
        <v>18</v>
      </c>
      <c r="Y90">
        <v>2011</v>
      </c>
      <c r="Z90">
        <v>1</v>
      </c>
      <c r="AA90">
        <v>46.98</v>
      </c>
      <c r="AB90">
        <v>7</v>
      </c>
      <c r="AC90">
        <v>142</v>
      </c>
      <c r="AE90" s="10" t="s">
        <v>162</v>
      </c>
      <c r="AF90">
        <v>18</v>
      </c>
      <c r="AG90">
        <v>1996</v>
      </c>
      <c r="AH90">
        <v>7</v>
      </c>
      <c r="AI90">
        <v>34.972999999999999</v>
      </c>
      <c r="AJ90">
        <v>0</v>
      </c>
      <c r="AK90">
        <v>0</v>
      </c>
      <c r="AT90">
        <v>2006</v>
      </c>
      <c r="AU90">
        <v>6</v>
      </c>
      <c r="AV90">
        <v>119.944</v>
      </c>
      <c r="AW90">
        <f t="shared" si="8"/>
        <v>19.944000000000003</v>
      </c>
      <c r="AX90">
        <v>2</v>
      </c>
      <c r="AY90">
        <v>131</v>
      </c>
      <c r="BG90">
        <v>2006</v>
      </c>
      <c r="BH90">
        <v>6</v>
      </c>
      <c r="BI90">
        <v>61.433</v>
      </c>
      <c r="BJ90">
        <v>2</v>
      </c>
      <c r="BK90">
        <v>131</v>
      </c>
      <c r="BM90" s="10" t="s">
        <v>162</v>
      </c>
      <c r="BN90" s="10">
        <v>101</v>
      </c>
      <c r="BO90">
        <v>2009</v>
      </c>
      <c r="BP90">
        <v>1</v>
      </c>
      <c r="BQ90">
        <f t="shared" si="9"/>
        <v>-13.396000000000001</v>
      </c>
      <c r="BR90">
        <v>48.313000000000002</v>
      </c>
      <c r="BS90">
        <v>86.603999999999999</v>
      </c>
      <c r="BU90" s="10" t="s">
        <v>162</v>
      </c>
      <c r="BV90" s="10">
        <v>101</v>
      </c>
      <c r="BW90">
        <v>1994</v>
      </c>
      <c r="BX90">
        <v>6</v>
      </c>
      <c r="BY90">
        <f t="shared" si="10"/>
        <v>10.802000000000007</v>
      </c>
      <c r="BZ90">
        <v>57.064</v>
      </c>
      <c r="CA90">
        <v>110.80200000000001</v>
      </c>
      <c r="CC90">
        <v>2009</v>
      </c>
      <c r="CD90">
        <v>1</v>
      </c>
      <c r="CE90">
        <f t="shared" si="11"/>
        <v>-13.299000000000007</v>
      </c>
      <c r="CF90">
        <v>48.284999999999997</v>
      </c>
      <c r="CG90">
        <v>86.700999999999993</v>
      </c>
      <c r="CI90">
        <v>1994</v>
      </c>
      <c r="CJ90">
        <v>6</v>
      </c>
      <c r="CK90">
        <f t="shared" si="12"/>
        <v>10.742000000000004</v>
      </c>
      <c r="CL90">
        <v>57.039000000000001</v>
      </c>
      <c r="CM90">
        <v>110.742</v>
      </c>
    </row>
    <row r="91" spans="5:91" x14ac:dyDescent="0.2">
      <c r="E91">
        <v>1996</v>
      </c>
      <c r="F91">
        <v>8</v>
      </c>
      <c r="G91">
        <v>39.15</v>
      </c>
      <c r="W91" s="10" t="s">
        <v>162</v>
      </c>
      <c r="X91">
        <v>18</v>
      </c>
      <c r="Y91">
        <v>2011</v>
      </c>
      <c r="Z91">
        <v>2</v>
      </c>
      <c r="AA91">
        <v>45.929000000000002</v>
      </c>
      <c r="AB91">
        <v>3</v>
      </c>
      <c r="AC91">
        <v>58</v>
      </c>
      <c r="AE91" s="10" t="s">
        <v>162</v>
      </c>
      <c r="AF91">
        <v>18</v>
      </c>
      <c r="AG91">
        <v>1996</v>
      </c>
      <c r="AH91">
        <v>8</v>
      </c>
      <c r="AI91">
        <v>34.607999999999997</v>
      </c>
      <c r="AJ91">
        <v>0</v>
      </c>
      <c r="AK91">
        <v>0</v>
      </c>
      <c r="AT91">
        <v>2006</v>
      </c>
      <c r="AU91">
        <v>7</v>
      </c>
      <c r="AV91">
        <v>119.712</v>
      </c>
      <c r="AW91">
        <f t="shared" si="8"/>
        <v>19.712000000000003</v>
      </c>
      <c r="AX91">
        <v>1</v>
      </c>
      <c r="AY91">
        <v>92</v>
      </c>
      <c r="BG91">
        <v>2006</v>
      </c>
      <c r="BH91">
        <v>7</v>
      </c>
      <c r="BI91">
        <v>61.329000000000001</v>
      </c>
      <c r="BJ91">
        <v>1</v>
      </c>
      <c r="BK91">
        <v>92</v>
      </c>
      <c r="BM91" s="10" t="s">
        <v>162</v>
      </c>
      <c r="BN91" s="10">
        <v>101</v>
      </c>
      <c r="BO91">
        <v>2009</v>
      </c>
      <c r="BP91">
        <v>2</v>
      </c>
      <c r="BQ91">
        <f t="shared" si="9"/>
        <v>-14.441999999999993</v>
      </c>
      <c r="BR91">
        <v>47.514000000000003</v>
      </c>
      <c r="BS91">
        <v>85.558000000000007</v>
      </c>
      <c r="BU91" s="10" t="s">
        <v>162</v>
      </c>
      <c r="BV91" s="10">
        <v>101</v>
      </c>
      <c r="BW91">
        <v>1994</v>
      </c>
      <c r="BX91">
        <v>7</v>
      </c>
      <c r="BY91">
        <f t="shared" si="10"/>
        <v>12.075999999999993</v>
      </c>
      <c r="BZ91">
        <v>57.518999999999998</v>
      </c>
      <c r="CA91">
        <v>112.07599999999999</v>
      </c>
      <c r="CC91">
        <v>2009</v>
      </c>
      <c r="CD91">
        <v>2</v>
      </c>
      <c r="CE91">
        <f t="shared" si="11"/>
        <v>-14.346000000000004</v>
      </c>
      <c r="CF91">
        <v>47.485999999999997</v>
      </c>
      <c r="CG91">
        <v>85.653999999999996</v>
      </c>
      <c r="CI91">
        <v>1994</v>
      </c>
      <c r="CJ91">
        <v>7</v>
      </c>
      <c r="CK91">
        <f t="shared" si="12"/>
        <v>12.013000000000005</v>
      </c>
      <c r="CL91">
        <v>57.488</v>
      </c>
      <c r="CM91">
        <v>112.01300000000001</v>
      </c>
    </row>
    <row r="92" spans="5:91" x14ac:dyDescent="0.2">
      <c r="E92">
        <v>1996</v>
      </c>
      <c r="F92">
        <v>9</v>
      </c>
      <c r="G92">
        <v>39.442</v>
      </c>
      <c r="T92">
        <f>AVERAGE(T55:T90)</f>
        <v>-5.9788888888888883</v>
      </c>
      <c r="W92" s="10" t="s">
        <v>162</v>
      </c>
      <c r="X92">
        <v>18</v>
      </c>
      <c r="Y92">
        <v>2011</v>
      </c>
      <c r="Z92">
        <v>3</v>
      </c>
      <c r="AA92">
        <v>50.195</v>
      </c>
      <c r="AB92">
        <v>5</v>
      </c>
      <c r="AC92">
        <v>116</v>
      </c>
      <c r="AE92" s="10" t="s">
        <v>162</v>
      </c>
      <c r="AF92">
        <v>18</v>
      </c>
      <c r="AG92">
        <v>1996</v>
      </c>
      <c r="AH92">
        <v>9</v>
      </c>
      <c r="AI92">
        <v>34.576000000000001</v>
      </c>
      <c r="AJ92">
        <v>1</v>
      </c>
      <c r="AK92">
        <v>60</v>
      </c>
      <c r="AT92">
        <v>2006</v>
      </c>
      <c r="AU92">
        <v>8</v>
      </c>
      <c r="AV92">
        <v>120.44799999999999</v>
      </c>
      <c r="AW92">
        <f t="shared" si="8"/>
        <v>20.447999999999993</v>
      </c>
      <c r="AX92">
        <v>1</v>
      </c>
      <c r="AY92">
        <v>92</v>
      </c>
      <c r="BG92">
        <v>2006</v>
      </c>
      <c r="BH92">
        <v>8</v>
      </c>
      <c r="BI92">
        <v>61.616999999999997</v>
      </c>
      <c r="BJ92">
        <v>1</v>
      </c>
      <c r="BK92">
        <v>92</v>
      </c>
      <c r="BM92" s="10" t="s">
        <v>162</v>
      </c>
      <c r="BN92" s="10">
        <v>101</v>
      </c>
      <c r="BO92">
        <v>2009</v>
      </c>
      <c r="BP92">
        <v>3</v>
      </c>
      <c r="BQ92">
        <f t="shared" si="9"/>
        <v>-14.872</v>
      </c>
      <c r="BR92">
        <v>47.332000000000001</v>
      </c>
      <c r="BS92">
        <v>85.128</v>
      </c>
      <c r="BU92" s="10" t="s">
        <v>162</v>
      </c>
      <c r="BV92" s="10">
        <v>101</v>
      </c>
      <c r="BW92">
        <v>1994</v>
      </c>
      <c r="BX92">
        <v>8</v>
      </c>
      <c r="BY92">
        <f t="shared" si="10"/>
        <v>12.683999999999997</v>
      </c>
      <c r="BZ92">
        <v>57.884</v>
      </c>
      <c r="CA92">
        <v>112.684</v>
      </c>
      <c r="CC92">
        <v>2009</v>
      </c>
      <c r="CD92">
        <v>3</v>
      </c>
      <c r="CE92">
        <f t="shared" si="11"/>
        <v>-14.775999999999996</v>
      </c>
      <c r="CF92">
        <v>47.304000000000002</v>
      </c>
      <c r="CG92">
        <v>85.224000000000004</v>
      </c>
      <c r="CI92">
        <v>1994</v>
      </c>
      <c r="CJ92">
        <v>8</v>
      </c>
      <c r="CK92">
        <f t="shared" si="12"/>
        <v>12.620000000000005</v>
      </c>
      <c r="CL92">
        <v>57.851999999999997</v>
      </c>
      <c r="CM92">
        <v>112.62</v>
      </c>
    </row>
    <row r="93" spans="5:91" x14ac:dyDescent="0.2">
      <c r="E93">
        <v>1996</v>
      </c>
      <c r="F93">
        <v>10</v>
      </c>
      <c r="G93">
        <v>39.472999999999999</v>
      </c>
      <c r="T93" t="s">
        <v>61</v>
      </c>
      <c r="W93" s="10" t="s">
        <v>162</v>
      </c>
      <c r="X93">
        <v>18</v>
      </c>
      <c r="Y93">
        <v>2011</v>
      </c>
      <c r="Z93">
        <v>4</v>
      </c>
      <c r="AA93">
        <v>51.066000000000003</v>
      </c>
      <c r="AB93">
        <v>3</v>
      </c>
      <c r="AC93">
        <v>96</v>
      </c>
      <c r="AE93" s="10" t="s">
        <v>162</v>
      </c>
      <c r="AF93">
        <v>18</v>
      </c>
      <c r="AG93">
        <v>1996</v>
      </c>
      <c r="AH93">
        <v>10</v>
      </c>
      <c r="AI93">
        <v>34.558</v>
      </c>
      <c r="AJ93">
        <v>0</v>
      </c>
      <c r="AK93">
        <v>0</v>
      </c>
      <c r="AT93">
        <v>2006</v>
      </c>
      <c r="AU93">
        <v>9</v>
      </c>
      <c r="AV93">
        <v>118.715</v>
      </c>
      <c r="AW93">
        <f t="shared" si="8"/>
        <v>18.715000000000003</v>
      </c>
      <c r="AX93">
        <v>2</v>
      </c>
      <c r="AY93">
        <v>131</v>
      </c>
      <c r="BG93">
        <v>2006</v>
      </c>
      <c r="BH93">
        <v>9</v>
      </c>
      <c r="BI93">
        <v>60.722000000000001</v>
      </c>
      <c r="BJ93">
        <v>2</v>
      </c>
      <c r="BK93">
        <v>131</v>
      </c>
      <c r="BM93" s="10" t="s">
        <v>162</v>
      </c>
      <c r="BN93" s="10">
        <v>101</v>
      </c>
      <c r="BO93">
        <v>2009</v>
      </c>
      <c r="BP93">
        <v>4</v>
      </c>
      <c r="BQ93">
        <f t="shared" si="9"/>
        <v>-16.034999999999997</v>
      </c>
      <c r="BR93">
        <v>46.485999999999997</v>
      </c>
      <c r="BS93">
        <v>83.965000000000003</v>
      </c>
      <c r="BU93" s="10" t="s">
        <v>162</v>
      </c>
      <c r="BV93" s="10">
        <v>101</v>
      </c>
      <c r="BW93">
        <v>1994</v>
      </c>
      <c r="BX93">
        <v>9</v>
      </c>
      <c r="BY93">
        <f t="shared" si="10"/>
        <v>12.927999999999997</v>
      </c>
      <c r="BZ93">
        <v>58.093000000000004</v>
      </c>
      <c r="CA93">
        <v>112.928</v>
      </c>
      <c r="CC93">
        <v>2009</v>
      </c>
      <c r="CD93">
        <v>4</v>
      </c>
      <c r="CE93">
        <f t="shared" si="11"/>
        <v>-15.938999999999993</v>
      </c>
      <c r="CF93">
        <v>46.457999999999998</v>
      </c>
      <c r="CG93">
        <v>84.061000000000007</v>
      </c>
      <c r="CI93">
        <v>1994</v>
      </c>
      <c r="CJ93">
        <v>9</v>
      </c>
      <c r="CK93">
        <f t="shared" si="12"/>
        <v>12.863</v>
      </c>
      <c r="CL93">
        <v>58.061</v>
      </c>
      <c r="CM93">
        <v>112.863</v>
      </c>
    </row>
    <row r="94" spans="5:91" x14ac:dyDescent="0.2">
      <c r="E94">
        <v>1996</v>
      </c>
      <c r="F94">
        <v>11</v>
      </c>
      <c r="G94">
        <v>39.475999999999999</v>
      </c>
      <c r="W94" s="10" t="s">
        <v>162</v>
      </c>
      <c r="X94">
        <v>18</v>
      </c>
      <c r="Y94">
        <v>2012</v>
      </c>
      <c r="Z94">
        <v>1</v>
      </c>
      <c r="AA94">
        <v>55.283999999999999</v>
      </c>
      <c r="AB94">
        <v>3</v>
      </c>
      <c r="AC94">
        <v>67</v>
      </c>
      <c r="AE94" s="10" t="s">
        <v>162</v>
      </c>
      <c r="AF94">
        <v>18</v>
      </c>
      <c r="AG94">
        <v>1996</v>
      </c>
      <c r="AH94">
        <v>11</v>
      </c>
      <c r="AI94">
        <v>34.548999999999999</v>
      </c>
      <c r="AJ94">
        <v>0</v>
      </c>
      <c r="AK94">
        <v>0</v>
      </c>
      <c r="AT94">
        <v>2006</v>
      </c>
      <c r="AU94">
        <v>10</v>
      </c>
      <c r="AV94">
        <v>117.55200000000001</v>
      </c>
      <c r="AW94">
        <f t="shared" si="8"/>
        <v>17.552000000000007</v>
      </c>
      <c r="AX94">
        <v>0</v>
      </c>
      <c r="AY94">
        <v>0</v>
      </c>
      <c r="BG94">
        <v>2006</v>
      </c>
      <c r="BH94">
        <v>10</v>
      </c>
      <c r="BI94">
        <v>60.195999999999998</v>
      </c>
      <c r="BJ94">
        <v>0</v>
      </c>
      <c r="BK94">
        <v>0</v>
      </c>
      <c r="BM94" s="10" t="s">
        <v>162</v>
      </c>
      <c r="BN94" s="10">
        <v>101</v>
      </c>
      <c r="BO94">
        <v>2010</v>
      </c>
      <c r="BP94">
        <v>1</v>
      </c>
      <c r="BQ94">
        <f t="shared" si="9"/>
        <v>-17.382000000000005</v>
      </c>
      <c r="BR94">
        <v>45.478000000000002</v>
      </c>
      <c r="BS94">
        <v>82.617999999999995</v>
      </c>
      <c r="BU94" s="10" t="s">
        <v>162</v>
      </c>
      <c r="BV94" s="10">
        <v>101</v>
      </c>
      <c r="BW94">
        <v>1994</v>
      </c>
      <c r="BX94">
        <v>10</v>
      </c>
      <c r="BY94">
        <f t="shared" si="10"/>
        <v>15.632999999999996</v>
      </c>
      <c r="BZ94">
        <v>59.823</v>
      </c>
      <c r="CA94">
        <v>115.633</v>
      </c>
      <c r="CC94">
        <v>2010</v>
      </c>
      <c r="CD94">
        <v>1</v>
      </c>
      <c r="CE94">
        <f t="shared" si="11"/>
        <v>-17.287000000000006</v>
      </c>
      <c r="CF94">
        <v>45.45</v>
      </c>
      <c r="CG94">
        <v>82.712999999999994</v>
      </c>
      <c r="CI94">
        <v>1994</v>
      </c>
      <c r="CJ94">
        <v>10</v>
      </c>
      <c r="CK94">
        <f t="shared" si="12"/>
        <v>15.561999999999998</v>
      </c>
      <c r="CL94">
        <v>59.787999999999997</v>
      </c>
      <c r="CM94">
        <v>115.562</v>
      </c>
    </row>
    <row r="95" spans="5:91" x14ac:dyDescent="0.2">
      <c r="E95">
        <v>1996</v>
      </c>
      <c r="F95">
        <v>12</v>
      </c>
      <c r="G95">
        <v>39.475999999999999</v>
      </c>
      <c r="W95" s="10" t="s">
        <v>162</v>
      </c>
      <c r="X95">
        <v>18</v>
      </c>
      <c r="Y95">
        <v>2012</v>
      </c>
      <c r="Z95">
        <v>2</v>
      </c>
      <c r="AA95">
        <v>59.963000000000001</v>
      </c>
      <c r="AB95">
        <v>4</v>
      </c>
      <c r="AC95">
        <v>70</v>
      </c>
      <c r="AE95" s="10" t="s">
        <v>162</v>
      </c>
      <c r="AF95">
        <v>18</v>
      </c>
      <c r="AG95">
        <v>1996</v>
      </c>
      <c r="AH95">
        <v>12</v>
      </c>
      <c r="AI95">
        <v>34.543999999999997</v>
      </c>
      <c r="AJ95">
        <v>1</v>
      </c>
      <c r="AK95">
        <v>60</v>
      </c>
      <c r="AT95">
        <v>2006</v>
      </c>
      <c r="AU95">
        <v>11</v>
      </c>
      <c r="AV95">
        <v>117.003</v>
      </c>
      <c r="AW95">
        <f t="shared" si="8"/>
        <v>17.003</v>
      </c>
      <c r="AX95">
        <v>3</v>
      </c>
      <c r="AY95">
        <v>99</v>
      </c>
      <c r="BG95">
        <v>2006</v>
      </c>
      <c r="BH95">
        <v>11</v>
      </c>
      <c r="BI95">
        <v>60.008000000000003</v>
      </c>
      <c r="BJ95">
        <v>3</v>
      </c>
      <c r="BK95">
        <v>99</v>
      </c>
      <c r="BM95" s="10" t="s">
        <v>162</v>
      </c>
      <c r="BN95" s="10">
        <v>101</v>
      </c>
      <c r="BO95">
        <v>2010</v>
      </c>
      <c r="BP95">
        <v>2</v>
      </c>
      <c r="BQ95">
        <f t="shared" si="9"/>
        <v>-17.846999999999994</v>
      </c>
      <c r="BR95">
        <v>45.17</v>
      </c>
      <c r="BS95">
        <v>82.153000000000006</v>
      </c>
      <c r="BU95" s="10" t="s">
        <v>162</v>
      </c>
      <c r="BV95" s="10">
        <v>101</v>
      </c>
      <c r="BW95">
        <v>1994</v>
      </c>
      <c r="BX95">
        <v>11</v>
      </c>
      <c r="BY95">
        <f t="shared" si="10"/>
        <v>17.661000000000001</v>
      </c>
      <c r="BZ95">
        <v>60.957000000000001</v>
      </c>
      <c r="CA95">
        <v>117.661</v>
      </c>
      <c r="CC95">
        <v>2010</v>
      </c>
      <c r="CD95">
        <v>2</v>
      </c>
      <c r="CE95">
        <f t="shared" si="11"/>
        <v>-17.753</v>
      </c>
      <c r="CF95">
        <v>45.140999999999998</v>
      </c>
      <c r="CG95">
        <v>82.247</v>
      </c>
      <c r="CI95">
        <v>1994</v>
      </c>
      <c r="CJ95">
        <v>11</v>
      </c>
      <c r="CK95">
        <f t="shared" si="12"/>
        <v>17.587999999999994</v>
      </c>
      <c r="CL95">
        <v>60.918999999999997</v>
      </c>
      <c r="CM95">
        <v>117.58799999999999</v>
      </c>
    </row>
    <row r="96" spans="5:91" x14ac:dyDescent="0.2">
      <c r="E96">
        <v>1997</v>
      </c>
      <c r="F96">
        <v>1</v>
      </c>
      <c r="G96">
        <v>39.475999999999999</v>
      </c>
      <c r="W96" s="10" t="s">
        <v>162</v>
      </c>
      <c r="X96">
        <v>18</v>
      </c>
      <c r="Y96">
        <v>2012</v>
      </c>
      <c r="Z96">
        <v>3</v>
      </c>
      <c r="AA96">
        <v>57.113999999999997</v>
      </c>
      <c r="AB96">
        <v>2</v>
      </c>
      <c r="AC96">
        <v>56</v>
      </c>
      <c r="AE96" s="10" t="s">
        <v>162</v>
      </c>
      <c r="AF96">
        <v>18</v>
      </c>
      <c r="AG96">
        <v>1997</v>
      </c>
      <c r="AH96">
        <v>1</v>
      </c>
      <c r="AI96">
        <v>34.542000000000002</v>
      </c>
      <c r="AJ96">
        <v>0</v>
      </c>
      <c r="AK96">
        <v>0</v>
      </c>
      <c r="AT96">
        <v>2006</v>
      </c>
      <c r="AU96">
        <v>12</v>
      </c>
      <c r="AV96">
        <v>113.92700000000001</v>
      </c>
      <c r="AW96">
        <f t="shared" si="8"/>
        <v>13.927000000000007</v>
      </c>
      <c r="AX96">
        <v>1</v>
      </c>
      <c r="AY96">
        <v>39</v>
      </c>
      <c r="BG96">
        <v>2006</v>
      </c>
      <c r="BH96">
        <v>12</v>
      </c>
      <c r="BI96">
        <v>58.249000000000002</v>
      </c>
      <c r="BJ96">
        <v>1</v>
      </c>
      <c r="BK96">
        <v>39</v>
      </c>
      <c r="BM96" s="10" t="s">
        <v>162</v>
      </c>
      <c r="BN96" s="10">
        <v>101</v>
      </c>
      <c r="BO96">
        <v>2010</v>
      </c>
      <c r="BP96">
        <v>3</v>
      </c>
      <c r="BQ96">
        <f t="shared" si="9"/>
        <v>-17.332999999999998</v>
      </c>
      <c r="BR96">
        <v>45.488</v>
      </c>
      <c r="BS96">
        <v>82.667000000000002</v>
      </c>
      <c r="BU96" s="10" t="s">
        <v>162</v>
      </c>
      <c r="BV96" s="10">
        <v>101</v>
      </c>
      <c r="BW96">
        <v>1994</v>
      </c>
      <c r="BX96">
        <v>12</v>
      </c>
      <c r="BY96">
        <f t="shared" si="10"/>
        <v>18.328000000000003</v>
      </c>
      <c r="BZ96">
        <v>61.408000000000001</v>
      </c>
      <c r="CA96">
        <v>118.328</v>
      </c>
      <c r="CC96">
        <v>2010</v>
      </c>
      <c r="CD96">
        <v>3</v>
      </c>
      <c r="CE96">
        <f t="shared" si="11"/>
        <v>-17.239000000000004</v>
      </c>
      <c r="CF96">
        <v>45.46</v>
      </c>
      <c r="CG96">
        <v>82.760999999999996</v>
      </c>
      <c r="CI96">
        <v>1994</v>
      </c>
      <c r="CJ96">
        <v>12</v>
      </c>
      <c r="CK96">
        <f t="shared" si="12"/>
        <v>18.254000000000005</v>
      </c>
      <c r="CL96">
        <v>61.37</v>
      </c>
      <c r="CM96">
        <v>118.254</v>
      </c>
    </row>
    <row r="97" spans="5:91" x14ac:dyDescent="0.2">
      <c r="E97">
        <v>1997</v>
      </c>
      <c r="F97">
        <v>2</v>
      </c>
      <c r="G97">
        <v>39.475999999999999</v>
      </c>
      <c r="W97" s="10" t="s">
        <v>162</v>
      </c>
      <c r="X97">
        <v>18</v>
      </c>
      <c r="Y97">
        <v>2012</v>
      </c>
      <c r="Z97">
        <v>4</v>
      </c>
      <c r="AA97">
        <v>57.168999999999997</v>
      </c>
      <c r="AB97">
        <v>2</v>
      </c>
      <c r="AC97">
        <v>56</v>
      </c>
      <c r="AE97" s="10" t="s">
        <v>162</v>
      </c>
      <c r="AF97">
        <v>18</v>
      </c>
      <c r="AG97">
        <v>1997</v>
      </c>
      <c r="AH97">
        <v>2</v>
      </c>
      <c r="AI97">
        <v>34.540999999999997</v>
      </c>
      <c r="AJ97">
        <v>0</v>
      </c>
      <c r="AK97">
        <v>0</v>
      </c>
      <c r="AT97">
        <v>2007</v>
      </c>
      <c r="AU97">
        <v>1</v>
      </c>
      <c r="AV97">
        <v>114.068</v>
      </c>
      <c r="AW97">
        <f t="shared" si="8"/>
        <v>14.067999999999998</v>
      </c>
      <c r="AX97">
        <v>0</v>
      </c>
      <c r="AY97">
        <v>0</v>
      </c>
      <c r="BG97">
        <v>2007</v>
      </c>
      <c r="BH97">
        <v>1</v>
      </c>
      <c r="BI97">
        <v>58.290999999999997</v>
      </c>
      <c r="BJ97">
        <v>0</v>
      </c>
      <c r="BK97">
        <v>0</v>
      </c>
      <c r="BM97" s="10" t="s">
        <v>162</v>
      </c>
      <c r="BN97" s="10">
        <v>101</v>
      </c>
      <c r="BO97">
        <v>2010</v>
      </c>
      <c r="BP97">
        <v>4</v>
      </c>
      <c r="BQ97">
        <f t="shared" si="9"/>
        <v>-15.802000000000007</v>
      </c>
      <c r="BR97">
        <v>46.500999999999998</v>
      </c>
      <c r="BS97">
        <v>84.197999999999993</v>
      </c>
      <c r="BU97" s="10" t="s">
        <v>162</v>
      </c>
      <c r="BV97" s="10">
        <v>101</v>
      </c>
      <c r="BW97">
        <v>1995</v>
      </c>
      <c r="BX97">
        <v>1</v>
      </c>
      <c r="BY97">
        <f t="shared" si="10"/>
        <v>18.563999999999993</v>
      </c>
      <c r="BZ97">
        <v>61.603000000000002</v>
      </c>
      <c r="CA97">
        <v>118.56399999999999</v>
      </c>
      <c r="CC97">
        <v>2010</v>
      </c>
      <c r="CD97">
        <v>4</v>
      </c>
      <c r="CE97">
        <f t="shared" si="11"/>
        <v>-15.707999999999998</v>
      </c>
      <c r="CF97">
        <v>46.472999999999999</v>
      </c>
      <c r="CG97">
        <v>84.292000000000002</v>
      </c>
      <c r="CI97">
        <v>1995</v>
      </c>
      <c r="CJ97">
        <v>1</v>
      </c>
      <c r="CK97">
        <f t="shared" si="12"/>
        <v>18.489000000000004</v>
      </c>
      <c r="CL97">
        <v>61.566000000000003</v>
      </c>
      <c r="CM97">
        <v>118.489</v>
      </c>
    </row>
    <row r="98" spans="5:91" x14ac:dyDescent="0.2">
      <c r="E98">
        <v>1997</v>
      </c>
      <c r="F98">
        <v>3</v>
      </c>
      <c r="G98">
        <v>39.475999999999999</v>
      </c>
      <c r="W98" s="10" t="s">
        <v>162</v>
      </c>
      <c r="X98">
        <v>18</v>
      </c>
      <c r="Y98">
        <v>2013</v>
      </c>
      <c r="Z98">
        <v>1</v>
      </c>
      <c r="AA98">
        <v>69.585999999999999</v>
      </c>
      <c r="AB98">
        <v>2</v>
      </c>
      <c r="AC98">
        <v>12</v>
      </c>
      <c r="AE98" s="10" t="s">
        <v>162</v>
      </c>
      <c r="AF98">
        <v>18</v>
      </c>
      <c r="AG98">
        <v>1997</v>
      </c>
      <c r="AH98">
        <v>3</v>
      </c>
      <c r="AI98">
        <v>34.54</v>
      </c>
      <c r="AJ98">
        <v>0</v>
      </c>
      <c r="AK98">
        <v>0</v>
      </c>
      <c r="AT98">
        <v>2007</v>
      </c>
      <c r="AU98">
        <v>2</v>
      </c>
      <c r="AV98">
        <v>116.21299999999999</v>
      </c>
      <c r="AW98">
        <f t="shared" si="8"/>
        <v>16.212999999999994</v>
      </c>
      <c r="AX98">
        <v>2</v>
      </c>
      <c r="AY98">
        <v>98</v>
      </c>
      <c r="BG98">
        <v>2007</v>
      </c>
      <c r="BH98">
        <v>2</v>
      </c>
      <c r="BI98">
        <v>59.500999999999998</v>
      </c>
      <c r="BJ98">
        <v>2</v>
      </c>
      <c r="BK98">
        <v>98</v>
      </c>
      <c r="BM98" s="10" t="s">
        <v>162</v>
      </c>
      <c r="BN98" s="10">
        <v>101</v>
      </c>
      <c r="BO98">
        <v>2011</v>
      </c>
      <c r="BP98">
        <v>1</v>
      </c>
      <c r="BQ98">
        <f t="shared" si="9"/>
        <v>-14.695999999999998</v>
      </c>
      <c r="BR98">
        <v>47.28</v>
      </c>
      <c r="BS98">
        <v>85.304000000000002</v>
      </c>
      <c r="BU98" s="10" t="s">
        <v>162</v>
      </c>
      <c r="BV98" s="10">
        <v>101</v>
      </c>
      <c r="BW98">
        <v>1995</v>
      </c>
      <c r="BX98">
        <v>2</v>
      </c>
      <c r="BY98">
        <f t="shared" si="10"/>
        <v>20.899000000000001</v>
      </c>
      <c r="BZ98">
        <v>62.704000000000001</v>
      </c>
      <c r="CA98">
        <v>120.899</v>
      </c>
      <c r="CC98">
        <v>2011</v>
      </c>
      <c r="CD98">
        <v>1</v>
      </c>
      <c r="CE98">
        <f t="shared" si="11"/>
        <v>-14.659999999999997</v>
      </c>
      <c r="CF98">
        <v>47.235999999999997</v>
      </c>
      <c r="CG98">
        <v>85.34</v>
      </c>
      <c r="CI98">
        <v>1995</v>
      </c>
      <c r="CJ98">
        <v>2</v>
      </c>
      <c r="CK98">
        <f t="shared" si="12"/>
        <v>20.819000000000003</v>
      </c>
      <c r="CL98">
        <v>62.664000000000001</v>
      </c>
      <c r="CM98">
        <v>120.819</v>
      </c>
    </row>
    <row r="99" spans="5:91" x14ac:dyDescent="0.2">
      <c r="E99">
        <v>1997</v>
      </c>
      <c r="F99">
        <v>4</v>
      </c>
      <c r="G99">
        <v>39.475999999999999</v>
      </c>
      <c r="W99" s="10" t="s">
        <v>162</v>
      </c>
      <c r="X99">
        <v>18</v>
      </c>
      <c r="Y99">
        <v>2013</v>
      </c>
      <c r="Z99">
        <v>2</v>
      </c>
      <c r="AA99">
        <v>56.844000000000001</v>
      </c>
      <c r="AB99">
        <v>1</v>
      </c>
      <c r="AC99">
        <v>4</v>
      </c>
      <c r="AE99" s="10" t="s">
        <v>162</v>
      </c>
      <c r="AF99">
        <v>18</v>
      </c>
      <c r="AG99">
        <v>1997</v>
      </c>
      <c r="AH99">
        <v>4</v>
      </c>
      <c r="AI99">
        <v>34.54</v>
      </c>
      <c r="AJ99">
        <v>0</v>
      </c>
      <c r="AK99">
        <v>0</v>
      </c>
      <c r="AT99">
        <v>2007</v>
      </c>
      <c r="AU99">
        <v>3</v>
      </c>
      <c r="AV99">
        <v>115.03</v>
      </c>
      <c r="AW99">
        <f t="shared" si="8"/>
        <v>15.030000000000001</v>
      </c>
      <c r="AX99">
        <v>2</v>
      </c>
      <c r="AY99">
        <v>131</v>
      </c>
      <c r="BG99">
        <v>2007</v>
      </c>
      <c r="BH99">
        <v>3</v>
      </c>
      <c r="BI99">
        <v>58.881</v>
      </c>
      <c r="BJ99">
        <v>2</v>
      </c>
      <c r="BK99">
        <v>131</v>
      </c>
      <c r="BM99" s="10" t="s">
        <v>162</v>
      </c>
      <c r="BN99" s="10">
        <v>101</v>
      </c>
      <c r="BO99">
        <v>2011</v>
      </c>
      <c r="BP99">
        <v>2</v>
      </c>
      <c r="BQ99">
        <f t="shared" si="9"/>
        <v>-15.778999999999996</v>
      </c>
      <c r="BR99">
        <v>46.591999999999999</v>
      </c>
      <c r="BS99">
        <v>84.221000000000004</v>
      </c>
      <c r="BU99" s="10" t="s">
        <v>162</v>
      </c>
      <c r="BV99" s="10">
        <v>101</v>
      </c>
      <c r="BW99">
        <v>1995</v>
      </c>
      <c r="BX99">
        <v>3</v>
      </c>
      <c r="BY99">
        <f t="shared" si="10"/>
        <v>17.623000000000005</v>
      </c>
      <c r="BZ99">
        <v>61.518000000000001</v>
      </c>
      <c r="CA99">
        <v>117.623</v>
      </c>
      <c r="CC99">
        <v>2011</v>
      </c>
      <c r="CD99">
        <v>2</v>
      </c>
      <c r="CE99">
        <f t="shared" si="11"/>
        <v>-15.703999999999994</v>
      </c>
      <c r="CF99">
        <v>46.570999999999998</v>
      </c>
      <c r="CG99">
        <v>84.296000000000006</v>
      </c>
      <c r="CI99">
        <v>1995</v>
      </c>
      <c r="CJ99">
        <v>3</v>
      </c>
      <c r="CK99">
        <f t="shared" si="12"/>
        <v>17.548000000000002</v>
      </c>
      <c r="CL99">
        <v>61.485999999999997</v>
      </c>
      <c r="CM99">
        <v>117.548</v>
      </c>
    </row>
    <row r="100" spans="5:91" x14ac:dyDescent="0.2">
      <c r="E100">
        <v>1997</v>
      </c>
      <c r="F100">
        <v>5</v>
      </c>
      <c r="G100">
        <v>39.475999999999999</v>
      </c>
      <c r="AE100" s="10" t="s">
        <v>162</v>
      </c>
      <c r="AF100">
        <v>18</v>
      </c>
      <c r="AG100">
        <v>1997</v>
      </c>
      <c r="AH100">
        <v>5</v>
      </c>
      <c r="AI100">
        <v>34.54</v>
      </c>
      <c r="AJ100">
        <v>0</v>
      </c>
      <c r="AK100">
        <v>0</v>
      </c>
      <c r="AT100">
        <v>2007</v>
      </c>
      <c r="AU100">
        <v>4</v>
      </c>
      <c r="AV100">
        <v>113.65300000000001</v>
      </c>
      <c r="AW100">
        <f t="shared" si="8"/>
        <v>13.653000000000006</v>
      </c>
      <c r="AX100">
        <v>0</v>
      </c>
      <c r="AY100">
        <v>0</v>
      </c>
      <c r="BG100">
        <v>2007</v>
      </c>
      <c r="BH100">
        <v>4</v>
      </c>
      <c r="BI100">
        <v>58.158000000000001</v>
      </c>
      <c r="BJ100">
        <v>0</v>
      </c>
      <c r="BK100">
        <v>0</v>
      </c>
      <c r="BM100" s="10" t="s">
        <v>162</v>
      </c>
      <c r="BN100" s="10">
        <v>101</v>
      </c>
      <c r="BO100">
        <v>2011</v>
      </c>
      <c r="BP100">
        <v>3</v>
      </c>
      <c r="BQ100">
        <f t="shared" si="9"/>
        <v>-14.811000000000007</v>
      </c>
      <c r="BR100">
        <v>47.238999999999997</v>
      </c>
      <c r="BS100">
        <v>85.188999999999993</v>
      </c>
      <c r="BU100" s="10" t="s">
        <v>162</v>
      </c>
      <c r="BV100" s="10">
        <v>101</v>
      </c>
      <c r="BW100">
        <v>1995</v>
      </c>
      <c r="BX100">
        <v>4</v>
      </c>
      <c r="BY100">
        <f t="shared" si="10"/>
        <v>16.340999999999994</v>
      </c>
      <c r="BZ100">
        <v>60.890999999999998</v>
      </c>
      <c r="CA100">
        <v>116.34099999999999</v>
      </c>
      <c r="CC100">
        <v>2011</v>
      </c>
      <c r="CD100">
        <v>3</v>
      </c>
      <c r="CE100">
        <f t="shared" si="11"/>
        <v>-14.712000000000003</v>
      </c>
      <c r="CF100">
        <v>47.210999999999999</v>
      </c>
      <c r="CG100">
        <v>85.287999999999997</v>
      </c>
      <c r="CI100">
        <v>1995</v>
      </c>
      <c r="CJ100">
        <v>4</v>
      </c>
      <c r="CK100">
        <f t="shared" si="12"/>
        <v>16.269000000000005</v>
      </c>
      <c r="CL100">
        <v>60.86</v>
      </c>
      <c r="CM100">
        <v>116.26900000000001</v>
      </c>
    </row>
    <row r="101" spans="5:91" x14ac:dyDescent="0.2">
      <c r="E101">
        <v>1997</v>
      </c>
      <c r="F101">
        <v>6</v>
      </c>
      <c r="G101">
        <v>39.475999999999999</v>
      </c>
      <c r="AE101" s="10" t="s">
        <v>162</v>
      </c>
      <c r="AF101">
        <v>18</v>
      </c>
      <c r="AG101">
        <v>1997</v>
      </c>
      <c r="AH101">
        <v>6</v>
      </c>
      <c r="AI101">
        <v>34.54</v>
      </c>
      <c r="AJ101">
        <v>0</v>
      </c>
      <c r="AK101">
        <v>0</v>
      </c>
      <c r="AT101">
        <v>2007</v>
      </c>
      <c r="AU101">
        <v>5</v>
      </c>
      <c r="AV101">
        <v>112.246</v>
      </c>
      <c r="AW101">
        <f t="shared" si="8"/>
        <v>12.245999999999995</v>
      </c>
      <c r="AX101">
        <v>2</v>
      </c>
      <c r="AY101">
        <v>98</v>
      </c>
      <c r="BG101">
        <v>2007</v>
      </c>
      <c r="BH101">
        <v>5</v>
      </c>
      <c r="BI101">
        <v>57.405000000000001</v>
      </c>
      <c r="BJ101">
        <v>2</v>
      </c>
      <c r="BK101">
        <v>98</v>
      </c>
      <c r="BM101" s="10" t="s">
        <v>162</v>
      </c>
      <c r="BN101" s="10">
        <v>101</v>
      </c>
      <c r="BO101">
        <v>2011</v>
      </c>
      <c r="BP101">
        <v>4</v>
      </c>
      <c r="BQ101">
        <f t="shared" si="9"/>
        <v>-14.513000000000005</v>
      </c>
      <c r="BR101">
        <v>47.398000000000003</v>
      </c>
      <c r="BS101">
        <v>85.486999999999995</v>
      </c>
      <c r="BU101" s="10" t="s">
        <v>162</v>
      </c>
      <c r="BV101" s="10">
        <v>101</v>
      </c>
      <c r="BW101">
        <v>1995</v>
      </c>
      <c r="BX101">
        <v>5</v>
      </c>
      <c r="BY101">
        <f t="shared" si="10"/>
        <v>15.858000000000004</v>
      </c>
      <c r="BZ101">
        <v>60.578000000000003</v>
      </c>
      <c r="CA101">
        <v>115.858</v>
      </c>
      <c r="CC101">
        <v>2011</v>
      </c>
      <c r="CD101">
        <v>4</v>
      </c>
      <c r="CE101">
        <f t="shared" si="11"/>
        <v>-14.409000000000006</v>
      </c>
      <c r="CF101">
        <v>47.369</v>
      </c>
      <c r="CG101">
        <v>85.590999999999994</v>
      </c>
      <c r="CI101">
        <v>1995</v>
      </c>
      <c r="CJ101">
        <v>5</v>
      </c>
      <c r="CK101">
        <f t="shared" si="12"/>
        <v>15.787000000000006</v>
      </c>
      <c r="CL101">
        <v>60.545999999999999</v>
      </c>
      <c r="CM101">
        <v>115.78700000000001</v>
      </c>
    </row>
    <row r="102" spans="5:91" x14ac:dyDescent="0.2">
      <c r="E102">
        <v>1997</v>
      </c>
      <c r="F102">
        <v>7</v>
      </c>
      <c r="G102">
        <v>39.475999999999999</v>
      </c>
      <c r="AE102" s="10" t="s">
        <v>162</v>
      </c>
      <c r="AF102">
        <v>18</v>
      </c>
      <c r="AG102">
        <v>1997</v>
      </c>
      <c r="AH102">
        <v>7</v>
      </c>
      <c r="AI102">
        <v>34.54</v>
      </c>
      <c r="AJ102">
        <v>0</v>
      </c>
      <c r="AK102">
        <v>0</v>
      </c>
      <c r="AT102">
        <v>2007</v>
      </c>
      <c r="AU102">
        <v>6</v>
      </c>
      <c r="AV102">
        <v>113.913</v>
      </c>
      <c r="AW102">
        <f t="shared" si="8"/>
        <v>13.912999999999997</v>
      </c>
      <c r="AX102">
        <v>3</v>
      </c>
      <c r="AY102">
        <v>137</v>
      </c>
      <c r="BG102">
        <v>2007</v>
      </c>
      <c r="BH102">
        <v>6</v>
      </c>
      <c r="BI102">
        <v>58.313000000000002</v>
      </c>
      <c r="BJ102">
        <v>3</v>
      </c>
      <c r="BK102">
        <v>137</v>
      </c>
      <c r="BM102" s="10" t="s">
        <v>162</v>
      </c>
      <c r="BN102" s="10">
        <v>101</v>
      </c>
      <c r="BO102">
        <v>2012</v>
      </c>
      <c r="BP102">
        <v>1</v>
      </c>
      <c r="BQ102">
        <f t="shared" si="9"/>
        <v>-12.494</v>
      </c>
      <c r="BR102">
        <v>48.892000000000003</v>
      </c>
      <c r="BS102">
        <v>87.506</v>
      </c>
      <c r="BU102" s="10" t="s">
        <v>162</v>
      </c>
      <c r="BV102" s="10">
        <v>101</v>
      </c>
      <c r="BW102">
        <v>1995</v>
      </c>
      <c r="BX102">
        <v>6</v>
      </c>
      <c r="BY102">
        <f t="shared" si="10"/>
        <v>10.751999999999995</v>
      </c>
      <c r="BZ102">
        <v>58.335000000000001</v>
      </c>
      <c r="CA102">
        <v>110.752</v>
      </c>
      <c r="CC102">
        <v>2012</v>
      </c>
      <c r="CD102">
        <v>1</v>
      </c>
      <c r="CE102">
        <f t="shared" si="11"/>
        <v>-12.382999999999996</v>
      </c>
      <c r="CF102">
        <v>48.866</v>
      </c>
      <c r="CG102">
        <v>87.617000000000004</v>
      </c>
      <c r="CI102">
        <v>1995</v>
      </c>
      <c r="CJ102">
        <v>6</v>
      </c>
      <c r="CK102">
        <f t="shared" si="12"/>
        <v>10.691999999999993</v>
      </c>
      <c r="CL102">
        <v>58.308</v>
      </c>
      <c r="CM102">
        <v>110.69199999999999</v>
      </c>
    </row>
    <row r="103" spans="5:91" x14ac:dyDescent="0.2">
      <c r="E103">
        <v>1997</v>
      </c>
      <c r="F103">
        <v>8</v>
      </c>
      <c r="G103">
        <v>39.475000000000001</v>
      </c>
      <c r="AE103" s="10" t="s">
        <v>162</v>
      </c>
      <c r="AF103">
        <v>18</v>
      </c>
      <c r="AG103">
        <v>1997</v>
      </c>
      <c r="AH103">
        <v>8</v>
      </c>
      <c r="AI103">
        <v>34.54</v>
      </c>
      <c r="AJ103">
        <v>0</v>
      </c>
      <c r="AK103">
        <v>0</v>
      </c>
      <c r="AT103">
        <v>2007</v>
      </c>
      <c r="AU103">
        <v>7</v>
      </c>
      <c r="AV103">
        <v>112.282</v>
      </c>
      <c r="AW103">
        <f t="shared" si="8"/>
        <v>12.281999999999996</v>
      </c>
      <c r="AX103">
        <v>2</v>
      </c>
      <c r="AY103">
        <v>98</v>
      </c>
      <c r="BG103">
        <v>2007</v>
      </c>
      <c r="BH103">
        <v>7</v>
      </c>
      <c r="BI103">
        <v>57.470999999999997</v>
      </c>
      <c r="BJ103">
        <v>2</v>
      </c>
      <c r="BK103">
        <v>98</v>
      </c>
      <c r="BM103" s="10" t="s">
        <v>162</v>
      </c>
      <c r="BN103" s="10">
        <v>101</v>
      </c>
      <c r="BO103">
        <v>2012</v>
      </c>
      <c r="BP103">
        <v>2</v>
      </c>
      <c r="BQ103">
        <f t="shared" si="9"/>
        <v>-10.363</v>
      </c>
      <c r="BR103">
        <v>50.351999999999997</v>
      </c>
      <c r="BS103">
        <v>89.637</v>
      </c>
      <c r="BU103" s="10" t="s">
        <v>162</v>
      </c>
      <c r="BV103" s="10">
        <v>101</v>
      </c>
      <c r="BW103">
        <v>1995</v>
      </c>
      <c r="BX103">
        <v>7</v>
      </c>
      <c r="BY103">
        <f t="shared" si="10"/>
        <v>9.0589999999999975</v>
      </c>
      <c r="BZ103">
        <v>56.646000000000001</v>
      </c>
      <c r="CA103">
        <v>109.059</v>
      </c>
      <c r="CC103">
        <v>2012</v>
      </c>
      <c r="CD103">
        <v>2</v>
      </c>
      <c r="CE103">
        <f t="shared" si="11"/>
        <v>-10.218000000000004</v>
      </c>
      <c r="CF103">
        <v>50.322000000000003</v>
      </c>
      <c r="CG103">
        <v>89.781999999999996</v>
      </c>
      <c r="CI103">
        <v>1995</v>
      </c>
      <c r="CJ103">
        <v>7</v>
      </c>
      <c r="CK103">
        <f t="shared" si="12"/>
        <v>9</v>
      </c>
      <c r="CL103">
        <v>56.622999999999998</v>
      </c>
      <c r="CM103">
        <v>109</v>
      </c>
    </row>
    <row r="104" spans="5:91" x14ac:dyDescent="0.2">
      <c r="E104">
        <v>1997</v>
      </c>
      <c r="F104">
        <v>9</v>
      </c>
      <c r="G104">
        <v>39.442999999999998</v>
      </c>
      <c r="AE104" s="10" t="s">
        <v>162</v>
      </c>
      <c r="AF104">
        <v>18</v>
      </c>
      <c r="AG104">
        <v>1997</v>
      </c>
      <c r="AH104">
        <v>9</v>
      </c>
      <c r="AI104">
        <v>34.54</v>
      </c>
      <c r="AJ104">
        <v>1</v>
      </c>
      <c r="AK104">
        <v>60</v>
      </c>
      <c r="AT104">
        <v>2007</v>
      </c>
      <c r="AU104">
        <v>8</v>
      </c>
      <c r="AV104">
        <v>112.42700000000001</v>
      </c>
      <c r="AW104">
        <f t="shared" si="8"/>
        <v>12.427000000000007</v>
      </c>
      <c r="AX104">
        <v>0</v>
      </c>
      <c r="AY104">
        <v>0</v>
      </c>
      <c r="BG104">
        <v>2007</v>
      </c>
      <c r="BH104">
        <v>8</v>
      </c>
      <c r="BI104">
        <v>57.584000000000003</v>
      </c>
      <c r="BJ104">
        <v>0</v>
      </c>
      <c r="BK104">
        <v>0</v>
      </c>
      <c r="BM104" s="10" t="s">
        <v>162</v>
      </c>
      <c r="BN104" s="10">
        <v>101</v>
      </c>
      <c r="BO104">
        <v>2012</v>
      </c>
      <c r="BP104">
        <v>3</v>
      </c>
      <c r="BQ104">
        <f t="shared" si="9"/>
        <v>-11.382999999999996</v>
      </c>
      <c r="BR104">
        <v>49.768000000000001</v>
      </c>
      <c r="BS104">
        <v>88.617000000000004</v>
      </c>
      <c r="BU104" s="10" t="s">
        <v>162</v>
      </c>
      <c r="BV104" s="10">
        <v>101</v>
      </c>
      <c r="BW104">
        <v>1995</v>
      </c>
      <c r="BX104">
        <v>8</v>
      </c>
      <c r="BY104">
        <f t="shared" si="10"/>
        <v>8.5879999999999939</v>
      </c>
      <c r="BZ104">
        <v>55.957000000000001</v>
      </c>
      <c r="CA104">
        <v>108.58799999999999</v>
      </c>
      <c r="CC104">
        <v>2012</v>
      </c>
      <c r="CD104">
        <v>3</v>
      </c>
      <c r="CE104">
        <f t="shared" si="11"/>
        <v>-11.268000000000001</v>
      </c>
      <c r="CF104">
        <v>49.74</v>
      </c>
      <c r="CG104">
        <v>88.731999999999999</v>
      </c>
      <c r="CI104">
        <v>1995</v>
      </c>
      <c r="CJ104">
        <v>8</v>
      </c>
      <c r="CK104">
        <f t="shared" si="12"/>
        <v>8.5300000000000011</v>
      </c>
      <c r="CL104">
        <v>55.933999999999997</v>
      </c>
      <c r="CM104">
        <v>108.53</v>
      </c>
    </row>
    <row r="105" spans="5:91" x14ac:dyDescent="0.2">
      <c r="E105">
        <v>1997</v>
      </c>
      <c r="F105">
        <v>10</v>
      </c>
      <c r="G105">
        <v>38.561</v>
      </c>
      <c r="AE105" s="10" t="s">
        <v>162</v>
      </c>
      <c r="AF105">
        <v>18</v>
      </c>
      <c r="AG105">
        <v>1997</v>
      </c>
      <c r="AH105">
        <v>10</v>
      </c>
      <c r="AI105">
        <v>33.78</v>
      </c>
      <c r="AJ105">
        <v>0</v>
      </c>
      <c r="AK105">
        <v>0</v>
      </c>
      <c r="AT105">
        <v>2007</v>
      </c>
      <c r="AU105">
        <v>9</v>
      </c>
      <c r="AV105">
        <v>113.107</v>
      </c>
      <c r="AW105">
        <f t="shared" si="8"/>
        <v>13.106999999999999</v>
      </c>
      <c r="AX105">
        <v>2</v>
      </c>
      <c r="AY105">
        <v>131</v>
      </c>
      <c r="BG105">
        <v>2007</v>
      </c>
      <c r="BH105">
        <v>9</v>
      </c>
      <c r="BI105">
        <v>57.951000000000001</v>
      </c>
      <c r="BJ105">
        <v>2</v>
      </c>
      <c r="BK105">
        <v>131</v>
      </c>
      <c r="BM105" s="10" t="s">
        <v>162</v>
      </c>
      <c r="BN105" s="10">
        <v>101</v>
      </c>
      <c r="BO105">
        <v>2012</v>
      </c>
      <c r="BP105">
        <v>4</v>
      </c>
      <c r="BQ105">
        <f t="shared" si="9"/>
        <v>-9.9200000000000017</v>
      </c>
      <c r="BR105">
        <v>50.585000000000001</v>
      </c>
      <c r="BS105">
        <v>90.08</v>
      </c>
      <c r="BU105" s="10" t="s">
        <v>162</v>
      </c>
      <c r="BV105" s="10">
        <v>101</v>
      </c>
      <c r="BW105">
        <v>1995</v>
      </c>
      <c r="BX105">
        <v>9</v>
      </c>
      <c r="BY105">
        <f t="shared" si="10"/>
        <v>8.4339999999999975</v>
      </c>
      <c r="BZ105">
        <v>55.654000000000003</v>
      </c>
      <c r="CA105">
        <v>108.434</v>
      </c>
      <c r="CC105">
        <v>2012</v>
      </c>
      <c r="CD105">
        <v>4</v>
      </c>
      <c r="CE105">
        <f t="shared" si="11"/>
        <v>-9.820999999999998</v>
      </c>
      <c r="CF105">
        <v>50.56</v>
      </c>
      <c r="CG105">
        <v>90.179000000000002</v>
      </c>
      <c r="CI105">
        <v>1995</v>
      </c>
      <c r="CJ105">
        <v>9</v>
      </c>
      <c r="CK105">
        <f t="shared" si="12"/>
        <v>8.3769999999999953</v>
      </c>
      <c r="CL105">
        <v>55.628999999999998</v>
      </c>
      <c r="CM105">
        <v>108.377</v>
      </c>
    </row>
    <row r="106" spans="5:91" x14ac:dyDescent="0.2">
      <c r="E106">
        <v>1997</v>
      </c>
      <c r="F106">
        <v>11</v>
      </c>
      <c r="G106">
        <v>38.561</v>
      </c>
      <c r="AE106" s="10" t="s">
        <v>162</v>
      </c>
      <c r="AF106">
        <v>18</v>
      </c>
      <c r="AG106">
        <v>1997</v>
      </c>
      <c r="AH106">
        <v>11</v>
      </c>
      <c r="AI106">
        <v>33.664000000000001</v>
      </c>
      <c r="AJ106">
        <v>0</v>
      </c>
      <c r="AK106">
        <v>0</v>
      </c>
      <c r="AT106">
        <v>2007</v>
      </c>
      <c r="AU106">
        <v>10</v>
      </c>
      <c r="AV106">
        <v>112.69799999999999</v>
      </c>
      <c r="AW106">
        <f t="shared" si="8"/>
        <v>12.697999999999993</v>
      </c>
      <c r="AX106">
        <v>1</v>
      </c>
      <c r="AY106">
        <v>92</v>
      </c>
      <c r="BG106">
        <v>2007</v>
      </c>
      <c r="BH106">
        <v>10</v>
      </c>
      <c r="BI106">
        <v>57.622</v>
      </c>
      <c r="BJ106">
        <v>1</v>
      </c>
      <c r="BK106">
        <v>92</v>
      </c>
      <c r="BM106" s="10" t="s">
        <v>162</v>
      </c>
      <c r="BN106" s="10">
        <v>101</v>
      </c>
      <c r="BO106">
        <v>2013</v>
      </c>
      <c r="BP106">
        <v>1</v>
      </c>
      <c r="BQ106">
        <f t="shared" si="9"/>
        <v>-12.733000000000004</v>
      </c>
      <c r="BR106">
        <v>48.624000000000002</v>
      </c>
      <c r="BS106">
        <v>87.266999999999996</v>
      </c>
      <c r="BU106" s="10" t="s">
        <v>162</v>
      </c>
      <c r="BV106" s="10">
        <v>101</v>
      </c>
      <c r="BW106">
        <v>1995</v>
      </c>
      <c r="BX106">
        <v>10</v>
      </c>
      <c r="BY106">
        <f t="shared" si="10"/>
        <v>8.3799999999999955</v>
      </c>
      <c r="BZ106">
        <v>55.515000000000001</v>
      </c>
      <c r="CA106">
        <v>108.38</v>
      </c>
      <c r="CC106">
        <v>2013</v>
      </c>
      <c r="CD106">
        <v>1</v>
      </c>
      <c r="CE106">
        <f t="shared" si="11"/>
        <v>-12.635999999999996</v>
      </c>
      <c r="CF106">
        <v>48.595999999999997</v>
      </c>
      <c r="CG106">
        <v>87.364000000000004</v>
      </c>
      <c r="CI106">
        <v>1995</v>
      </c>
      <c r="CJ106">
        <v>10</v>
      </c>
      <c r="CK106">
        <f t="shared" si="12"/>
        <v>8.3229999999999933</v>
      </c>
      <c r="CL106">
        <v>55.49</v>
      </c>
      <c r="CM106">
        <v>108.32299999999999</v>
      </c>
    </row>
    <row r="107" spans="5:91" x14ac:dyDescent="0.2">
      <c r="E107">
        <v>1997</v>
      </c>
      <c r="F107">
        <v>12</v>
      </c>
      <c r="G107">
        <v>38.561</v>
      </c>
      <c r="AE107" s="10" t="s">
        <v>162</v>
      </c>
      <c r="AF107">
        <v>18</v>
      </c>
      <c r="AG107">
        <v>1997</v>
      </c>
      <c r="AH107">
        <v>12</v>
      </c>
      <c r="AI107">
        <v>33.646000000000001</v>
      </c>
      <c r="AJ107">
        <v>0</v>
      </c>
      <c r="AK107">
        <v>0</v>
      </c>
      <c r="AT107">
        <v>2007</v>
      </c>
      <c r="AU107">
        <v>11</v>
      </c>
      <c r="AV107">
        <v>107.202</v>
      </c>
      <c r="AW107">
        <f t="shared" si="8"/>
        <v>7.2019999999999982</v>
      </c>
      <c r="AX107">
        <v>1</v>
      </c>
      <c r="AY107">
        <v>92</v>
      </c>
      <c r="BG107">
        <v>2007</v>
      </c>
      <c r="BH107">
        <v>11</v>
      </c>
      <c r="BI107">
        <v>54.651000000000003</v>
      </c>
      <c r="BJ107">
        <v>1</v>
      </c>
      <c r="BK107">
        <v>92</v>
      </c>
      <c r="BM107" s="10" t="s">
        <v>162</v>
      </c>
      <c r="BN107" s="10">
        <v>101</v>
      </c>
      <c r="BO107">
        <v>2013</v>
      </c>
      <c r="BP107">
        <v>2</v>
      </c>
      <c r="BQ107">
        <f t="shared" si="9"/>
        <v>-13.775999999999996</v>
      </c>
      <c r="BR107">
        <v>47.859000000000002</v>
      </c>
      <c r="BS107">
        <v>86.224000000000004</v>
      </c>
      <c r="BU107" s="10" t="s">
        <v>162</v>
      </c>
      <c r="BV107" s="10">
        <v>101</v>
      </c>
      <c r="BW107">
        <v>1995</v>
      </c>
      <c r="BX107">
        <v>11</v>
      </c>
      <c r="BY107">
        <f t="shared" si="10"/>
        <v>8.3610000000000042</v>
      </c>
      <c r="BZ107">
        <v>55.45</v>
      </c>
      <c r="CA107">
        <v>108.361</v>
      </c>
      <c r="CC107">
        <v>2013</v>
      </c>
      <c r="CD107">
        <v>2</v>
      </c>
      <c r="CE107">
        <f t="shared" si="11"/>
        <v>-13.668999999999997</v>
      </c>
      <c r="CF107">
        <v>47.837000000000003</v>
      </c>
      <c r="CG107">
        <v>86.331000000000003</v>
      </c>
      <c r="CI107">
        <v>1995</v>
      </c>
      <c r="CJ107">
        <v>11</v>
      </c>
      <c r="CK107">
        <f t="shared" si="12"/>
        <v>8.3029999999999973</v>
      </c>
      <c r="CL107">
        <v>55.423999999999999</v>
      </c>
      <c r="CM107">
        <v>108.303</v>
      </c>
    </row>
    <row r="108" spans="5:91" x14ac:dyDescent="0.2">
      <c r="E108">
        <v>1998</v>
      </c>
      <c r="F108">
        <v>1</v>
      </c>
      <c r="G108">
        <v>38.561</v>
      </c>
      <c r="AE108" s="10" t="s">
        <v>162</v>
      </c>
      <c r="AF108">
        <v>18</v>
      </c>
      <c r="AG108">
        <v>1998</v>
      </c>
      <c r="AH108">
        <v>1</v>
      </c>
      <c r="AI108">
        <v>33.643000000000001</v>
      </c>
      <c r="AJ108">
        <v>0</v>
      </c>
      <c r="AK108">
        <v>0</v>
      </c>
      <c r="AT108">
        <v>2007</v>
      </c>
      <c r="AU108">
        <v>12</v>
      </c>
      <c r="AV108">
        <v>105.872</v>
      </c>
      <c r="AW108">
        <f t="shared" si="8"/>
        <v>5.8719999999999999</v>
      </c>
      <c r="AX108">
        <v>1</v>
      </c>
      <c r="AY108">
        <v>39</v>
      </c>
      <c r="BG108">
        <v>2007</v>
      </c>
      <c r="BH108">
        <v>12</v>
      </c>
      <c r="BI108">
        <v>54.087000000000003</v>
      </c>
      <c r="BJ108">
        <v>1</v>
      </c>
      <c r="BK108">
        <v>39</v>
      </c>
      <c r="BM108" s="10" t="s">
        <v>162</v>
      </c>
      <c r="BN108" s="10">
        <v>101</v>
      </c>
      <c r="BO108">
        <v>2013</v>
      </c>
      <c r="BP108">
        <v>3</v>
      </c>
      <c r="BQ108">
        <f t="shared" si="9"/>
        <v>-16.915000000000006</v>
      </c>
      <c r="BR108">
        <v>45.726999999999997</v>
      </c>
      <c r="BS108">
        <v>83.084999999999994</v>
      </c>
      <c r="BU108" s="10" t="s">
        <v>162</v>
      </c>
      <c r="BV108" s="10">
        <v>101</v>
      </c>
      <c r="BW108">
        <v>1995</v>
      </c>
      <c r="BX108">
        <v>12</v>
      </c>
      <c r="BY108">
        <f t="shared" si="10"/>
        <v>8.3539999999999992</v>
      </c>
      <c r="BZ108">
        <v>55.418999999999997</v>
      </c>
      <c r="CA108">
        <v>108.354</v>
      </c>
      <c r="CC108">
        <v>2013</v>
      </c>
      <c r="CD108">
        <v>3</v>
      </c>
      <c r="CE108">
        <f t="shared" si="11"/>
        <v>-16.813000000000002</v>
      </c>
      <c r="CF108">
        <v>45.701999999999998</v>
      </c>
      <c r="CG108">
        <v>83.186999999999998</v>
      </c>
      <c r="CI108">
        <v>1995</v>
      </c>
      <c r="CJ108">
        <v>12</v>
      </c>
      <c r="CK108">
        <f t="shared" si="12"/>
        <v>8.2960000000000065</v>
      </c>
      <c r="CL108">
        <v>55.392000000000003</v>
      </c>
      <c r="CM108">
        <v>108.29600000000001</v>
      </c>
    </row>
    <row r="109" spans="5:91" x14ac:dyDescent="0.2">
      <c r="E109">
        <v>1998</v>
      </c>
      <c r="F109">
        <v>2</v>
      </c>
      <c r="G109">
        <v>38.558</v>
      </c>
      <c r="AE109" s="10" t="s">
        <v>162</v>
      </c>
      <c r="AF109">
        <v>18</v>
      </c>
      <c r="AG109">
        <v>1998</v>
      </c>
      <c r="AH109">
        <v>2</v>
      </c>
      <c r="AI109">
        <v>33.643000000000001</v>
      </c>
      <c r="AJ109">
        <v>0</v>
      </c>
      <c r="AK109">
        <v>0</v>
      </c>
      <c r="AT109">
        <v>2008</v>
      </c>
      <c r="AU109">
        <v>1</v>
      </c>
      <c r="AV109">
        <v>105.232</v>
      </c>
      <c r="AW109">
        <f t="shared" si="8"/>
        <v>5.2319999999999993</v>
      </c>
      <c r="AX109">
        <v>0</v>
      </c>
      <c r="AY109">
        <v>0</v>
      </c>
      <c r="BG109">
        <v>2008</v>
      </c>
      <c r="BH109">
        <v>1</v>
      </c>
      <c r="BI109">
        <v>53.734999999999999</v>
      </c>
      <c r="BJ109">
        <v>0</v>
      </c>
      <c r="BK109">
        <v>0</v>
      </c>
      <c r="BM109" s="10" t="s">
        <v>162</v>
      </c>
      <c r="BN109" s="10">
        <v>101</v>
      </c>
      <c r="BO109">
        <v>2013</v>
      </c>
      <c r="BP109">
        <v>4</v>
      </c>
      <c r="BQ109">
        <f t="shared" si="9"/>
        <v>-16.745000000000005</v>
      </c>
      <c r="BR109">
        <v>45.951000000000001</v>
      </c>
      <c r="BS109">
        <v>83.254999999999995</v>
      </c>
      <c r="BU109" s="10" t="s">
        <v>162</v>
      </c>
      <c r="BV109" s="10">
        <v>101</v>
      </c>
      <c r="BW109">
        <v>1996</v>
      </c>
      <c r="BX109">
        <v>1</v>
      </c>
      <c r="BY109">
        <f t="shared" si="10"/>
        <v>8.3509999999999991</v>
      </c>
      <c r="BZ109">
        <v>55.404000000000003</v>
      </c>
      <c r="CA109">
        <v>108.351</v>
      </c>
      <c r="CC109">
        <v>2013</v>
      </c>
      <c r="CD109">
        <v>4</v>
      </c>
      <c r="CE109">
        <f t="shared" si="11"/>
        <v>-16.641000000000005</v>
      </c>
      <c r="CF109">
        <v>45.929000000000002</v>
      </c>
      <c r="CG109">
        <v>83.358999999999995</v>
      </c>
      <c r="CI109">
        <v>1996</v>
      </c>
      <c r="CJ109">
        <v>1</v>
      </c>
      <c r="CK109">
        <f t="shared" si="12"/>
        <v>8.2930000000000064</v>
      </c>
      <c r="CL109">
        <v>55.377000000000002</v>
      </c>
      <c r="CM109">
        <v>108.29300000000001</v>
      </c>
    </row>
    <row r="110" spans="5:91" x14ac:dyDescent="0.2">
      <c r="E110">
        <v>1998</v>
      </c>
      <c r="F110">
        <v>3</v>
      </c>
      <c r="G110">
        <v>37.588000000000001</v>
      </c>
      <c r="AE110" s="10" t="s">
        <v>162</v>
      </c>
      <c r="AF110">
        <v>18</v>
      </c>
      <c r="AG110">
        <v>1998</v>
      </c>
      <c r="AH110">
        <v>3</v>
      </c>
      <c r="AI110">
        <v>33.151000000000003</v>
      </c>
      <c r="AJ110">
        <v>1</v>
      </c>
      <c r="AK110">
        <v>60</v>
      </c>
      <c r="AT110">
        <v>2008</v>
      </c>
      <c r="AU110">
        <v>2</v>
      </c>
      <c r="AV110">
        <v>105.18600000000001</v>
      </c>
      <c r="AW110">
        <f t="shared" si="8"/>
        <v>5.186000000000007</v>
      </c>
      <c r="AX110">
        <v>1</v>
      </c>
      <c r="AY110">
        <v>92</v>
      </c>
      <c r="BG110">
        <v>2008</v>
      </c>
      <c r="BH110">
        <v>2</v>
      </c>
      <c r="BI110">
        <v>53.670999999999999</v>
      </c>
      <c r="BJ110">
        <v>1</v>
      </c>
      <c r="BK110">
        <v>92</v>
      </c>
      <c r="BM110" s="10" t="s">
        <v>162</v>
      </c>
      <c r="BN110" s="10">
        <v>101</v>
      </c>
      <c r="BO110">
        <v>2014</v>
      </c>
      <c r="BP110">
        <v>1</v>
      </c>
      <c r="BQ110">
        <f t="shared" si="9"/>
        <v>-18.191000000000003</v>
      </c>
      <c r="BR110">
        <v>44.994</v>
      </c>
      <c r="BS110">
        <v>81.808999999999997</v>
      </c>
      <c r="BU110" s="10" t="s">
        <v>162</v>
      </c>
      <c r="BV110" s="10">
        <v>101</v>
      </c>
      <c r="BW110">
        <v>1996</v>
      </c>
      <c r="BX110">
        <v>2</v>
      </c>
      <c r="BY110">
        <f t="shared" si="10"/>
        <v>8.3499999999999943</v>
      </c>
      <c r="BZ110">
        <v>55.396999999999998</v>
      </c>
      <c r="CA110">
        <v>108.35</v>
      </c>
      <c r="CC110">
        <v>2014</v>
      </c>
      <c r="CD110">
        <v>1</v>
      </c>
      <c r="CE110">
        <f t="shared" si="11"/>
        <v>-18.103999999999999</v>
      </c>
      <c r="CF110">
        <v>44.959000000000003</v>
      </c>
      <c r="CG110">
        <v>81.896000000000001</v>
      </c>
      <c r="CI110">
        <v>1996</v>
      </c>
      <c r="CJ110">
        <v>2</v>
      </c>
      <c r="CK110">
        <f t="shared" si="12"/>
        <v>8.2920000000000016</v>
      </c>
      <c r="CL110">
        <v>55.37</v>
      </c>
      <c r="CM110">
        <v>108.292</v>
      </c>
    </row>
    <row r="111" spans="5:91" x14ac:dyDescent="0.2">
      <c r="E111">
        <v>1998</v>
      </c>
      <c r="F111">
        <v>4</v>
      </c>
      <c r="G111">
        <v>35.143000000000001</v>
      </c>
      <c r="AE111" s="10" t="s">
        <v>162</v>
      </c>
      <c r="AF111">
        <v>18</v>
      </c>
      <c r="AG111">
        <v>1998</v>
      </c>
      <c r="AH111">
        <v>4</v>
      </c>
      <c r="AI111">
        <v>30.879000000000001</v>
      </c>
      <c r="AJ111">
        <v>0</v>
      </c>
      <c r="AK111">
        <v>0</v>
      </c>
      <c r="AT111">
        <v>2008</v>
      </c>
      <c r="AU111">
        <v>3</v>
      </c>
      <c r="AV111">
        <v>104.333</v>
      </c>
      <c r="AW111">
        <f t="shared" si="8"/>
        <v>4.3329999999999984</v>
      </c>
      <c r="AX111">
        <v>1</v>
      </c>
      <c r="AY111">
        <v>39</v>
      </c>
      <c r="BG111">
        <v>2008</v>
      </c>
      <c r="BH111">
        <v>3</v>
      </c>
      <c r="BI111">
        <v>53.296999999999997</v>
      </c>
      <c r="BJ111">
        <v>1</v>
      </c>
      <c r="BK111">
        <v>39</v>
      </c>
      <c r="BM111" s="10" t="s">
        <v>162</v>
      </c>
      <c r="BN111" s="10">
        <v>101</v>
      </c>
      <c r="BO111">
        <v>2014</v>
      </c>
      <c r="BP111">
        <v>2</v>
      </c>
      <c r="BQ111">
        <f t="shared" si="9"/>
        <v>-19.495000000000005</v>
      </c>
      <c r="BR111">
        <v>44.106000000000002</v>
      </c>
      <c r="BS111">
        <v>80.504999999999995</v>
      </c>
      <c r="BU111" s="10" t="s">
        <v>162</v>
      </c>
      <c r="BV111" s="10">
        <v>101</v>
      </c>
      <c r="BW111">
        <v>1996</v>
      </c>
      <c r="BX111">
        <v>3</v>
      </c>
      <c r="BY111">
        <f t="shared" si="10"/>
        <v>7.0220000000000056</v>
      </c>
      <c r="BZ111">
        <v>53.771000000000001</v>
      </c>
      <c r="CA111">
        <v>107.02200000000001</v>
      </c>
      <c r="CC111">
        <v>2014</v>
      </c>
      <c r="CD111">
        <v>2</v>
      </c>
      <c r="CE111">
        <f t="shared" si="11"/>
        <v>-19.400999999999996</v>
      </c>
      <c r="CF111">
        <v>44.076999999999998</v>
      </c>
      <c r="CG111">
        <v>80.599000000000004</v>
      </c>
      <c r="CI111">
        <v>1996</v>
      </c>
      <c r="CJ111">
        <v>3</v>
      </c>
      <c r="CK111">
        <f t="shared" si="12"/>
        <v>6.9669999999999987</v>
      </c>
      <c r="CL111">
        <v>53.747999999999998</v>
      </c>
      <c r="CM111">
        <v>106.967</v>
      </c>
    </row>
    <row r="112" spans="5:91" x14ac:dyDescent="0.2">
      <c r="E112">
        <v>1998</v>
      </c>
      <c r="F112">
        <v>5</v>
      </c>
      <c r="G112">
        <v>35.158000000000001</v>
      </c>
      <c r="AE112" s="10" t="s">
        <v>162</v>
      </c>
      <c r="AF112">
        <v>18</v>
      </c>
      <c r="AG112">
        <v>1998</v>
      </c>
      <c r="AH112">
        <v>5</v>
      </c>
      <c r="AI112">
        <v>30.446000000000002</v>
      </c>
      <c r="AJ112">
        <v>0</v>
      </c>
      <c r="AK112">
        <v>0</v>
      </c>
      <c r="AT112">
        <v>2008</v>
      </c>
      <c r="AU112">
        <v>4</v>
      </c>
      <c r="AV112">
        <v>106.288</v>
      </c>
      <c r="AW112">
        <f t="shared" si="8"/>
        <v>6.2879999999999967</v>
      </c>
      <c r="AX112">
        <v>1</v>
      </c>
      <c r="AY112">
        <v>92</v>
      </c>
      <c r="BG112">
        <v>2008</v>
      </c>
      <c r="BH112">
        <v>4</v>
      </c>
      <c r="BI112">
        <v>54.234999999999999</v>
      </c>
      <c r="BJ112">
        <v>1</v>
      </c>
      <c r="BK112">
        <v>92</v>
      </c>
      <c r="BM112" s="10" t="s">
        <v>162</v>
      </c>
      <c r="BN112" s="10">
        <v>101</v>
      </c>
      <c r="BO112">
        <v>2014</v>
      </c>
      <c r="BP112">
        <v>3</v>
      </c>
      <c r="BQ112">
        <f t="shared" si="9"/>
        <v>-22.191000000000003</v>
      </c>
      <c r="BR112">
        <v>42.372999999999998</v>
      </c>
      <c r="BS112">
        <v>77.808999999999997</v>
      </c>
      <c r="BU112" s="10" t="s">
        <v>162</v>
      </c>
      <c r="BV112" s="10">
        <v>101</v>
      </c>
      <c r="BW112">
        <v>1996</v>
      </c>
      <c r="BX112">
        <v>4</v>
      </c>
      <c r="BY112">
        <f t="shared" si="10"/>
        <v>6.546999999999997</v>
      </c>
      <c r="BZ112">
        <v>53.042999999999999</v>
      </c>
      <c r="CA112">
        <v>106.547</v>
      </c>
      <c r="CC112">
        <v>2014</v>
      </c>
      <c r="CD112">
        <v>3</v>
      </c>
      <c r="CE112">
        <f t="shared" si="11"/>
        <v>-22.096000000000004</v>
      </c>
      <c r="CF112">
        <v>42.347000000000001</v>
      </c>
      <c r="CG112">
        <v>77.903999999999996</v>
      </c>
      <c r="CI112">
        <v>1996</v>
      </c>
      <c r="CJ112">
        <v>4</v>
      </c>
      <c r="CK112">
        <f t="shared" si="12"/>
        <v>6.492999999999995</v>
      </c>
      <c r="CL112">
        <v>53.021000000000001</v>
      </c>
      <c r="CM112">
        <v>106.49299999999999</v>
      </c>
    </row>
    <row r="113" spans="5:91" x14ac:dyDescent="0.2">
      <c r="E113">
        <v>1998</v>
      </c>
      <c r="F113">
        <v>6</v>
      </c>
      <c r="G113">
        <v>33.484999999999999</v>
      </c>
      <c r="AE113" s="10" t="s">
        <v>162</v>
      </c>
      <c r="AF113">
        <v>18</v>
      </c>
      <c r="AG113">
        <v>1998</v>
      </c>
      <c r="AH113">
        <v>6</v>
      </c>
      <c r="AI113">
        <v>29.026</v>
      </c>
      <c r="AJ113">
        <v>1</v>
      </c>
      <c r="AK113">
        <v>60</v>
      </c>
      <c r="AT113">
        <v>2008</v>
      </c>
      <c r="AU113">
        <v>5</v>
      </c>
      <c r="AV113">
        <v>107.71899999999999</v>
      </c>
      <c r="AW113">
        <f t="shared" si="8"/>
        <v>7.7189999999999941</v>
      </c>
      <c r="AX113">
        <v>1</v>
      </c>
      <c r="AY113">
        <v>92</v>
      </c>
      <c r="BG113">
        <v>2008</v>
      </c>
      <c r="BH113">
        <v>5</v>
      </c>
      <c r="BI113">
        <v>55.06</v>
      </c>
      <c r="BJ113">
        <v>1</v>
      </c>
      <c r="BK113">
        <v>92</v>
      </c>
      <c r="BM113" s="10" t="s">
        <v>162</v>
      </c>
      <c r="BN113" s="10">
        <v>101</v>
      </c>
      <c r="BO113">
        <v>2014</v>
      </c>
      <c r="BP113">
        <v>4</v>
      </c>
      <c r="BQ113">
        <f t="shared" si="9"/>
        <v>-24.951999999999998</v>
      </c>
      <c r="BR113">
        <v>40.552</v>
      </c>
      <c r="BS113">
        <v>75.048000000000002</v>
      </c>
      <c r="BU113" s="10" t="s">
        <v>162</v>
      </c>
      <c r="BV113" s="10">
        <v>101</v>
      </c>
      <c r="BW113">
        <v>1996</v>
      </c>
      <c r="BX113">
        <v>5</v>
      </c>
      <c r="BY113">
        <f t="shared" si="10"/>
        <v>6.4129999999999967</v>
      </c>
      <c r="BZ113">
        <v>52.786999999999999</v>
      </c>
      <c r="CA113">
        <v>106.413</v>
      </c>
      <c r="CC113">
        <v>2014</v>
      </c>
      <c r="CD113">
        <v>4</v>
      </c>
      <c r="CE113">
        <f t="shared" si="11"/>
        <v>-24.856999999999999</v>
      </c>
      <c r="CF113">
        <v>40.524999999999999</v>
      </c>
      <c r="CG113">
        <v>75.143000000000001</v>
      </c>
      <c r="CI113">
        <v>1996</v>
      </c>
      <c r="CJ113">
        <v>5</v>
      </c>
      <c r="CK113">
        <f t="shared" si="12"/>
        <v>6.3589999999999947</v>
      </c>
      <c r="CL113">
        <v>52.765000000000001</v>
      </c>
      <c r="CM113">
        <v>106.35899999999999</v>
      </c>
    </row>
    <row r="114" spans="5:91" x14ac:dyDescent="0.2">
      <c r="E114">
        <v>1998</v>
      </c>
      <c r="F114">
        <v>7</v>
      </c>
      <c r="G114">
        <v>52.35</v>
      </c>
      <c r="AE114" s="10" t="s">
        <v>162</v>
      </c>
      <c r="AF114">
        <v>18</v>
      </c>
      <c r="AG114">
        <v>1998</v>
      </c>
      <c r="AH114">
        <v>7</v>
      </c>
      <c r="AI114">
        <v>50.280999999999999</v>
      </c>
      <c r="AJ114">
        <v>0</v>
      </c>
      <c r="AK114">
        <v>0</v>
      </c>
      <c r="AT114">
        <v>2008</v>
      </c>
      <c r="AU114">
        <v>6</v>
      </c>
      <c r="AV114">
        <v>108.32</v>
      </c>
      <c r="AW114">
        <f t="shared" si="8"/>
        <v>8.3199999999999932</v>
      </c>
      <c r="AX114">
        <v>3</v>
      </c>
      <c r="AY114">
        <v>147</v>
      </c>
      <c r="BG114">
        <v>2008</v>
      </c>
      <c r="BH114">
        <v>6</v>
      </c>
      <c r="BI114">
        <v>55.384</v>
      </c>
      <c r="BJ114">
        <v>3</v>
      </c>
      <c r="BK114">
        <v>147</v>
      </c>
      <c r="BM114" s="10" t="s">
        <v>162</v>
      </c>
      <c r="BN114" s="10">
        <v>101</v>
      </c>
      <c r="BO114">
        <v>2015</v>
      </c>
      <c r="BP114">
        <v>1</v>
      </c>
      <c r="BQ114">
        <f t="shared" si="9"/>
        <v>-25.173000000000002</v>
      </c>
      <c r="BR114">
        <v>40.454999999999998</v>
      </c>
      <c r="BS114">
        <v>74.826999999999998</v>
      </c>
      <c r="BU114" s="10" t="s">
        <v>162</v>
      </c>
      <c r="BV114" s="10">
        <v>101</v>
      </c>
      <c r="BW114">
        <v>1996</v>
      </c>
      <c r="BX114">
        <v>6</v>
      </c>
      <c r="BY114">
        <f t="shared" si="10"/>
        <v>6.3700000000000045</v>
      </c>
      <c r="BZ114">
        <v>52.685000000000002</v>
      </c>
      <c r="CA114">
        <v>106.37</v>
      </c>
      <c r="CC114">
        <v>2015</v>
      </c>
      <c r="CD114">
        <v>1</v>
      </c>
      <c r="CE114">
        <f t="shared" si="11"/>
        <v>-25.076999999999998</v>
      </c>
      <c r="CF114">
        <v>40.429000000000002</v>
      </c>
      <c r="CG114">
        <v>74.923000000000002</v>
      </c>
      <c r="CI114">
        <v>1996</v>
      </c>
      <c r="CJ114">
        <v>6</v>
      </c>
      <c r="CK114">
        <f t="shared" si="12"/>
        <v>6.3160000000000025</v>
      </c>
      <c r="CL114">
        <v>52.662999999999997</v>
      </c>
      <c r="CM114">
        <v>106.316</v>
      </c>
    </row>
    <row r="115" spans="5:91" x14ac:dyDescent="0.2">
      <c r="E115">
        <v>1998</v>
      </c>
      <c r="F115">
        <v>8</v>
      </c>
      <c r="G115">
        <v>52.323999999999998</v>
      </c>
      <c r="AE115" s="10" t="s">
        <v>162</v>
      </c>
      <c r="AF115">
        <v>18</v>
      </c>
      <c r="AG115">
        <v>1998</v>
      </c>
      <c r="AH115">
        <v>8</v>
      </c>
      <c r="AI115">
        <v>53.302999999999997</v>
      </c>
      <c r="AJ115">
        <v>0</v>
      </c>
      <c r="AK115">
        <v>0</v>
      </c>
      <c r="AT115">
        <v>2008</v>
      </c>
      <c r="AU115">
        <v>7</v>
      </c>
      <c r="AV115">
        <v>110.152</v>
      </c>
      <c r="AW115">
        <f t="shared" si="8"/>
        <v>10.152000000000001</v>
      </c>
      <c r="AX115">
        <v>2</v>
      </c>
      <c r="AY115">
        <v>108</v>
      </c>
      <c r="BG115">
        <v>2008</v>
      </c>
      <c r="BH115">
        <v>7</v>
      </c>
      <c r="BI115">
        <v>56.154000000000003</v>
      </c>
      <c r="BJ115">
        <v>2</v>
      </c>
      <c r="BK115">
        <v>108</v>
      </c>
      <c r="BM115" s="10" t="s">
        <v>162</v>
      </c>
      <c r="BN115" s="10">
        <v>101</v>
      </c>
      <c r="BO115">
        <v>2015</v>
      </c>
      <c r="BP115">
        <v>2</v>
      </c>
      <c r="BQ115">
        <f t="shared" si="9"/>
        <v>-26.831999999999994</v>
      </c>
      <c r="BR115">
        <v>39.384999999999998</v>
      </c>
      <c r="BS115">
        <v>73.168000000000006</v>
      </c>
      <c r="BU115" s="10" t="s">
        <v>162</v>
      </c>
      <c r="BV115" s="10">
        <v>101</v>
      </c>
      <c r="BW115">
        <v>1996</v>
      </c>
      <c r="BX115">
        <v>7</v>
      </c>
      <c r="BY115">
        <f t="shared" si="10"/>
        <v>6.3539999999999992</v>
      </c>
      <c r="BZ115">
        <v>52.642000000000003</v>
      </c>
      <c r="CA115">
        <v>106.354</v>
      </c>
      <c r="CC115">
        <v>2015</v>
      </c>
      <c r="CD115">
        <v>2</v>
      </c>
      <c r="CE115">
        <f t="shared" si="11"/>
        <v>-26.736000000000004</v>
      </c>
      <c r="CF115">
        <v>39.359000000000002</v>
      </c>
      <c r="CG115">
        <v>73.263999999999996</v>
      </c>
      <c r="CI115">
        <v>1996</v>
      </c>
      <c r="CJ115">
        <v>7</v>
      </c>
      <c r="CK115">
        <f t="shared" si="12"/>
        <v>6.2999999999999972</v>
      </c>
      <c r="CL115">
        <v>52.62</v>
      </c>
      <c r="CM115">
        <v>106.3</v>
      </c>
    </row>
    <row r="116" spans="5:91" x14ac:dyDescent="0.2">
      <c r="E116">
        <v>1998</v>
      </c>
      <c r="F116">
        <v>9</v>
      </c>
      <c r="G116">
        <v>52.320999999999998</v>
      </c>
      <c r="AE116" s="10" t="s">
        <v>162</v>
      </c>
      <c r="AF116">
        <v>18</v>
      </c>
      <c r="AG116">
        <v>1998</v>
      </c>
      <c r="AH116">
        <v>9</v>
      </c>
      <c r="AI116">
        <v>53.648000000000003</v>
      </c>
      <c r="AJ116">
        <v>0</v>
      </c>
      <c r="AK116">
        <v>0</v>
      </c>
      <c r="AT116">
        <v>2008</v>
      </c>
      <c r="AU116">
        <v>8</v>
      </c>
      <c r="AV116">
        <v>109.254</v>
      </c>
      <c r="AW116">
        <f t="shared" si="8"/>
        <v>9.2540000000000049</v>
      </c>
      <c r="AX116">
        <v>1</v>
      </c>
      <c r="AY116">
        <v>92</v>
      </c>
      <c r="BG116">
        <v>2008</v>
      </c>
      <c r="BH116">
        <v>8</v>
      </c>
      <c r="BI116">
        <v>55.682000000000002</v>
      </c>
      <c r="BJ116">
        <v>1</v>
      </c>
      <c r="BK116">
        <v>92</v>
      </c>
      <c r="BM116" s="10" t="s">
        <v>162</v>
      </c>
      <c r="BN116" s="10">
        <v>101</v>
      </c>
      <c r="BO116">
        <v>2015</v>
      </c>
      <c r="BP116">
        <v>3</v>
      </c>
      <c r="BQ116">
        <f t="shared" si="9"/>
        <v>-26.275999999999996</v>
      </c>
      <c r="BR116">
        <v>39.767000000000003</v>
      </c>
      <c r="BS116">
        <v>73.724000000000004</v>
      </c>
      <c r="BU116" s="10" t="s">
        <v>162</v>
      </c>
      <c r="BV116" s="10">
        <v>101</v>
      </c>
      <c r="BW116">
        <v>1996</v>
      </c>
      <c r="BX116">
        <v>8</v>
      </c>
      <c r="BY116">
        <f t="shared" si="10"/>
        <v>5.9419999999999931</v>
      </c>
      <c r="BZ116">
        <v>52.116</v>
      </c>
      <c r="CA116">
        <v>105.94199999999999</v>
      </c>
      <c r="CC116">
        <v>2015</v>
      </c>
      <c r="CD116">
        <v>3</v>
      </c>
      <c r="CE116">
        <f t="shared" si="11"/>
        <v>-26.182000000000002</v>
      </c>
      <c r="CF116">
        <v>39.74</v>
      </c>
      <c r="CG116">
        <v>73.817999999999998</v>
      </c>
      <c r="CI116">
        <v>1996</v>
      </c>
      <c r="CJ116">
        <v>8</v>
      </c>
      <c r="CK116">
        <f t="shared" si="12"/>
        <v>5.8889999999999958</v>
      </c>
      <c r="CL116">
        <v>52.094999999999999</v>
      </c>
      <c r="CM116">
        <v>105.889</v>
      </c>
    </row>
    <row r="117" spans="5:91" x14ac:dyDescent="0.2">
      <c r="E117">
        <v>1998</v>
      </c>
      <c r="F117">
        <v>10</v>
      </c>
      <c r="G117">
        <v>52.320999999999998</v>
      </c>
      <c r="AE117" s="10" t="s">
        <v>162</v>
      </c>
      <c r="AF117">
        <v>18</v>
      </c>
      <c r="AG117">
        <v>1998</v>
      </c>
      <c r="AH117">
        <v>10</v>
      </c>
      <c r="AI117">
        <v>53.640999999999998</v>
      </c>
      <c r="AJ117">
        <v>0</v>
      </c>
      <c r="AK117">
        <v>0</v>
      </c>
      <c r="AT117">
        <v>2008</v>
      </c>
      <c r="AU117">
        <v>9</v>
      </c>
      <c r="AV117">
        <v>108.325</v>
      </c>
      <c r="AW117">
        <f t="shared" si="8"/>
        <v>8.3250000000000028</v>
      </c>
      <c r="AX117">
        <v>4</v>
      </c>
      <c r="AY117">
        <v>148</v>
      </c>
      <c r="BG117">
        <v>2008</v>
      </c>
      <c r="BH117">
        <v>9</v>
      </c>
      <c r="BI117">
        <v>55.305</v>
      </c>
      <c r="BJ117">
        <v>4</v>
      </c>
      <c r="BK117">
        <v>148</v>
      </c>
      <c r="BM117" s="10" t="s">
        <v>162</v>
      </c>
      <c r="BN117" s="10">
        <v>101</v>
      </c>
      <c r="BO117">
        <v>2015</v>
      </c>
      <c r="BP117">
        <v>4</v>
      </c>
      <c r="BQ117">
        <f t="shared" si="9"/>
        <v>-28.286000000000001</v>
      </c>
      <c r="BR117">
        <v>38.392000000000003</v>
      </c>
      <c r="BS117">
        <v>71.713999999999999</v>
      </c>
      <c r="BU117" s="10" t="s">
        <v>162</v>
      </c>
      <c r="BV117" s="10">
        <v>101</v>
      </c>
      <c r="BW117">
        <v>1996</v>
      </c>
      <c r="BX117">
        <v>9</v>
      </c>
      <c r="BY117">
        <f t="shared" si="10"/>
        <v>8.2219999999999942</v>
      </c>
      <c r="BZ117">
        <v>53.378999999999998</v>
      </c>
      <c r="CA117">
        <v>108.22199999999999</v>
      </c>
      <c r="CC117">
        <v>2015</v>
      </c>
      <c r="CD117">
        <v>4</v>
      </c>
      <c r="CE117">
        <f t="shared" si="11"/>
        <v>-28.191999999999993</v>
      </c>
      <c r="CF117">
        <v>38.366</v>
      </c>
      <c r="CG117">
        <v>71.808000000000007</v>
      </c>
      <c r="CI117">
        <v>1996</v>
      </c>
      <c r="CJ117">
        <v>9</v>
      </c>
      <c r="CK117">
        <f t="shared" si="12"/>
        <v>8.1650000000000063</v>
      </c>
      <c r="CL117">
        <v>53.351999999999997</v>
      </c>
      <c r="CM117">
        <v>108.16500000000001</v>
      </c>
    </row>
    <row r="118" spans="5:91" x14ac:dyDescent="0.2">
      <c r="E118">
        <v>1998</v>
      </c>
      <c r="F118">
        <v>11</v>
      </c>
      <c r="G118">
        <v>52.320999999999998</v>
      </c>
      <c r="AE118" s="10" t="s">
        <v>162</v>
      </c>
      <c r="AF118">
        <v>18</v>
      </c>
      <c r="AG118">
        <v>1998</v>
      </c>
      <c r="AH118">
        <v>11</v>
      </c>
      <c r="AI118">
        <v>53.61</v>
      </c>
      <c r="AJ118">
        <v>0</v>
      </c>
      <c r="AK118">
        <v>0</v>
      </c>
      <c r="AT118">
        <v>2008</v>
      </c>
      <c r="AU118">
        <v>10</v>
      </c>
      <c r="AV118">
        <v>110.444</v>
      </c>
      <c r="AW118">
        <f t="shared" si="8"/>
        <v>10.444000000000003</v>
      </c>
      <c r="AX118">
        <v>2</v>
      </c>
      <c r="AY118">
        <v>22</v>
      </c>
      <c r="BG118">
        <v>2008</v>
      </c>
      <c r="BH118">
        <v>10</v>
      </c>
      <c r="BI118">
        <v>58.676000000000002</v>
      </c>
      <c r="BJ118">
        <v>2</v>
      </c>
      <c r="BK118">
        <v>22</v>
      </c>
      <c r="BM118" s="10" t="s">
        <v>162</v>
      </c>
      <c r="BN118" s="10">
        <v>101</v>
      </c>
      <c r="BO118">
        <v>2016</v>
      </c>
      <c r="BP118">
        <v>1</v>
      </c>
      <c r="BQ118">
        <f t="shared" si="9"/>
        <v>-30.325999999999993</v>
      </c>
      <c r="BR118">
        <v>37.289000000000001</v>
      </c>
      <c r="BS118">
        <v>69.674000000000007</v>
      </c>
      <c r="BU118" s="10" t="s">
        <v>162</v>
      </c>
      <c r="BV118" s="10">
        <v>101</v>
      </c>
      <c r="BW118">
        <v>1996</v>
      </c>
      <c r="BX118">
        <v>10</v>
      </c>
      <c r="BY118">
        <f t="shared" si="10"/>
        <v>9.0769999999999982</v>
      </c>
      <c r="BZ118">
        <v>54.014000000000003</v>
      </c>
      <c r="CA118">
        <v>109.077</v>
      </c>
      <c r="CC118">
        <v>2016</v>
      </c>
      <c r="CD118">
        <v>1</v>
      </c>
      <c r="CE118">
        <f t="shared" si="11"/>
        <v>-30.230000000000004</v>
      </c>
      <c r="CF118">
        <v>37.265000000000001</v>
      </c>
      <c r="CG118">
        <v>69.77</v>
      </c>
      <c r="CI118">
        <v>1996</v>
      </c>
      <c r="CJ118">
        <v>10</v>
      </c>
      <c r="CK118">
        <f t="shared" si="12"/>
        <v>9.0190000000000055</v>
      </c>
      <c r="CL118">
        <v>53.985999999999997</v>
      </c>
      <c r="CM118">
        <v>109.01900000000001</v>
      </c>
    </row>
    <row r="119" spans="5:91" x14ac:dyDescent="0.2">
      <c r="E119">
        <v>1998</v>
      </c>
      <c r="F119">
        <v>12</v>
      </c>
      <c r="G119">
        <v>52.320999999999998</v>
      </c>
      <c r="AE119" s="10" t="s">
        <v>162</v>
      </c>
      <c r="AF119">
        <v>18</v>
      </c>
      <c r="AG119">
        <v>1998</v>
      </c>
      <c r="AH119">
        <v>12</v>
      </c>
      <c r="AI119">
        <v>53.591000000000001</v>
      </c>
      <c r="AJ119">
        <v>0</v>
      </c>
      <c r="AK119">
        <v>0</v>
      </c>
      <c r="AT119">
        <v>2008</v>
      </c>
      <c r="AU119">
        <v>11</v>
      </c>
      <c r="AV119">
        <v>109.861</v>
      </c>
      <c r="AW119">
        <f t="shared" si="8"/>
        <v>9.8610000000000042</v>
      </c>
      <c r="AX119">
        <v>1</v>
      </c>
      <c r="AY119">
        <v>92</v>
      </c>
      <c r="BG119">
        <v>2008</v>
      </c>
      <c r="BH119">
        <v>11</v>
      </c>
      <c r="BI119">
        <v>56.929000000000002</v>
      </c>
      <c r="BJ119">
        <v>1</v>
      </c>
      <c r="BK119">
        <v>92</v>
      </c>
      <c r="BU119" s="10" t="s">
        <v>162</v>
      </c>
      <c r="BV119" s="10">
        <v>101</v>
      </c>
      <c r="BW119">
        <v>1996</v>
      </c>
      <c r="BX119">
        <v>11</v>
      </c>
      <c r="BY119">
        <f t="shared" si="10"/>
        <v>9.394999999999996</v>
      </c>
      <c r="BZ119">
        <v>54.325000000000003</v>
      </c>
      <c r="CA119">
        <v>109.395</v>
      </c>
      <c r="CI119">
        <v>1996</v>
      </c>
      <c r="CJ119">
        <v>11</v>
      </c>
      <c r="CK119">
        <f t="shared" si="12"/>
        <v>9.3359999999999985</v>
      </c>
      <c r="CL119">
        <v>54.296999999999997</v>
      </c>
      <c r="CM119">
        <v>109.336</v>
      </c>
    </row>
    <row r="120" spans="5:91" x14ac:dyDescent="0.2">
      <c r="E120">
        <v>1999</v>
      </c>
      <c r="F120">
        <v>1</v>
      </c>
      <c r="G120">
        <v>52.320999999999998</v>
      </c>
      <c r="AE120" s="10" t="s">
        <v>162</v>
      </c>
      <c r="AF120">
        <v>18</v>
      </c>
      <c r="AG120">
        <v>1999</v>
      </c>
      <c r="AH120">
        <v>1</v>
      </c>
      <c r="AI120">
        <v>53.58</v>
      </c>
      <c r="AJ120">
        <v>0</v>
      </c>
      <c r="AK120">
        <v>0</v>
      </c>
      <c r="AT120">
        <v>2008</v>
      </c>
      <c r="AU120">
        <v>12</v>
      </c>
      <c r="AV120">
        <v>109.54300000000001</v>
      </c>
      <c r="AW120">
        <f t="shared" si="8"/>
        <v>9.5430000000000064</v>
      </c>
      <c r="AX120">
        <v>3</v>
      </c>
      <c r="AY120">
        <v>147</v>
      </c>
      <c r="BG120">
        <v>2008</v>
      </c>
      <c r="BH120">
        <v>12</v>
      </c>
      <c r="BI120">
        <v>56.262999999999998</v>
      </c>
      <c r="BJ120">
        <v>3</v>
      </c>
      <c r="BK120">
        <v>147</v>
      </c>
      <c r="BU120" s="10" t="s">
        <v>162</v>
      </c>
      <c r="BV120" s="10">
        <v>101</v>
      </c>
      <c r="BW120">
        <v>1996</v>
      </c>
      <c r="BX120">
        <v>12</v>
      </c>
      <c r="BY120">
        <f t="shared" si="10"/>
        <v>9.5130000000000052</v>
      </c>
      <c r="BZ120">
        <v>54.475000000000001</v>
      </c>
      <c r="CA120">
        <v>109.51300000000001</v>
      </c>
      <c r="CI120">
        <v>1996</v>
      </c>
      <c r="CJ120">
        <v>12</v>
      </c>
      <c r="CK120">
        <f t="shared" si="12"/>
        <v>9.4539999999999935</v>
      </c>
      <c r="CL120">
        <v>54.448999999999998</v>
      </c>
      <c r="CM120">
        <v>109.45399999999999</v>
      </c>
    </row>
    <row r="121" spans="5:91" x14ac:dyDescent="0.2">
      <c r="E121">
        <v>1999</v>
      </c>
      <c r="F121">
        <v>2</v>
      </c>
      <c r="G121" s="7">
        <v>52.319000000000003</v>
      </c>
      <c r="AE121" s="10" t="s">
        <v>162</v>
      </c>
      <c r="AF121">
        <v>18</v>
      </c>
      <c r="AG121">
        <v>1999</v>
      </c>
      <c r="AH121">
        <v>2</v>
      </c>
      <c r="AI121">
        <v>53.575000000000003</v>
      </c>
      <c r="AJ121">
        <v>1</v>
      </c>
      <c r="AK121">
        <v>92</v>
      </c>
      <c r="AT121">
        <v>2009</v>
      </c>
      <c r="AU121">
        <v>1</v>
      </c>
      <c r="AV121">
        <v>105.11</v>
      </c>
      <c r="AW121">
        <f t="shared" si="8"/>
        <v>5.1099999999999994</v>
      </c>
      <c r="AX121">
        <v>2</v>
      </c>
      <c r="AY121">
        <v>108</v>
      </c>
      <c r="BG121">
        <v>2009</v>
      </c>
      <c r="BH121">
        <v>1</v>
      </c>
      <c r="BI121">
        <v>53.7</v>
      </c>
      <c r="BJ121">
        <v>2</v>
      </c>
      <c r="BK121">
        <v>108</v>
      </c>
      <c r="BU121" s="10" t="s">
        <v>162</v>
      </c>
      <c r="BV121" s="10">
        <v>101</v>
      </c>
      <c r="BW121">
        <v>1997</v>
      </c>
      <c r="BX121">
        <v>1</v>
      </c>
      <c r="BY121">
        <f t="shared" si="10"/>
        <v>9.5559999999999974</v>
      </c>
      <c r="BZ121">
        <v>54.548000000000002</v>
      </c>
      <c r="CA121">
        <v>109.556</v>
      </c>
      <c r="CI121">
        <v>1997</v>
      </c>
      <c r="CJ121">
        <v>1</v>
      </c>
      <c r="CK121">
        <f t="shared" si="12"/>
        <v>9.4969999999999999</v>
      </c>
      <c r="CL121">
        <v>54.521999999999998</v>
      </c>
      <c r="CM121">
        <v>109.497</v>
      </c>
    </row>
    <row r="122" spans="5:91" x14ac:dyDescent="0.2">
      <c r="E122">
        <v>1999</v>
      </c>
      <c r="F122">
        <v>3</v>
      </c>
      <c r="G122">
        <v>71.459999999999994</v>
      </c>
      <c r="AE122" s="10" t="s">
        <v>162</v>
      </c>
      <c r="AF122">
        <v>18</v>
      </c>
      <c r="AG122">
        <v>1999</v>
      </c>
      <c r="AH122">
        <v>3</v>
      </c>
      <c r="AI122">
        <v>60.652000000000001</v>
      </c>
      <c r="AJ122">
        <v>2</v>
      </c>
      <c r="AK122">
        <v>100</v>
      </c>
      <c r="AT122">
        <v>2009</v>
      </c>
      <c r="AU122">
        <v>2</v>
      </c>
      <c r="AV122">
        <v>107.274</v>
      </c>
      <c r="AW122">
        <f t="shared" si="8"/>
        <v>7.2740000000000009</v>
      </c>
      <c r="AX122">
        <v>2</v>
      </c>
      <c r="AY122">
        <v>93</v>
      </c>
      <c r="BG122">
        <v>2009</v>
      </c>
      <c r="BH122">
        <v>2</v>
      </c>
      <c r="BI122">
        <v>54.764000000000003</v>
      </c>
      <c r="BJ122">
        <v>2</v>
      </c>
      <c r="BK122">
        <v>93</v>
      </c>
      <c r="BU122" s="10" t="s">
        <v>162</v>
      </c>
      <c r="BV122" s="10">
        <v>101</v>
      </c>
      <c r="BW122">
        <v>1997</v>
      </c>
      <c r="BX122">
        <v>2</v>
      </c>
      <c r="BY122">
        <f t="shared" si="10"/>
        <v>12.763999999999996</v>
      </c>
      <c r="BZ122">
        <v>56.570999999999998</v>
      </c>
      <c r="CA122">
        <v>112.764</v>
      </c>
      <c r="CI122">
        <v>1997</v>
      </c>
      <c r="CJ122">
        <v>2</v>
      </c>
      <c r="CK122">
        <f t="shared" si="12"/>
        <v>12.697999999999993</v>
      </c>
      <c r="CL122">
        <v>56.54</v>
      </c>
      <c r="CM122">
        <v>112.69799999999999</v>
      </c>
    </row>
    <row r="123" spans="5:91" x14ac:dyDescent="0.2">
      <c r="E123">
        <v>1999</v>
      </c>
      <c r="F123">
        <v>4</v>
      </c>
      <c r="G123">
        <v>72.302999999999997</v>
      </c>
      <c r="AE123" s="10" t="s">
        <v>162</v>
      </c>
      <c r="AF123">
        <v>18</v>
      </c>
      <c r="AG123">
        <v>1999</v>
      </c>
      <c r="AH123">
        <v>4</v>
      </c>
      <c r="AI123">
        <v>63.935000000000002</v>
      </c>
      <c r="AJ123">
        <v>0</v>
      </c>
      <c r="AK123">
        <v>0</v>
      </c>
      <c r="AT123">
        <v>2009</v>
      </c>
      <c r="AU123">
        <v>3</v>
      </c>
      <c r="AV123">
        <v>110.16</v>
      </c>
      <c r="AW123">
        <f t="shared" si="8"/>
        <v>10.159999999999997</v>
      </c>
      <c r="AX123">
        <v>2</v>
      </c>
      <c r="AY123">
        <v>131</v>
      </c>
      <c r="BG123">
        <v>2009</v>
      </c>
      <c r="BH123">
        <v>3</v>
      </c>
      <c r="BI123">
        <v>56.481999999999999</v>
      </c>
      <c r="BJ123">
        <v>2</v>
      </c>
      <c r="BK123">
        <v>131</v>
      </c>
      <c r="BU123" s="10" t="s">
        <v>162</v>
      </c>
      <c r="BV123" s="10">
        <v>101</v>
      </c>
      <c r="BW123">
        <v>1997</v>
      </c>
      <c r="BX123">
        <v>3</v>
      </c>
      <c r="BY123">
        <f t="shared" si="10"/>
        <v>12.102999999999994</v>
      </c>
      <c r="BZ123">
        <v>56.847999999999999</v>
      </c>
      <c r="CA123">
        <v>112.10299999999999</v>
      </c>
      <c r="CI123">
        <v>1997</v>
      </c>
      <c r="CJ123">
        <v>3</v>
      </c>
      <c r="CK123">
        <f t="shared" si="12"/>
        <v>12.037999999999997</v>
      </c>
      <c r="CL123">
        <v>56.819000000000003</v>
      </c>
      <c r="CM123">
        <v>112.038</v>
      </c>
    </row>
    <row r="124" spans="5:91" x14ac:dyDescent="0.2">
      <c r="E124">
        <v>1999</v>
      </c>
      <c r="F124">
        <v>5</v>
      </c>
      <c r="G124">
        <v>72.516000000000005</v>
      </c>
      <c r="AE124" s="10" t="s">
        <v>162</v>
      </c>
      <c r="AF124">
        <v>18</v>
      </c>
      <c r="AG124">
        <v>1999</v>
      </c>
      <c r="AH124">
        <v>5</v>
      </c>
      <c r="AI124">
        <v>66.284000000000006</v>
      </c>
      <c r="AJ124">
        <v>0</v>
      </c>
      <c r="AK124">
        <v>0</v>
      </c>
      <c r="AT124">
        <v>2009</v>
      </c>
      <c r="AU124">
        <v>4</v>
      </c>
      <c r="AV124">
        <v>108.06100000000001</v>
      </c>
      <c r="AW124">
        <f t="shared" si="8"/>
        <v>8.061000000000007</v>
      </c>
      <c r="AX124">
        <v>1</v>
      </c>
      <c r="AY124">
        <v>92</v>
      </c>
      <c r="BG124">
        <v>2009</v>
      </c>
      <c r="BH124">
        <v>4</v>
      </c>
      <c r="BI124">
        <v>55.195999999999998</v>
      </c>
      <c r="BJ124">
        <v>1</v>
      </c>
      <c r="BK124">
        <v>92</v>
      </c>
      <c r="BU124" s="10" t="s">
        <v>162</v>
      </c>
      <c r="BV124" s="10">
        <v>101</v>
      </c>
      <c r="BW124">
        <v>1997</v>
      </c>
      <c r="BX124">
        <v>4</v>
      </c>
      <c r="BY124">
        <f t="shared" si="10"/>
        <v>11.757999999999996</v>
      </c>
      <c r="BZ124">
        <v>56.866999999999997</v>
      </c>
      <c r="CA124">
        <v>111.758</v>
      </c>
      <c r="CI124">
        <v>1997</v>
      </c>
      <c r="CJ124">
        <v>4</v>
      </c>
      <c r="CK124">
        <f t="shared" si="12"/>
        <v>11.694000000000003</v>
      </c>
      <c r="CL124">
        <v>56.838000000000001</v>
      </c>
      <c r="CM124">
        <v>111.694</v>
      </c>
    </row>
    <row r="125" spans="5:91" x14ac:dyDescent="0.2">
      <c r="E125">
        <v>1999</v>
      </c>
      <c r="F125">
        <v>6</v>
      </c>
      <c r="G125">
        <v>71.400999999999996</v>
      </c>
      <c r="AE125" s="10" t="s">
        <v>162</v>
      </c>
      <c r="AF125">
        <v>18</v>
      </c>
      <c r="AG125">
        <v>1999</v>
      </c>
      <c r="AH125">
        <v>6</v>
      </c>
      <c r="AI125">
        <v>66.903000000000006</v>
      </c>
      <c r="AJ125">
        <v>2</v>
      </c>
      <c r="AK125">
        <v>100</v>
      </c>
      <c r="AT125">
        <v>2009</v>
      </c>
      <c r="AU125">
        <v>5</v>
      </c>
      <c r="AV125">
        <v>106.22</v>
      </c>
      <c r="AW125">
        <f t="shared" si="8"/>
        <v>6.2199999999999989</v>
      </c>
      <c r="AX125">
        <v>1</v>
      </c>
      <c r="AY125">
        <v>92</v>
      </c>
      <c r="BG125">
        <v>2009</v>
      </c>
      <c r="BH125">
        <v>5</v>
      </c>
      <c r="BI125">
        <v>54.164000000000001</v>
      </c>
      <c r="BJ125">
        <v>1</v>
      </c>
      <c r="BK125">
        <v>92</v>
      </c>
      <c r="BU125" s="10" t="s">
        <v>162</v>
      </c>
      <c r="BV125" s="10">
        <v>101</v>
      </c>
      <c r="BW125">
        <v>1997</v>
      </c>
      <c r="BX125">
        <v>5</v>
      </c>
      <c r="BY125">
        <f t="shared" si="10"/>
        <v>11.617000000000004</v>
      </c>
      <c r="BZ125">
        <v>56.85</v>
      </c>
      <c r="CA125">
        <v>111.617</v>
      </c>
      <c r="CI125">
        <v>1997</v>
      </c>
      <c r="CJ125">
        <v>5</v>
      </c>
      <c r="CK125">
        <f t="shared" si="12"/>
        <v>11.554000000000002</v>
      </c>
      <c r="CL125">
        <v>56.820999999999998</v>
      </c>
      <c r="CM125">
        <v>111.554</v>
      </c>
    </row>
    <row r="126" spans="5:91" x14ac:dyDescent="0.2">
      <c r="E126">
        <v>1999</v>
      </c>
      <c r="F126">
        <v>7</v>
      </c>
      <c r="G126">
        <v>72.454999999999998</v>
      </c>
      <c r="AE126" s="10" t="s">
        <v>162</v>
      </c>
      <c r="AF126">
        <v>18</v>
      </c>
      <c r="AG126">
        <v>1999</v>
      </c>
      <c r="AH126">
        <v>7</v>
      </c>
      <c r="AI126">
        <v>66.695999999999998</v>
      </c>
      <c r="AJ126">
        <v>0</v>
      </c>
      <c r="AK126">
        <v>0</v>
      </c>
      <c r="AT126">
        <v>2009</v>
      </c>
      <c r="AU126">
        <v>6</v>
      </c>
      <c r="AV126">
        <v>105.232</v>
      </c>
      <c r="AW126">
        <f t="shared" si="8"/>
        <v>5.2319999999999993</v>
      </c>
      <c r="AX126">
        <v>2</v>
      </c>
      <c r="AY126">
        <v>131</v>
      </c>
      <c r="BG126">
        <v>2009</v>
      </c>
      <c r="BH126">
        <v>6</v>
      </c>
      <c r="BI126">
        <v>53.658000000000001</v>
      </c>
      <c r="BJ126">
        <v>2</v>
      </c>
      <c r="BK126">
        <v>131</v>
      </c>
      <c r="BU126" s="10" t="s">
        <v>162</v>
      </c>
      <c r="BV126" s="10">
        <v>101</v>
      </c>
      <c r="BW126">
        <v>1997</v>
      </c>
      <c r="BX126">
        <v>6</v>
      </c>
      <c r="BY126">
        <f t="shared" si="10"/>
        <v>11.563000000000002</v>
      </c>
      <c r="BZ126">
        <v>56.835999999999999</v>
      </c>
      <c r="CA126">
        <v>111.563</v>
      </c>
      <c r="CI126">
        <v>1997</v>
      </c>
      <c r="CJ126">
        <v>6</v>
      </c>
      <c r="CK126">
        <f t="shared" si="12"/>
        <v>11.5</v>
      </c>
      <c r="CL126">
        <v>56.807000000000002</v>
      </c>
      <c r="CM126">
        <v>111.5</v>
      </c>
    </row>
    <row r="127" spans="5:91" x14ac:dyDescent="0.2">
      <c r="E127">
        <v>1999</v>
      </c>
      <c r="F127">
        <v>8</v>
      </c>
      <c r="G127">
        <v>72.44</v>
      </c>
      <c r="AE127" s="10" t="s">
        <v>162</v>
      </c>
      <c r="AF127">
        <v>18</v>
      </c>
      <c r="AG127">
        <v>1999</v>
      </c>
      <c r="AH127">
        <v>8</v>
      </c>
      <c r="AI127">
        <v>66.78</v>
      </c>
      <c r="AJ127">
        <v>0</v>
      </c>
      <c r="AK127">
        <v>0</v>
      </c>
      <c r="AT127">
        <v>2009</v>
      </c>
      <c r="AU127">
        <v>7</v>
      </c>
      <c r="AV127">
        <v>107.001</v>
      </c>
      <c r="AW127">
        <f t="shared" si="8"/>
        <v>7.0010000000000048</v>
      </c>
      <c r="AX127">
        <v>1</v>
      </c>
      <c r="AY127">
        <v>92</v>
      </c>
      <c r="BG127">
        <v>2009</v>
      </c>
      <c r="BH127">
        <v>7</v>
      </c>
      <c r="BI127">
        <v>54.539000000000001</v>
      </c>
      <c r="BJ127">
        <v>1</v>
      </c>
      <c r="BK127">
        <v>92</v>
      </c>
      <c r="BU127" s="10" t="s">
        <v>162</v>
      </c>
      <c r="BV127" s="10">
        <v>101</v>
      </c>
      <c r="BW127">
        <v>1997</v>
      </c>
      <c r="BX127">
        <v>7</v>
      </c>
      <c r="BY127">
        <f t="shared" si="10"/>
        <v>11.543000000000006</v>
      </c>
      <c r="BZ127">
        <v>56.828000000000003</v>
      </c>
      <c r="CA127">
        <v>111.54300000000001</v>
      </c>
      <c r="CI127">
        <v>1997</v>
      </c>
      <c r="CJ127">
        <v>7</v>
      </c>
      <c r="CK127">
        <f t="shared" si="12"/>
        <v>11.480000000000004</v>
      </c>
      <c r="CL127">
        <v>56.798999999999999</v>
      </c>
      <c r="CM127">
        <v>111.48</v>
      </c>
    </row>
    <row r="128" spans="5:91" x14ac:dyDescent="0.2">
      <c r="E128">
        <v>1999</v>
      </c>
      <c r="F128">
        <v>9</v>
      </c>
      <c r="G128">
        <v>73.566000000000003</v>
      </c>
      <c r="AE128" s="10" t="s">
        <v>162</v>
      </c>
      <c r="AF128">
        <v>18</v>
      </c>
      <c r="AG128">
        <v>1999</v>
      </c>
      <c r="AH128">
        <v>9</v>
      </c>
      <c r="AI128">
        <v>67.513999999999996</v>
      </c>
      <c r="AJ128">
        <v>1</v>
      </c>
      <c r="AK128">
        <v>60</v>
      </c>
      <c r="AT128">
        <v>2009</v>
      </c>
      <c r="AU128">
        <v>8</v>
      </c>
      <c r="AV128">
        <v>106.876</v>
      </c>
      <c r="AW128">
        <f t="shared" si="8"/>
        <v>6.8760000000000048</v>
      </c>
      <c r="AX128">
        <v>0</v>
      </c>
      <c r="AY128">
        <v>0</v>
      </c>
      <c r="BG128">
        <v>2009</v>
      </c>
      <c r="BH128">
        <v>8</v>
      </c>
      <c r="BI128">
        <v>54.585999999999999</v>
      </c>
      <c r="BJ128">
        <v>0</v>
      </c>
      <c r="BK128">
        <v>0</v>
      </c>
      <c r="BU128" s="10" t="s">
        <v>162</v>
      </c>
      <c r="BV128" s="10">
        <v>101</v>
      </c>
      <c r="BW128">
        <v>1997</v>
      </c>
      <c r="BX128">
        <v>8</v>
      </c>
      <c r="BY128">
        <f t="shared" si="10"/>
        <v>10.045000000000002</v>
      </c>
      <c r="BZ128">
        <v>56.542000000000002</v>
      </c>
      <c r="CA128">
        <v>110.045</v>
      </c>
      <c r="CI128">
        <v>1997</v>
      </c>
      <c r="CJ128">
        <v>8</v>
      </c>
      <c r="CK128">
        <f t="shared" si="12"/>
        <v>9.9849999999999994</v>
      </c>
      <c r="CL128">
        <v>56.514000000000003</v>
      </c>
      <c r="CM128">
        <v>109.985</v>
      </c>
    </row>
    <row r="129" spans="5:91" x14ac:dyDescent="0.2">
      <c r="E129">
        <v>1999</v>
      </c>
      <c r="F129">
        <v>10</v>
      </c>
      <c r="G129">
        <v>72.22</v>
      </c>
      <c r="AE129" s="10" t="s">
        <v>162</v>
      </c>
      <c r="AF129">
        <v>18</v>
      </c>
      <c r="AG129">
        <v>1999</v>
      </c>
      <c r="AH129">
        <v>10</v>
      </c>
      <c r="AI129">
        <v>67.385000000000005</v>
      </c>
      <c r="AJ129">
        <v>0</v>
      </c>
      <c r="AK129">
        <v>0</v>
      </c>
      <c r="AT129">
        <v>2009</v>
      </c>
      <c r="AU129">
        <v>9</v>
      </c>
      <c r="AV129">
        <v>105.372</v>
      </c>
      <c r="AW129">
        <f t="shared" si="8"/>
        <v>5.3719999999999999</v>
      </c>
      <c r="AX129">
        <v>4</v>
      </c>
      <c r="AY129">
        <v>153</v>
      </c>
      <c r="BG129">
        <v>2009</v>
      </c>
      <c r="BH129">
        <v>9</v>
      </c>
      <c r="BI129">
        <v>53.881999999999998</v>
      </c>
      <c r="BJ129">
        <v>4</v>
      </c>
      <c r="BK129">
        <v>153</v>
      </c>
      <c r="BU129" s="10" t="s">
        <v>162</v>
      </c>
      <c r="BV129" s="10">
        <v>101</v>
      </c>
      <c r="BW129">
        <v>1997</v>
      </c>
      <c r="BX129">
        <v>9</v>
      </c>
      <c r="BY129">
        <f t="shared" si="10"/>
        <v>9.0759999999999934</v>
      </c>
      <c r="BZ129">
        <v>55.857999999999997</v>
      </c>
      <c r="CA129">
        <v>109.07599999999999</v>
      </c>
      <c r="CI129">
        <v>1997</v>
      </c>
      <c r="CJ129">
        <v>9</v>
      </c>
      <c r="CK129">
        <f t="shared" si="12"/>
        <v>9.0169999999999959</v>
      </c>
      <c r="CL129">
        <v>55.832999999999998</v>
      </c>
      <c r="CM129">
        <v>109.017</v>
      </c>
    </row>
    <row r="130" spans="5:91" x14ac:dyDescent="0.2">
      <c r="E130">
        <v>1999</v>
      </c>
      <c r="F130">
        <v>11</v>
      </c>
      <c r="G130">
        <v>72.233000000000004</v>
      </c>
      <c r="AE130" s="10" t="s">
        <v>162</v>
      </c>
      <c r="AF130">
        <v>18</v>
      </c>
      <c r="AG130">
        <v>1999</v>
      </c>
      <c r="AH130">
        <v>11</v>
      </c>
      <c r="AI130">
        <v>67.495000000000005</v>
      </c>
      <c r="AJ130">
        <v>0</v>
      </c>
      <c r="AK130">
        <v>0</v>
      </c>
      <c r="AT130">
        <v>2009</v>
      </c>
      <c r="AU130">
        <v>10</v>
      </c>
      <c r="AV130">
        <v>102.024</v>
      </c>
      <c r="AW130">
        <f t="shared" si="8"/>
        <v>2.0240000000000009</v>
      </c>
      <c r="AX130">
        <v>2</v>
      </c>
      <c r="AY130">
        <v>98</v>
      </c>
      <c r="BG130">
        <v>2009</v>
      </c>
      <c r="BH130">
        <v>10</v>
      </c>
      <c r="BI130">
        <v>51.972000000000001</v>
      </c>
      <c r="BJ130">
        <v>2</v>
      </c>
      <c r="BK130">
        <v>98</v>
      </c>
      <c r="BU130" s="10" t="s">
        <v>162</v>
      </c>
      <c r="BV130" s="10">
        <v>101</v>
      </c>
      <c r="BW130">
        <v>1997</v>
      </c>
      <c r="BX130">
        <v>10</v>
      </c>
      <c r="BY130">
        <f t="shared" si="10"/>
        <v>7.7150000000000034</v>
      </c>
      <c r="BZ130">
        <v>54.664000000000001</v>
      </c>
      <c r="CA130">
        <v>107.715</v>
      </c>
      <c r="CI130">
        <v>1997</v>
      </c>
      <c r="CJ130">
        <v>10</v>
      </c>
      <c r="CK130">
        <f t="shared" si="12"/>
        <v>7.659000000000006</v>
      </c>
      <c r="CL130">
        <v>54.640999999999998</v>
      </c>
      <c r="CM130">
        <v>107.65900000000001</v>
      </c>
    </row>
    <row r="131" spans="5:91" x14ac:dyDescent="0.2">
      <c r="E131">
        <v>1999</v>
      </c>
      <c r="F131">
        <v>12</v>
      </c>
      <c r="G131">
        <v>72.228999999999999</v>
      </c>
      <c r="AE131" s="10" t="s">
        <v>162</v>
      </c>
      <c r="AF131">
        <v>18</v>
      </c>
      <c r="AG131">
        <v>1999</v>
      </c>
      <c r="AH131">
        <v>12</v>
      </c>
      <c r="AI131">
        <v>65.361999999999995</v>
      </c>
      <c r="AJ131">
        <v>1</v>
      </c>
      <c r="AK131">
        <v>40</v>
      </c>
      <c r="AT131">
        <v>2009</v>
      </c>
      <c r="AU131">
        <v>11</v>
      </c>
      <c r="AV131">
        <v>101.964</v>
      </c>
      <c r="AW131">
        <f t="shared" ref="AW131:AW173" si="13">AV131-100</f>
        <v>1.9639999999999986</v>
      </c>
      <c r="AX131">
        <v>3</v>
      </c>
      <c r="AY131">
        <v>114</v>
      </c>
      <c r="BG131">
        <v>2009</v>
      </c>
      <c r="BH131">
        <v>11</v>
      </c>
      <c r="BI131">
        <v>51.847999999999999</v>
      </c>
      <c r="BJ131">
        <v>3</v>
      </c>
      <c r="BK131">
        <v>114</v>
      </c>
      <c r="BU131" s="10" t="s">
        <v>162</v>
      </c>
      <c r="BV131" s="10">
        <v>101</v>
      </c>
      <c r="BW131">
        <v>1997</v>
      </c>
      <c r="BX131">
        <v>11</v>
      </c>
      <c r="BY131">
        <f t="shared" ref="BY131:BY194" si="14">CA131-100</f>
        <v>11.034999999999997</v>
      </c>
      <c r="BZ131">
        <v>56.866</v>
      </c>
      <c r="CA131">
        <v>111.035</v>
      </c>
      <c r="CI131">
        <v>1997</v>
      </c>
      <c r="CJ131">
        <v>11</v>
      </c>
      <c r="CK131">
        <f t="shared" ref="CK131:CK194" si="15">CM131-100</f>
        <v>10.974000000000004</v>
      </c>
      <c r="CL131">
        <v>56.831000000000003</v>
      </c>
      <c r="CM131">
        <v>110.974</v>
      </c>
    </row>
    <row r="132" spans="5:91" x14ac:dyDescent="0.2">
      <c r="E132">
        <v>2000</v>
      </c>
      <c r="F132">
        <v>1</v>
      </c>
      <c r="G132">
        <v>70.616</v>
      </c>
      <c r="AE132" s="10" t="s">
        <v>162</v>
      </c>
      <c r="AF132">
        <v>18</v>
      </c>
      <c r="AG132">
        <v>2000</v>
      </c>
      <c r="AH132">
        <v>1</v>
      </c>
      <c r="AI132">
        <v>64.932000000000002</v>
      </c>
      <c r="AJ132">
        <v>1</v>
      </c>
      <c r="AK132">
        <v>60</v>
      </c>
      <c r="AT132">
        <v>2009</v>
      </c>
      <c r="AU132">
        <v>12</v>
      </c>
      <c r="AV132">
        <v>101.658</v>
      </c>
      <c r="AW132">
        <f t="shared" si="13"/>
        <v>1.6580000000000013</v>
      </c>
      <c r="AX132">
        <v>3</v>
      </c>
      <c r="AY132">
        <v>147</v>
      </c>
      <c r="BG132">
        <v>2009</v>
      </c>
      <c r="BH132">
        <v>12</v>
      </c>
      <c r="BI132">
        <v>51.869</v>
      </c>
      <c r="BJ132">
        <v>3</v>
      </c>
      <c r="BK132">
        <v>147</v>
      </c>
      <c r="BU132" s="10" t="s">
        <v>162</v>
      </c>
      <c r="BV132" s="10">
        <v>101</v>
      </c>
      <c r="BW132">
        <v>1997</v>
      </c>
      <c r="BX132">
        <v>12</v>
      </c>
      <c r="BY132">
        <f t="shared" si="14"/>
        <v>12.296000000000006</v>
      </c>
      <c r="BZ132">
        <v>57.972000000000001</v>
      </c>
      <c r="CA132">
        <v>112.29600000000001</v>
      </c>
      <c r="CI132">
        <v>1997</v>
      </c>
      <c r="CJ132">
        <v>12</v>
      </c>
      <c r="CK132">
        <f t="shared" si="15"/>
        <v>12.233000000000004</v>
      </c>
      <c r="CL132">
        <v>57.936</v>
      </c>
      <c r="CM132">
        <v>112.233</v>
      </c>
    </row>
    <row r="133" spans="5:91" x14ac:dyDescent="0.2">
      <c r="E133">
        <v>2000</v>
      </c>
      <c r="F133">
        <v>2</v>
      </c>
      <c r="G133">
        <v>66.637</v>
      </c>
      <c r="AE133" s="10" t="s">
        <v>162</v>
      </c>
      <c r="AF133">
        <v>18</v>
      </c>
      <c r="AG133">
        <v>2000</v>
      </c>
      <c r="AH133">
        <v>2</v>
      </c>
      <c r="AI133">
        <v>55.259</v>
      </c>
      <c r="AJ133">
        <v>1</v>
      </c>
      <c r="AK133">
        <v>92</v>
      </c>
      <c r="AT133">
        <v>2010</v>
      </c>
      <c r="AU133">
        <v>1</v>
      </c>
      <c r="AV133">
        <v>99.69</v>
      </c>
      <c r="AW133">
        <f t="shared" si="13"/>
        <v>-0.31000000000000227</v>
      </c>
      <c r="AX133">
        <v>0</v>
      </c>
      <c r="AY133">
        <v>0</v>
      </c>
      <c r="BG133">
        <v>2010</v>
      </c>
      <c r="BH133">
        <v>1</v>
      </c>
      <c r="BI133">
        <v>50.957999999999998</v>
      </c>
      <c r="BJ133">
        <v>0</v>
      </c>
      <c r="BK133">
        <v>0</v>
      </c>
      <c r="BU133" s="10" t="s">
        <v>162</v>
      </c>
      <c r="BV133" s="10">
        <v>101</v>
      </c>
      <c r="BW133">
        <v>1998</v>
      </c>
      <c r="BX133">
        <v>1</v>
      </c>
      <c r="BY133">
        <f t="shared" si="14"/>
        <v>12.766999999999996</v>
      </c>
      <c r="BZ133">
        <v>58.515000000000001</v>
      </c>
      <c r="CA133">
        <v>112.767</v>
      </c>
      <c r="CI133">
        <v>1998</v>
      </c>
      <c r="CJ133">
        <v>1</v>
      </c>
      <c r="CK133">
        <f t="shared" si="15"/>
        <v>12.703000000000003</v>
      </c>
      <c r="CL133">
        <v>58.478999999999999</v>
      </c>
      <c r="CM133">
        <v>112.703</v>
      </c>
    </row>
    <row r="134" spans="5:91" x14ac:dyDescent="0.2">
      <c r="E134">
        <v>2000</v>
      </c>
      <c r="F134">
        <v>3</v>
      </c>
      <c r="G134">
        <v>62.752000000000002</v>
      </c>
      <c r="AE134" s="10" t="s">
        <v>162</v>
      </c>
      <c r="AF134">
        <v>18</v>
      </c>
      <c r="AG134">
        <v>2000</v>
      </c>
      <c r="AH134">
        <v>3</v>
      </c>
      <c r="AI134">
        <v>54.103000000000002</v>
      </c>
      <c r="AJ134">
        <v>1</v>
      </c>
      <c r="AK134">
        <v>60</v>
      </c>
      <c r="AT134">
        <v>2010</v>
      </c>
      <c r="AU134">
        <v>2</v>
      </c>
      <c r="AV134">
        <v>96.349000000000004</v>
      </c>
      <c r="AW134">
        <f t="shared" si="13"/>
        <v>-3.6509999999999962</v>
      </c>
      <c r="AX134">
        <v>4</v>
      </c>
      <c r="AY134">
        <v>115</v>
      </c>
      <c r="BG134">
        <v>2010</v>
      </c>
      <c r="BH134">
        <v>2</v>
      </c>
      <c r="BI134">
        <v>49.226999999999997</v>
      </c>
      <c r="BJ134">
        <v>4</v>
      </c>
      <c r="BK134">
        <v>115</v>
      </c>
      <c r="BU134" s="10" t="s">
        <v>162</v>
      </c>
      <c r="BV134" s="10">
        <v>101</v>
      </c>
      <c r="BW134">
        <v>1998</v>
      </c>
      <c r="BX134">
        <v>2</v>
      </c>
      <c r="BY134">
        <f t="shared" si="14"/>
        <v>12.941000000000003</v>
      </c>
      <c r="BZ134">
        <v>58.777000000000001</v>
      </c>
      <c r="CA134">
        <v>112.941</v>
      </c>
      <c r="CI134">
        <v>1998</v>
      </c>
      <c r="CJ134">
        <v>2</v>
      </c>
      <c r="CK134">
        <f t="shared" si="15"/>
        <v>12.876999999999995</v>
      </c>
      <c r="CL134">
        <v>58.743000000000002</v>
      </c>
      <c r="CM134">
        <v>112.877</v>
      </c>
    </row>
    <row r="135" spans="5:91" x14ac:dyDescent="0.2">
      <c r="E135">
        <v>2000</v>
      </c>
      <c r="F135">
        <v>4</v>
      </c>
      <c r="G135">
        <v>61.465000000000003</v>
      </c>
      <c r="AE135" s="10" t="s">
        <v>162</v>
      </c>
      <c r="AF135">
        <v>18</v>
      </c>
      <c r="AG135">
        <v>2000</v>
      </c>
      <c r="AH135">
        <v>4</v>
      </c>
      <c r="AI135">
        <v>53.292000000000002</v>
      </c>
      <c r="AJ135">
        <v>0</v>
      </c>
      <c r="AK135">
        <v>0</v>
      </c>
      <c r="AT135">
        <v>2010</v>
      </c>
      <c r="AU135">
        <v>3</v>
      </c>
      <c r="AV135">
        <v>96.16</v>
      </c>
      <c r="AW135">
        <f t="shared" si="13"/>
        <v>-3.8400000000000034</v>
      </c>
      <c r="AX135">
        <v>2</v>
      </c>
      <c r="AY135">
        <v>55</v>
      </c>
      <c r="BG135">
        <v>2010</v>
      </c>
      <c r="BH135">
        <v>3</v>
      </c>
      <c r="BI135">
        <v>49.52</v>
      </c>
      <c r="BJ135">
        <v>2</v>
      </c>
      <c r="BK135">
        <v>55</v>
      </c>
      <c r="BU135" s="10" t="s">
        <v>162</v>
      </c>
      <c r="BV135" s="10">
        <v>101</v>
      </c>
      <c r="BW135">
        <v>1998</v>
      </c>
      <c r="BX135">
        <v>3</v>
      </c>
      <c r="BY135">
        <f t="shared" si="14"/>
        <v>13.006</v>
      </c>
      <c r="BZ135">
        <v>58.904000000000003</v>
      </c>
      <c r="CA135">
        <v>113.006</v>
      </c>
      <c r="CI135">
        <v>1998</v>
      </c>
      <c r="CJ135">
        <v>3</v>
      </c>
      <c r="CK135">
        <f t="shared" si="15"/>
        <v>12.941000000000003</v>
      </c>
      <c r="CL135">
        <v>58.871000000000002</v>
      </c>
      <c r="CM135">
        <v>112.941</v>
      </c>
    </row>
    <row r="136" spans="5:91" x14ac:dyDescent="0.2">
      <c r="E136">
        <v>2000</v>
      </c>
      <c r="F136">
        <v>5</v>
      </c>
      <c r="G136">
        <v>61.426000000000002</v>
      </c>
      <c r="AE136" s="10" t="s">
        <v>162</v>
      </c>
      <c r="AF136">
        <v>18</v>
      </c>
      <c r="AG136">
        <v>2000</v>
      </c>
      <c r="AH136">
        <v>5</v>
      </c>
      <c r="AI136">
        <v>41.656999999999996</v>
      </c>
      <c r="AJ136">
        <v>1</v>
      </c>
      <c r="AK136">
        <v>92</v>
      </c>
      <c r="AT136">
        <v>2010</v>
      </c>
      <c r="AU136">
        <v>4</v>
      </c>
      <c r="AV136">
        <v>96.97</v>
      </c>
      <c r="AW136">
        <f t="shared" si="13"/>
        <v>-3.0300000000000011</v>
      </c>
      <c r="AX136">
        <v>1</v>
      </c>
      <c r="AY136">
        <v>92</v>
      </c>
      <c r="BG136">
        <v>2010</v>
      </c>
      <c r="BH136">
        <v>4</v>
      </c>
      <c r="BI136">
        <v>49.451999999999998</v>
      </c>
      <c r="BJ136">
        <v>1</v>
      </c>
      <c r="BK136">
        <v>92</v>
      </c>
      <c r="BU136" s="10" t="s">
        <v>162</v>
      </c>
      <c r="BV136" s="10">
        <v>101</v>
      </c>
      <c r="BW136">
        <v>1998</v>
      </c>
      <c r="BX136">
        <v>4</v>
      </c>
      <c r="BY136">
        <f t="shared" si="14"/>
        <v>17.905000000000001</v>
      </c>
      <c r="BZ136">
        <v>62.615000000000002</v>
      </c>
      <c r="CA136">
        <v>117.905</v>
      </c>
      <c r="CI136">
        <v>1998</v>
      </c>
      <c r="CJ136">
        <v>4</v>
      </c>
      <c r="CK136">
        <f t="shared" si="15"/>
        <v>17.828999999999994</v>
      </c>
      <c r="CL136">
        <v>62.573</v>
      </c>
      <c r="CM136">
        <v>117.82899999999999</v>
      </c>
    </row>
    <row r="137" spans="5:91" x14ac:dyDescent="0.2">
      <c r="E137">
        <v>2000</v>
      </c>
      <c r="F137">
        <v>6</v>
      </c>
      <c r="G137">
        <v>60.642000000000003</v>
      </c>
      <c r="AE137" s="10" t="s">
        <v>162</v>
      </c>
      <c r="AF137">
        <v>18</v>
      </c>
      <c r="AG137">
        <v>2000</v>
      </c>
      <c r="AH137">
        <v>6</v>
      </c>
      <c r="AI137">
        <v>48.674999999999997</v>
      </c>
      <c r="AJ137">
        <v>3</v>
      </c>
      <c r="AK137">
        <v>192</v>
      </c>
      <c r="AT137">
        <v>2010</v>
      </c>
      <c r="AU137">
        <v>5</v>
      </c>
      <c r="AV137">
        <v>98.876000000000005</v>
      </c>
      <c r="AW137">
        <f t="shared" si="13"/>
        <v>-1.1239999999999952</v>
      </c>
      <c r="AX137">
        <v>5</v>
      </c>
      <c r="AY137">
        <v>121</v>
      </c>
      <c r="BG137">
        <v>2010</v>
      </c>
      <c r="BH137">
        <v>5</v>
      </c>
      <c r="BI137">
        <v>50.088000000000001</v>
      </c>
      <c r="BJ137">
        <v>5</v>
      </c>
      <c r="BK137">
        <v>121</v>
      </c>
      <c r="BU137" s="10" t="s">
        <v>162</v>
      </c>
      <c r="BV137" s="10">
        <v>101</v>
      </c>
      <c r="BW137">
        <v>1998</v>
      </c>
      <c r="BX137">
        <v>5</v>
      </c>
      <c r="BY137">
        <f t="shared" si="14"/>
        <v>18.350999999999999</v>
      </c>
      <c r="BZ137">
        <v>63.353000000000002</v>
      </c>
      <c r="CA137">
        <v>118.351</v>
      </c>
      <c r="CI137">
        <v>1998</v>
      </c>
      <c r="CJ137">
        <v>5</v>
      </c>
      <c r="CK137">
        <f t="shared" si="15"/>
        <v>18.275999999999996</v>
      </c>
      <c r="CL137">
        <v>63.313000000000002</v>
      </c>
      <c r="CM137">
        <v>118.276</v>
      </c>
    </row>
    <row r="138" spans="5:91" x14ac:dyDescent="0.2">
      <c r="E138">
        <v>2000</v>
      </c>
      <c r="F138">
        <v>7</v>
      </c>
      <c r="G138">
        <v>63.488999999999997</v>
      </c>
      <c r="AE138" s="10" t="s">
        <v>162</v>
      </c>
      <c r="AF138">
        <v>18</v>
      </c>
      <c r="AG138">
        <v>2000</v>
      </c>
      <c r="AH138">
        <v>7</v>
      </c>
      <c r="AI138">
        <v>52.683</v>
      </c>
      <c r="AJ138">
        <v>0</v>
      </c>
      <c r="AK138">
        <v>0</v>
      </c>
      <c r="AT138">
        <v>2010</v>
      </c>
      <c r="AU138">
        <v>6</v>
      </c>
      <c r="AV138">
        <v>99.021000000000001</v>
      </c>
      <c r="AW138">
        <f t="shared" si="13"/>
        <v>-0.9789999999999992</v>
      </c>
      <c r="AX138">
        <v>3</v>
      </c>
      <c r="AY138">
        <v>114</v>
      </c>
      <c r="BG138">
        <v>2010</v>
      </c>
      <c r="BH138">
        <v>6</v>
      </c>
      <c r="BI138">
        <v>50.133000000000003</v>
      </c>
      <c r="BJ138">
        <v>3</v>
      </c>
      <c r="BK138">
        <v>114</v>
      </c>
      <c r="BU138" s="10" t="s">
        <v>162</v>
      </c>
      <c r="BV138" s="10">
        <v>101</v>
      </c>
      <c r="BW138">
        <v>1998</v>
      </c>
      <c r="BX138">
        <v>6</v>
      </c>
      <c r="BY138">
        <f t="shared" si="14"/>
        <v>18.363</v>
      </c>
      <c r="BZ138">
        <v>63.497999999999998</v>
      </c>
      <c r="CA138">
        <v>118.363</v>
      </c>
      <c r="CI138">
        <v>1998</v>
      </c>
      <c r="CJ138">
        <v>6</v>
      </c>
      <c r="CK138">
        <f t="shared" si="15"/>
        <v>18.287999999999997</v>
      </c>
      <c r="CL138">
        <v>63.459000000000003</v>
      </c>
      <c r="CM138">
        <v>118.288</v>
      </c>
    </row>
    <row r="139" spans="5:91" x14ac:dyDescent="0.2">
      <c r="E139">
        <v>2000</v>
      </c>
      <c r="F139">
        <v>8</v>
      </c>
      <c r="G139">
        <v>63.476999999999997</v>
      </c>
      <c r="AE139" s="10" t="s">
        <v>162</v>
      </c>
      <c r="AF139">
        <v>18</v>
      </c>
      <c r="AG139">
        <v>2000</v>
      </c>
      <c r="AH139">
        <v>8</v>
      </c>
      <c r="AI139">
        <v>54.191000000000003</v>
      </c>
      <c r="AJ139">
        <v>0</v>
      </c>
      <c r="AK139">
        <v>0</v>
      </c>
      <c r="AT139">
        <v>2010</v>
      </c>
      <c r="AU139">
        <v>7</v>
      </c>
      <c r="AV139">
        <v>97.141999999999996</v>
      </c>
      <c r="AW139">
        <f t="shared" si="13"/>
        <v>-2.8580000000000041</v>
      </c>
      <c r="AX139">
        <v>1</v>
      </c>
      <c r="AY139">
        <v>16</v>
      </c>
      <c r="BG139">
        <v>2010</v>
      </c>
      <c r="BH139">
        <v>7</v>
      </c>
      <c r="BI139">
        <v>49.94</v>
      </c>
      <c r="BJ139">
        <v>1</v>
      </c>
      <c r="BK139">
        <v>16</v>
      </c>
      <c r="BU139" s="10" t="s">
        <v>162</v>
      </c>
      <c r="BV139" s="10">
        <v>101</v>
      </c>
      <c r="BW139">
        <v>1998</v>
      </c>
      <c r="BX139">
        <v>7</v>
      </c>
      <c r="BY139">
        <f t="shared" si="14"/>
        <v>18.346999999999994</v>
      </c>
      <c r="BZ139">
        <v>63.52</v>
      </c>
      <c r="CA139">
        <v>118.34699999999999</v>
      </c>
      <c r="CI139">
        <v>1998</v>
      </c>
      <c r="CJ139">
        <v>7</v>
      </c>
      <c r="CK139">
        <f t="shared" si="15"/>
        <v>18.272000000000006</v>
      </c>
      <c r="CL139">
        <v>63.481000000000002</v>
      </c>
      <c r="CM139">
        <v>118.27200000000001</v>
      </c>
    </row>
    <row r="140" spans="5:91" x14ac:dyDescent="0.2">
      <c r="E140">
        <v>2000</v>
      </c>
      <c r="F140">
        <v>9</v>
      </c>
      <c r="G140">
        <v>66.363</v>
      </c>
      <c r="AE140" s="10" t="s">
        <v>162</v>
      </c>
      <c r="AF140">
        <v>18</v>
      </c>
      <c r="AG140">
        <v>2000</v>
      </c>
      <c r="AH140">
        <v>9</v>
      </c>
      <c r="AI140">
        <v>57.218000000000004</v>
      </c>
      <c r="AJ140">
        <v>2</v>
      </c>
      <c r="AK140">
        <v>100</v>
      </c>
      <c r="AT140">
        <v>2010</v>
      </c>
      <c r="AU140">
        <v>8</v>
      </c>
      <c r="AV140">
        <v>97.162000000000006</v>
      </c>
      <c r="AW140">
        <f t="shared" si="13"/>
        <v>-2.8379999999999939</v>
      </c>
      <c r="AX140">
        <v>1</v>
      </c>
      <c r="AY140">
        <v>92</v>
      </c>
      <c r="BG140">
        <v>2010</v>
      </c>
      <c r="BH140">
        <v>8</v>
      </c>
      <c r="BI140">
        <v>49.521000000000001</v>
      </c>
      <c r="BJ140">
        <v>1</v>
      </c>
      <c r="BK140">
        <v>92</v>
      </c>
      <c r="BU140" s="10" t="s">
        <v>162</v>
      </c>
      <c r="BV140" s="10">
        <v>101</v>
      </c>
      <c r="BW140">
        <v>1998</v>
      </c>
      <c r="BX140">
        <v>8</v>
      </c>
      <c r="BY140">
        <f t="shared" si="14"/>
        <v>18.051000000000002</v>
      </c>
      <c r="BZ140">
        <v>63.332999999999998</v>
      </c>
      <c r="CA140">
        <v>118.051</v>
      </c>
      <c r="CI140">
        <v>1998</v>
      </c>
      <c r="CJ140">
        <v>8</v>
      </c>
      <c r="CK140">
        <f t="shared" si="15"/>
        <v>17.977000000000004</v>
      </c>
      <c r="CL140">
        <v>63.295000000000002</v>
      </c>
      <c r="CM140">
        <v>117.977</v>
      </c>
    </row>
    <row r="141" spans="5:91" x14ac:dyDescent="0.2">
      <c r="E141">
        <v>2000</v>
      </c>
      <c r="F141">
        <v>10</v>
      </c>
      <c r="G141">
        <v>64.909000000000006</v>
      </c>
      <c r="AE141" s="10" t="s">
        <v>162</v>
      </c>
      <c r="AF141">
        <v>18</v>
      </c>
      <c r="AG141">
        <v>2000</v>
      </c>
      <c r="AH141">
        <v>10</v>
      </c>
      <c r="AI141">
        <v>53.247</v>
      </c>
      <c r="AJ141">
        <v>0</v>
      </c>
      <c r="AK141">
        <v>0</v>
      </c>
      <c r="AT141">
        <v>2010</v>
      </c>
      <c r="AU141">
        <v>9</v>
      </c>
      <c r="AV141">
        <v>98.126000000000005</v>
      </c>
      <c r="AW141">
        <f t="shared" si="13"/>
        <v>-1.8739999999999952</v>
      </c>
      <c r="AX141">
        <v>3</v>
      </c>
      <c r="AY141">
        <v>114</v>
      </c>
      <c r="BG141">
        <v>2010</v>
      </c>
      <c r="BH141">
        <v>9</v>
      </c>
      <c r="BI141">
        <v>49.664000000000001</v>
      </c>
      <c r="BJ141">
        <v>3</v>
      </c>
      <c r="BK141">
        <v>114</v>
      </c>
      <c r="BU141" s="10" t="s">
        <v>162</v>
      </c>
      <c r="BV141" s="10">
        <v>101</v>
      </c>
      <c r="BW141">
        <v>1998</v>
      </c>
      <c r="BX141">
        <v>9</v>
      </c>
      <c r="BY141">
        <f t="shared" si="14"/>
        <v>14.808000000000007</v>
      </c>
      <c r="BZ141">
        <v>61.737000000000002</v>
      </c>
      <c r="CA141">
        <v>114.80800000000001</v>
      </c>
      <c r="CI141">
        <v>1998</v>
      </c>
      <c r="CJ141">
        <v>9</v>
      </c>
      <c r="CK141">
        <f t="shared" si="15"/>
        <v>14.739000000000004</v>
      </c>
      <c r="CL141">
        <v>61.706000000000003</v>
      </c>
      <c r="CM141">
        <v>114.739</v>
      </c>
    </row>
    <row r="142" spans="5:91" x14ac:dyDescent="0.2">
      <c r="E142">
        <v>2000</v>
      </c>
      <c r="F142">
        <v>11</v>
      </c>
      <c r="G142">
        <v>64.941999999999993</v>
      </c>
      <c r="AE142" s="10" t="s">
        <v>162</v>
      </c>
      <c r="AF142">
        <v>18</v>
      </c>
      <c r="AG142">
        <v>2000</v>
      </c>
      <c r="AH142">
        <v>11</v>
      </c>
      <c r="AI142">
        <v>53.155999999999999</v>
      </c>
      <c r="AJ142">
        <v>0</v>
      </c>
      <c r="AK142">
        <v>0</v>
      </c>
      <c r="AT142">
        <v>2010</v>
      </c>
      <c r="AU142">
        <v>10</v>
      </c>
      <c r="AV142">
        <v>104.825</v>
      </c>
      <c r="AW142">
        <f t="shared" si="13"/>
        <v>4.8250000000000028</v>
      </c>
      <c r="AX142">
        <v>1</v>
      </c>
      <c r="AY142">
        <v>16</v>
      </c>
      <c r="BG142">
        <v>2010</v>
      </c>
      <c r="BH142">
        <v>10</v>
      </c>
      <c r="BI142">
        <v>51.798999999999999</v>
      </c>
      <c r="BJ142">
        <v>1</v>
      </c>
      <c r="BK142">
        <v>16</v>
      </c>
      <c r="BU142" s="10" t="s">
        <v>162</v>
      </c>
      <c r="BV142" s="10">
        <v>101</v>
      </c>
      <c r="BW142">
        <v>1998</v>
      </c>
      <c r="BX142">
        <v>10</v>
      </c>
      <c r="BY142">
        <f t="shared" si="14"/>
        <v>13.617999999999995</v>
      </c>
      <c r="BZ142">
        <v>60.981999999999999</v>
      </c>
      <c r="CA142">
        <v>113.61799999999999</v>
      </c>
      <c r="CI142">
        <v>1998</v>
      </c>
      <c r="CJ142">
        <v>10</v>
      </c>
      <c r="CK142">
        <f t="shared" si="15"/>
        <v>13.551000000000002</v>
      </c>
      <c r="CL142">
        <v>60.951999999999998</v>
      </c>
      <c r="CM142">
        <v>113.551</v>
      </c>
    </row>
    <row r="143" spans="5:91" x14ac:dyDescent="0.2">
      <c r="E143">
        <v>2000</v>
      </c>
      <c r="F143">
        <v>12</v>
      </c>
      <c r="G143">
        <v>64.944999999999993</v>
      </c>
      <c r="AE143" s="10" t="s">
        <v>162</v>
      </c>
      <c r="AF143">
        <v>18</v>
      </c>
      <c r="AG143">
        <v>2000</v>
      </c>
      <c r="AH143">
        <v>12</v>
      </c>
      <c r="AI143">
        <v>53.402000000000001</v>
      </c>
      <c r="AJ143">
        <v>1</v>
      </c>
      <c r="AK143">
        <v>12</v>
      </c>
      <c r="AT143">
        <v>2010</v>
      </c>
      <c r="AU143">
        <v>11</v>
      </c>
      <c r="AV143">
        <v>101.258</v>
      </c>
      <c r="AW143">
        <f t="shared" si="13"/>
        <v>1.2579999999999956</v>
      </c>
      <c r="AX143">
        <v>1</v>
      </c>
      <c r="AY143">
        <v>92</v>
      </c>
      <c r="BG143">
        <v>2010</v>
      </c>
      <c r="BH143">
        <v>11</v>
      </c>
      <c r="BI143">
        <v>50.874000000000002</v>
      </c>
      <c r="BJ143">
        <v>1</v>
      </c>
      <c r="BK143">
        <v>92</v>
      </c>
      <c r="BU143" s="10" t="s">
        <v>162</v>
      </c>
      <c r="BV143" s="10">
        <v>101</v>
      </c>
      <c r="BW143">
        <v>1998</v>
      </c>
      <c r="BX143">
        <v>11</v>
      </c>
      <c r="BY143">
        <f t="shared" si="14"/>
        <v>8.8059999999999974</v>
      </c>
      <c r="BZ143">
        <v>58.404000000000003</v>
      </c>
      <c r="CA143">
        <v>108.806</v>
      </c>
      <c r="CI143">
        <v>1998</v>
      </c>
      <c r="CJ143">
        <v>11</v>
      </c>
      <c r="CK143">
        <f t="shared" si="15"/>
        <v>8.7489999999999952</v>
      </c>
      <c r="CL143">
        <v>58.378999999999998</v>
      </c>
      <c r="CM143">
        <v>108.749</v>
      </c>
    </row>
    <row r="144" spans="5:91" x14ac:dyDescent="0.2">
      <c r="E144">
        <v>2001</v>
      </c>
      <c r="F144">
        <v>1</v>
      </c>
      <c r="G144">
        <v>64.944000000000003</v>
      </c>
      <c r="AE144" s="10" t="s">
        <v>162</v>
      </c>
      <c r="AF144">
        <v>18</v>
      </c>
      <c r="AG144">
        <v>2001</v>
      </c>
      <c r="AH144">
        <v>1</v>
      </c>
      <c r="AI144">
        <v>58.262</v>
      </c>
      <c r="AJ144">
        <v>0</v>
      </c>
      <c r="AK144">
        <v>0</v>
      </c>
      <c r="AT144">
        <v>2010</v>
      </c>
      <c r="AU144">
        <v>12</v>
      </c>
      <c r="AV144">
        <v>103.21</v>
      </c>
      <c r="AW144">
        <f t="shared" si="13"/>
        <v>3.2099999999999937</v>
      </c>
      <c r="AX144">
        <v>1</v>
      </c>
      <c r="AY144">
        <v>92</v>
      </c>
      <c r="BG144">
        <v>2010</v>
      </c>
      <c r="BH144">
        <v>12</v>
      </c>
      <c r="BI144">
        <v>52.244999999999997</v>
      </c>
      <c r="BJ144">
        <v>1</v>
      </c>
      <c r="BK144">
        <v>92</v>
      </c>
      <c r="BU144" s="10" t="s">
        <v>162</v>
      </c>
      <c r="BV144" s="10">
        <v>101</v>
      </c>
      <c r="BW144">
        <v>1998</v>
      </c>
      <c r="BX144">
        <v>12</v>
      </c>
      <c r="BY144">
        <f t="shared" si="14"/>
        <v>6.757000000000005</v>
      </c>
      <c r="BZ144">
        <v>57.197000000000003</v>
      </c>
      <c r="CA144">
        <v>106.75700000000001</v>
      </c>
      <c r="CI144">
        <v>1998</v>
      </c>
      <c r="CJ144">
        <v>12</v>
      </c>
      <c r="CK144">
        <f t="shared" si="15"/>
        <v>6.7009999999999934</v>
      </c>
      <c r="CL144">
        <v>57.171999999999997</v>
      </c>
      <c r="CM144">
        <v>106.70099999999999</v>
      </c>
    </row>
    <row r="145" spans="5:91" x14ac:dyDescent="0.2">
      <c r="E145">
        <v>2001</v>
      </c>
      <c r="F145">
        <v>2</v>
      </c>
      <c r="G145">
        <v>63.131</v>
      </c>
      <c r="AE145" s="10" t="s">
        <v>162</v>
      </c>
      <c r="AF145">
        <v>18</v>
      </c>
      <c r="AG145">
        <v>2001</v>
      </c>
      <c r="AH145">
        <v>2</v>
      </c>
      <c r="AI145">
        <v>57.354999999999997</v>
      </c>
      <c r="AJ145">
        <v>2</v>
      </c>
      <c r="AK145">
        <v>152</v>
      </c>
      <c r="AT145">
        <v>2011</v>
      </c>
      <c r="AU145">
        <v>1</v>
      </c>
      <c r="AV145">
        <v>105.842</v>
      </c>
      <c r="AW145">
        <f t="shared" si="13"/>
        <v>5.8419999999999987</v>
      </c>
      <c r="AX145">
        <v>1</v>
      </c>
      <c r="AY145">
        <v>16</v>
      </c>
      <c r="BG145">
        <v>2011</v>
      </c>
      <c r="BH145">
        <v>1</v>
      </c>
      <c r="BI145">
        <v>53.256</v>
      </c>
      <c r="BJ145">
        <v>1</v>
      </c>
      <c r="BK145">
        <v>16</v>
      </c>
      <c r="BU145" s="10" t="s">
        <v>162</v>
      </c>
      <c r="BV145" s="10">
        <v>101</v>
      </c>
      <c r="BW145">
        <v>1999</v>
      </c>
      <c r="BX145">
        <v>1</v>
      </c>
      <c r="BY145">
        <f t="shared" si="14"/>
        <v>6.1370000000000005</v>
      </c>
      <c r="BZ145">
        <v>56.746000000000002</v>
      </c>
      <c r="CA145">
        <v>106.137</v>
      </c>
      <c r="CI145">
        <v>1999</v>
      </c>
      <c r="CJ145">
        <v>1</v>
      </c>
      <c r="CK145">
        <f t="shared" si="15"/>
        <v>6.0819999999999936</v>
      </c>
      <c r="CL145">
        <v>56.72</v>
      </c>
      <c r="CM145">
        <v>106.08199999999999</v>
      </c>
    </row>
    <row r="146" spans="5:91" x14ac:dyDescent="0.2">
      <c r="E146">
        <v>2001</v>
      </c>
      <c r="F146">
        <v>3</v>
      </c>
      <c r="G146">
        <v>61.765000000000001</v>
      </c>
      <c r="AE146" s="10" t="s">
        <v>162</v>
      </c>
      <c r="AF146">
        <v>18</v>
      </c>
      <c r="AG146">
        <v>2001</v>
      </c>
      <c r="AH146">
        <v>3</v>
      </c>
      <c r="AI146">
        <v>60.738</v>
      </c>
      <c r="AJ146">
        <v>1</v>
      </c>
      <c r="AK146">
        <v>40</v>
      </c>
      <c r="AT146">
        <v>2011</v>
      </c>
      <c r="AU146">
        <v>2</v>
      </c>
      <c r="AV146">
        <v>105.413</v>
      </c>
      <c r="AW146">
        <f t="shared" si="13"/>
        <v>5.4129999999999967</v>
      </c>
      <c r="AX146">
        <v>4</v>
      </c>
      <c r="AY146">
        <v>114</v>
      </c>
      <c r="BG146">
        <v>2011</v>
      </c>
      <c r="BH146">
        <v>2</v>
      </c>
      <c r="BI146">
        <v>53.015000000000001</v>
      </c>
      <c r="BJ146">
        <v>4</v>
      </c>
      <c r="BK146">
        <v>114</v>
      </c>
      <c r="BU146" s="10" t="s">
        <v>162</v>
      </c>
      <c r="BV146" s="10">
        <v>101</v>
      </c>
      <c r="BW146">
        <v>1999</v>
      </c>
      <c r="BX146">
        <v>2</v>
      </c>
      <c r="BY146">
        <f t="shared" si="14"/>
        <v>5.9260000000000019</v>
      </c>
      <c r="BZ146">
        <v>56.558999999999997</v>
      </c>
      <c r="CA146">
        <v>105.926</v>
      </c>
      <c r="CI146">
        <v>1999</v>
      </c>
      <c r="CJ146">
        <v>2</v>
      </c>
      <c r="CK146">
        <f t="shared" si="15"/>
        <v>5.8709999999999951</v>
      </c>
      <c r="CL146">
        <v>56.531999999999996</v>
      </c>
      <c r="CM146">
        <v>105.871</v>
      </c>
    </row>
    <row r="147" spans="5:91" x14ac:dyDescent="0.2">
      <c r="E147">
        <v>2001</v>
      </c>
      <c r="F147">
        <v>4</v>
      </c>
      <c r="G147">
        <v>60.481000000000002</v>
      </c>
      <c r="AE147" s="10" t="s">
        <v>162</v>
      </c>
      <c r="AF147">
        <v>18</v>
      </c>
      <c r="AG147">
        <v>2001</v>
      </c>
      <c r="AH147">
        <v>4</v>
      </c>
      <c r="AI147">
        <v>56.442999999999998</v>
      </c>
      <c r="AJ147">
        <v>1</v>
      </c>
      <c r="AK147">
        <v>60</v>
      </c>
      <c r="AT147">
        <v>2011</v>
      </c>
      <c r="AU147">
        <v>3</v>
      </c>
      <c r="AV147">
        <v>94.856999999999999</v>
      </c>
      <c r="AW147">
        <f t="shared" si="13"/>
        <v>-5.1430000000000007</v>
      </c>
      <c r="AX147">
        <v>1</v>
      </c>
      <c r="AY147">
        <v>15</v>
      </c>
      <c r="BG147">
        <v>2011</v>
      </c>
      <c r="BH147">
        <v>3</v>
      </c>
      <c r="BI147">
        <v>51.137999999999998</v>
      </c>
      <c r="BJ147">
        <v>1</v>
      </c>
      <c r="BK147">
        <v>15</v>
      </c>
      <c r="BU147" s="10" t="s">
        <v>162</v>
      </c>
      <c r="BV147" s="10">
        <v>101</v>
      </c>
      <c r="BW147">
        <v>1999</v>
      </c>
      <c r="BX147">
        <v>3</v>
      </c>
      <c r="BY147">
        <f t="shared" si="14"/>
        <v>3.3559999999999945</v>
      </c>
      <c r="BZ147">
        <v>55.712000000000003</v>
      </c>
      <c r="CA147">
        <v>103.35599999999999</v>
      </c>
      <c r="CI147">
        <v>1999</v>
      </c>
      <c r="CJ147">
        <v>3</v>
      </c>
      <c r="CK147">
        <f t="shared" si="15"/>
        <v>3.3070000000000022</v>
      </c>
      <c r="CL147">
        <v>55.688000000000002</v>
      </c>
      <c r="CM147">
        <v>103.307</v>
      </c>
    </row>
    <row r="148" spans="5:91" x14ac:dyDescent="0.2">
      <c r="E148">
        <v>2001</v>
      </c>
      <c r="F148">
        <v>5</v>
      </c>
      <c r="G148">
        <v>58.002000000000002</v>
      </c>
      <c r="AE148" s="10" t="s">
        <v>162</v>
      </c>
      <c r="AF148">
        <v>18</v>
      </c>
      <c r="AG148">
        <v>2001</v>
      </c>
      <c r="AH148">
        <v>5</v>
      </c>
      <c r="AI148">
        <v>51.223999999999997</v>
      </c>
      <c r="AJ148">
        <v>0</v>
      </c>
      <c r="AK148">
        <v>0</v>
      </c>
      <c r="AT148">
        <v>2011</v>
      </c>
      <c r="AU148">
        <v>4</v>
      </c>
      <c r="AV148">
        <v>100.45699999999999</v>
      </c>
      <c r="AW148">
        <f t="shared" si="13"/>
        <v>0.45699999999999363</v>
      </c>
      <c r="AX148">
        <v>1</v>
      </c>
      <c r="AY148">
        <v>92</v>
      </c>
      <c r="BG148">
        <v>2011</v>
      </c>
      <c r="BH148">
        <v>4</v>
      </c>
      <c r="BI148">
        <v>52.064999999999998</v>
      </c>
      <c r="BJ148">
        <v>1</v>
      </c>
      <c r="BK148">
        <v>92</v>
      </c>
      <c r="BU148" s="10" t="s">
        <v>162</v>
      </c>
      <c r="BV148" s="10">
        <v>101</v>
      </c>
      <c r="BW148">
        <v>1999</v>
      </c>
      <c r="BX148">
        <v>4</v>
      </c>
      <c r="BY148">
        <f t="shared" si="14"/>
        <v>1.9719999999999942</v>
      </c>
      <c r="BZ148">
        <v>54.948999999999998</v>
      </c>
      <c r="CA148">
        <v>101.97199999999999</v>
      </c>
      <c r="CI148">
        <v>1999</v>
      </c>
      <c r="CJ148">
        <v>4</v>
      </c>
      <c r="CK148">
        <f t="shared" si="15"/>
        <v>1.9249999999999972</v>
      </c>
      <c r="CL148">
        <v>54.926000000000002</v>
      </c>
      <c r="CM148">
        <v>101.925</v>
      </c>
    </row>
    <row r="149" spans="5:91" x14ac:dyDescent="0.2">
      <c r="E149">
        <v>2001</v>
      </c>
      <c r="F149">
        <v>6</v>
      </c>
      <c r="G149">
        <v>57.988999999999997</v>
      </c>
      <c r="AE149" s="10" t="s">
        <v>162</v>
      </c>
      <c r="AF149">
        <v>18</v>
      </c>
      <c r="AG149">
        <v>2001</v>
      </c>
      <c r="AH149">
        <v>6</v>
      </c>
      <c r="AI149">
        <v>51.244</v>
      </c>
      <c r="AJ149">
        <v>1</v>
      </c>
      <c r="AK149">
        <v>12</v>
      </c>
      <c r="AT149">
        <v>2011</v>
      </c>
      <c r="AU149">
        <v>5</v>
      </c>
      <c r="AV149">
        <v>100.001</v>
      </c>
      <c r="AW149">
        <f t="shared" si="13"/>
        <v>1.0000000000047748E-3</v>
      </c>
      <c r="AX149">
        <v>2</v>
      </c>
      <c r="AY149">
        <v>107</v>
      </c>
      <c r="BG149">
        <v>2011</v>
      </c>
      <c r="BH149">
        <v>5</v>
      </c>
      <c r="BI149">
        <v>51.255000000000003</v>
      </c>
      <c r="BJ149">
        <v>2</v>
      </c>
      <c r="BK149">
        <v>107</v>
      </c>
      <c r="BU149" s="10" t="s">
        <v>162</v>
      </c>
      <c r="BV149" s="10">
        <v>101</v>
      </c>
      <c r="BW149">
        <v>1999</v>
      </c>
      <c r="BX149">
        <v>5</v>
      </c>
      <c r="BY149">
        <f t="shared" si="14"/>
        <v>1.5130000000000052</v>
      </c>
      <c r="BZ149">
        <v>54.603999999999999</v>
      </c>
      <c r="CA149">
        <v>101.51300000000001</v>
      </c>
      <c r="CI149">
        <v>1999</v>
      </c>
      <c r="CJ149">
        <v>5</v>
      </c>
      <c r="CK149">
        <f t="shared" si="15"/>
        <v>1.4669999999999987</v>
      </c>
      <c r="CL149">
        <v>54.581000000000003</v>
      </c>
      <c r="CM149">
        <v>101.467</v>
      </c>
    </row>
    <row r="150" spans="5:91" x14ac:dyDescent="0.2">
      <c r="E150">
        <v>2001</v>
      </c>
      <c r="F150">
        <v>7</v>
      </c>
      <c r="G150">
        <v>57.985999999999997</v>
      </c>
      <c r="AE150" s="10" t="s">
        <v>162</v>
      </c>
      <c r="AF150">
        <v>18</v>
      </c>
      <c r="AG150">
        <v>2001</v>
      </c>
      <c r="AH150">
        <v>7</v>
      </c>
      <c r="AI150">
        <v>45.911000000000001</v>
      </c>
      <c r="AJ150">
        <v>1</v>
      </c>
      <c r="AK150">
        <v>92</v>
      </c>
      <c r="AT150">
        <v>2011</v>
      </c>
      <c r="AU150">
        <v>6</v>
      </c>
      <c r="AV150">
        <v>102.813</v>
      </c>
      <c r="AW150">
        <f t="shared" si="13"/>
        <v>2.8130000000000024</v>
      </c>
      <c r="AX150">
        <v>1</v>
      </c>
      <c r="AY150">
        <v>92</v>
      </c>
      <c r="BG150">
        <v>2011</v>
      </c>
      <c r="BH150">
        <v>6</v>
      </c>
      <c r="BI150">
        <v>52.484000000000002</v>
      </c>
      <c r="BJ150">
        <v>1</v>
      </c>
      <c r="BK150">
        <v>92</v>
      </c>
      <c r="BU150" s="10" t="s">
        <v>162</v>
      </c>
      <c r="BV150" s="10">
        <v>101</v>
      </c>
      <c r="BW150">
        <v>1999</v>
      </c>
      <c r="BX150">
        <v>6</v>
      </c>
      <c r="BY150">
        <f t="shared" si="14"/>
        <v>0.26000000000000512</v>
      </c>
      <c r="BZ150">
        <v>53.832000000000001</v>
      </c>
      <c r="CA150">
        <v>100.26</v>
      </c>
      <c r="CI150">
        <v>1999</v>
      </c>
      <c r="CJ150">
        <v>6</v>
      </c>
      <c r="CK150">
        <f t="shared" si="15"/>
        <v>0.21699999999999875</v>
      </c>
      <c r="CL150">
        <v>53.81</v>
      </c>
      <c r="CM150">
        <v>100.217</v>
      </c>
    </row>
    <row r="151" spans="5:91" x14ac:dyDescent="0.2">
      <c r="E151">
        <v>2001</v>
      </c>
      <c r="F151">
        <v>8</v>
      </c>
      <c r="G151">
        <v>55.582000000000001</v>
      </c>
      <c r="AE151" s="10" t="s">
        <v>162</v>
      </c>
      <c r="AF151">
        <v>18</v>
      </c>
      <c r="AG151">
        <v>2001</v>
      </c>
      <c r="AH151">
        <v>8</v>
      </c>
      <c r="AI151">
        <v>47.802</v>
      </c>
      <c r="AJ151">
        <v>1</v>
      </c>
      <c r="AK151">
        <v>60</v>
      </c>
      <c r="AT151">
        <v>2011</v>
      </c>
      <c r="AU151">
        <v>7</v>
      </c>
      <c r="AV151">
        <v>101.941</v>
      </c>
      <c r="AW151">
        <f t="shared" si="13"/>
        <v>1.9410000000000025</v>
      </c>
      <c r="AX151">
        <v>2</v>
      </c>
      <c r="AY151">
        <v>107</v>
      </c>
      <c r="BG151">
        <v>2011</v>
      </c>
      <c r="BH151">
        <v>7</v>
      </c>
      <c r="BI151">
        <v>51.841000000000001</v>
      </c>
      <c r="BJ151">
        <v>2</v>
      </c>
      <c r="BK151">
        <v>107</v>
      </c>
      <c r="BU151" s="10" t="s">
        <v>162</v>
      </c>
      <c r="BV151" s="10">
        <v>101</v>
      </c>
      <c r="BW151">
        <v>1999</v>
      </c>
      <c r="BX151">
        <v>7</v>
      </c>
      <c r="BY151">
        <f t="shared" si="14"/>
        <v>-1.6830000000000069</v>
      </c>
      <c r="BZ151">
        <v>52.802</v>
      </c>
      <c r="CA151">
        <v>98.316999999999993</v>
      </c>
      <c r="CI151">
        <v>1999</v>
      </c>
      <c r="CJ151">
        <v>7</v>
      </c>
      <c r="CK151">
        <f t="shared" si="15"/>
        <v>-1.7240000000000038</v>
      </c>
      <c r="CL151">
        <v>52.783000000000001</v>
      </c>
      <c r="CM151">
        <v>98.275999999999996</v>
      </c>
    </row>
    <row r="152" spans="5:91" x14ac:dyDescent="0.2">
      <c r="E152">
        <v>2001</v>
      </c>
      <c r="F152">
        <v>9</v>
      </c>
      <c r="G152">
        <v>54.156999999999996</v>
      </c>
      <c r="AE152" s="10" t="s">
        <v>162</v>
      </c>
      <c r="AF152">
        <v>18</v>
      </c>
      <c r="AG152">
        <v>2001</v>
      </c>
      <c r="AH152">
        <v>9</v>
      </c>
      <c r="AI152">
        <v>46.127000000000002</v>
      </c>
      <c r="AJ152">
        <v>1</v>
      </c>
      <c r="AK152">
        <v>40</v>
      </c>
      <c r="AT152">
        <v>2011</v>
      </c>
      <c r="AU152">
        <v>8</v>
      </c>
      <c r="AV152">
        <v>103.31699999999999</v>
      </c>
      <c r="AW152">
        <f t="shared" si="13"/>
        <v>3.3169999999999931</v>
      </c>
      <c r="AX152">
        <v>2</v>
      </c>
      <c r="AY152">
        <v>107</v>
      </c>
      <c r="BG152">
        <v>2011</v>
      </c>
      <c r="BH152">
        <v>8</v>
      </c>
      <c r="BI152">
        <v>51.871000000000002</v>
      </c>
      <c r="BJ152">
        <v>2</v>
      </c>
      <c r="BK152">
        <v>107</v>
      </c>
      <c r="BU152" s="10" t="s">
        <v>162</v>
      </c>
      <c r="BV152" s="10">
        <v>101</v>
      </c>
      <c r="BW152">
        <v>1999</v>
      </c>
      <c r="BX152">
        <v>8</v>
      </c>
      <c r="BY152">
        <f t="shared" si="14"/>
        <v>-2.3670000000000044</v>
      </c>
      <c r="BZ152">
        <v>52.344000000000001</v>
      </c>
      <c r="CA152">
        <v>97.632999999999996</v>
      </c>
      <c r="CI152">
        <v>1999</v>
      </c>
      <c r="CJ152">
        <v>8</v>
      </c>
      <c r="CK152">
        <f t="shared" si="15"/>
        <v>-2.4060000000000059</v>
      </c>
      <c r="CL152">
        <v>52.325000000000003</v>
      </c>
      <c r="CM152">
        <v>97.593999999999994</v>
      </c>
    </row>
    <row r="153" spans="5:91" x14ac:dyDescent="0.2">
      <c r="E153">
        <v>2001</v>
      </c>
      <c r="F153">
        <v>10</v>
      </c>
      <c r="G153">
        <v>54.128</v>
      </c>
      <c r="AE153" s="10" t="s">
        <v>162</v>
      </c>
      <c r="AF153">
        <v>18</v>
      </c>
      <c r="AG153">
        <v>2001</v>
      </c>
      <c r="AH153">
        <v>10</v>
      </c>
      <c r="AI153">
        <v>45.530999999999999</v>
      </c>
      <c r="AJ153">
        <v>0</v>
      </c>
      <c r="AK153">
        <v>0</v>
      </c>
      <c r="AT153">
        <v>2011</v>
      </c>
      <c r="AU153">
        <v>9</v>
      </c>
      <c r="AV153">
        <v>107.886</v>
      </c>
      <c r="AW153">
        <f t="shared" si="13"/>
        <v>7.8859999999999957</v>
      </c>
      <c r="AX153">
        <v>3</v>
      </c>
      <c r="AY153">
        <v>146</v>
      </c>
      <c r="BG153">
        <v>2011</v>
      </c>
      <c r="BH153">
        <v>9</v>
      </c>
      <c r="BI153">
        <v>54.488999999999997</v>
      </c>
      <c r="BJ153">
        <v>3</v>
      </c>
      <c r="BK153">
        <v>146</v>
      </c>
      <c r="BU153" s="10" t="s">
        <v>162</v>
      </c>
      <c r="BV153" s="10">
        <v>101</v>
      </c>
      <c r="BW153">
        <v>1999</v>
      </c>
      <c r="BX153">
        <v>9</v>
      </c>
      <c r="BY153">
        <f t="shared" si="14"/>
        <v>-6.8029999999999973</v>
      </c>
      <c r="BZ153">
        <v>49.585999999999999</v>
      </c>
      <c r="CA153">
        <v>93.197000000000003</v>
      </c>
      <c r="CI153">
        <v>1999</v>
      </c>
      <c r="CJ153">
        <v>9</v>
      </c>
      <c r="CK153">
        <f t="shared" si="15"/>
        <v>-6.8319999999999936</v>
      </c>
      <c r="CL153">
        <v>49.573</v>
      </c>
      <c r="CM153">
        <v>93.168000000000006</v>
      </c>
    </row>
    <row r="154" spans="5:91" x14ac:dyDescent="0.2">
      <c r="E154">
        <v>2001</v>
      </c>
      <c r="F154">
        <v>11</v>
      </c>
      <c r="G154">
        <v>52.848999999999997</v>
      </c>
      <c r="AE154" s="10" t="s">
        <v>162</v>
      </c>
      <c r="AF154">
        <v>18</v>
      </c>
      <c r="AG154">
        <v>2001</v>
      </c>
      <c r="AH154">
        <v>11</v>
      </c>
      <c r="AI154">
        <v>46.491999999999997</v>
      </c>
      <c r="AJ154">
        <v>1</v>
      </c>
      <c r="AK154">
        <v>60</v>
      </c>
      <c r="AT154">
        <v>2011</v>
      </c>
      <c r="AU154">
        <v>10</v>
      </c>
      <c r="AV154">
        <v>105.79600000000001</v>
      </c>
      <c r="AW154">
        <f t="shared" si="13"/>
        <v>5.7960000000000065</v>
      </c>
      <c r="AX154">
        <v>1</v>
      </c>
      <c r="AY154">
        <v>92</v>
      </c>
      <c r="BG154">
        <v>2011</v>
      </c>
      <c r="BH154">
        <v>10</v>
      </c>
      <c r="BI154">
        <v>53.762999999999998</v>
      </c>
      <c r="BJ154">
        <v>1</v>
      </c>
      <c r="BK154">
        <v>92</v>
      </c>
      <c r="BU154" s="10" t="s">
        <v>162</v>
      </c>
      <c r="BV154" s="10">
        <v>101</v>
      </c>
      <c r="BW154">
        <v>1999</v>
      </c>
      <c r="BX154">
        <v>10</v>
      </c>
      <c r="BY154">
        <f t="shared" si="14"/>
        <v>-6.5390000000000015</v>
      </c>
      <c r="BZ154">
        <v>49.295000000000002</v>
      </c>
      <c r="CA154">
        <v>93.460999999999999</v>
      </c>
      <c r="CI154">
        <v>1999</v>
      </c>
      <c r="CJ154">
        <v>10</v>
      </c>
      <c r="CK154">
        <f t="shared" si="15"/>
        <v>-6.5699999999999932</v>
      </c>
      <c r="CL154">
        <v>49.277999999999999</v>
      </c>
      <c r="CM154">
        <v>93.43</v>
      </c>
    </row>
    <row r="155" spans="5:91" x14ac:dyDescent="0.2">
      <c r="E155">
        <v>2001</v>
      </c>
      <c r="F155">
        <v>12</v>
      </c>
      <c r="G155">
        <v>50.078000000000003</v>
      </c>
      <c r="AE155" s="10" t="s">
        <v>162</v>
      </c>
      <c r="AF155">
        <v>18</v>
      </c>
      <c r="AG155">
        <v>2001</v>
      </c>
      <c r="AH155">
        <v>12</v>
      </c>
      <c r="AI155">
        <v>35.832000000000001</v>
      </c>
      <c r="AJ155">
        <v>2</v>
      </c>
      <c r="AK155">
        <v>132</v>
      </c>
      <c r="AT155">
        <v>2011</v>
      </c>
      <c r="AU155">
        <v>11</v>
      </c>
      <c r="AV155">
        <v>106.098</v>
      </c>
      <c r="AW155">
        <f t="shared" si="13"/>
        <v>6.097999999999999</v>
      </c>
      <c r="AX155">
        <v>3</v>
      </c>
      <c r="AY155">
        <v>146</v>
      </c>
      <c r="BG155">
        <v>2011</v>
      </c>
      <c r="BH155">
        <v>11</v>
      </c>
      <c r="BI155">
        <v>54.115000000000002</v>
      </c>
      <c r="BJ155">
        <v>3</v>
      </c>
      <c r="BK155">
        <v>146</v>
      </c>
      <c r="BU155" s="10" t="s">
        <v>162</v>
      </c>
      <c r="BV155" s="10">
        <v>101</v>
      </c>
      <c r="BW155">
        <v>1999</v>
      </c>
      <c r="BX155">
        <v>11</v>
      </c>
      <c r="BY155">
        <f t="shared" si="14"/>
        <v>-5.0889999999999986</v>
      </c>
      <c r="BZ155">
        <v>49.85</v>
      </c>
      <c r="CA155">
        <v>94.911000000000001</v>
      </c>
      <c r="CI155">
        <v>1999</v>
      </c>
      <c r="CJ155">
        <v>11</v>
      </c>
      <c r="CK155">
        <f t="shared" si="15"/>
        <v>-5.1230000000000047</v>
      </c>
      <c r="CL155">
        <v>49.831000000000003</v>
      </c>
      <c r="CM155">
        <v>94.876999999999995</v>
      </c>
    </row>
    <row r="156" spans="5:91" x14ac:dyDescent="0.2">
      <c r="E156">
        <v>2002</v>
      </c>
      <c r="F156">
        <v>1</v>
      </c>
      <c r="G156">
        <v>50.07</v>
      </c>
      <c r="AE156" s="10" t="s">
        <v>162</v>
      </c>
      <c r="AF156">
        <v>18</v>
      </c>
      <c r="AG156">
        <v>2002</v>
      </c>
      <c r="AH156">
        <v>1</v>
      </c>
      <c r="AI156">
        <v>32.055</v>
      </c>
      <c r="AJ156">
        <v>0</v>
      </c>
      <c r="AK156">
        <v>0</v>
      </c>
      <c r="AT156">
        <v>2011</v>
      </c>
      <c r="AU156">
        <v>12</v>
      </c>
      <c r="AV156">
        <v>106.979</v>
      </c>
      <c r="AW156">
        <f t="shared" si="13"/>
        <v>6.9789999999999992</v>
      </c>
      <c r="AX156">
        <v>2</v>
      </c>
      <c r="AY156">
        <v>107</v>
      </c>
      <c r="BG156">
        <v>2011</v>
      </c>
      <c r="BH156">
        <v>12</v>
      </c>
      <c r="BI156">
        <v>54.408000000000001</v>
      </c>
      <c r="BJ156">
        <v>2</v>
      </c>
      <c r="BK156">
        <v>107</v>
      </c>
      <c r="BU156" s="10" t="s">
        <v>162</v>
      </c>
      <c r="BV156" s="10">
        <v>101</v>
      </c>
      <c r="BW156">
        <v>1999</v>
      </c>
      <c r="BX156">
        <v>12</v>
      </c>
      <c r="BY156">
        <f t="shared" si="14"/>
        <v>-3.0379999999999967</v>
      </c>
      <c r="BZ156">
        <v>51.372999999999998</v>
      </c>
      <c r="CA156">
        <v>96.962000000000003</v>
      </c>
      <c r="CI156">
        <v>1999</v>
      </c>
      <c r="CJ156">
        <v>12</v>
      </c>
      <c r="CK156">
        <f t="shared" si="15"/>
        <v>-3.0769999999999982</v>
      </c>
      <c r="CL156">
        <v>51.35</v>
      </c>
      <c r="CM156">
        <v>96.923000000000002</v>
      </c>
    </row>
    <row r="157" spans="5:91" x14ac:dyDescent="0.2">
      <c r="E157">
        <v>2002</v>
      </c>
      <c r="F157">
        <v>2</v>
      </c>
      <c r="G157">
        <v>47.539000000000001</v>
      </c>
      <c r="AE157" s="10" t="s">
        <v>162</v>
      </c>
      <c r="AF157">
        <v>18</v>
      </c>
      <c r="AG157">
        <v>2002</v>
      </c>
      <c r="AH157">
        <v>2</v>
      </c>
      <c r="AI157">
        <v>34.195</v>
      </c>
      <c r="AJ157">
        <v>2</v>
      </c>
      <c r="AK157">
        <v>152</v>
      </c>
      <c r="AT157">
        <v>2012</v>
      </c>
      <c r="AU157">
        <v>1</v>
      </c>
      <c r="AV157">
        <v>110.119</v>
      </c>
      <c r="AW157">
        <f t="shared" si="13"/>
        <v>10.119</v>
      </c>
      <c r="AX157">
        <v>1</v>
      </c>
      <c r="AY157">
        <v>15</v>
      </c>
      <c r="BG157">
        <v>2012</v>
      </c>
      <c r="BH157">
        <v>1</v>
      </c>
      <c r="BI157">
        <v>56.304000000000002</v>
      </c>
      <c r="BJ157">
        <v>1</v>
      </c>
      <c r="BK157">
        <v>15</v>
      </c>
      <c r="BU157" s="10" t="s">
        <v>162</v>
      </c>
      <c r="BV157" s="10">
        <v>101</v>
      </c>
      <c r="BW157">
        <v>2000</v>
      </c>
      <c r="BX157">
        <v>1</v>
      </c>
      <c r="BY157">
        <f t="shared" si="14"/>
        <v>-2.4300000000000068</v>
      </c>
      <c r="BZ157">
        <v>51.835999999999999</v>
      </c>
      <c r="CA157">
        <v>97.57</v>
      </c>
      <c r="CI157">
        <v>2000</v>
      </c>
      <c r="CJ157">
        <v>1</v>
      </c>
      <c r="CK157">
        <f t="shared" si="15"/>
        <v>-2.4699999999999989</v>
      </c>
      <c r="CL157">
        <v>51.813000000000002</v>
      </c>
      <c r="CM157">
        <v>97.53</v>
      </c>
    </row>
    <row r="158" spans="5:91" x14ac:dyDescent="0.2">
      <c r="E158">
        <v>2002</v>
      </c>
      <c r="F158">
        <v>3</v>
      </c>
      <c r="G158">
        <v>50.783000000000001</v>
      </c>
      <c r="AE158" s="10" t="s">
        <v>162</v>
      </c>
      <c r="AF158">
        <v>18</v>
      </c>
      <c r="AG158">
        <v>2002</v>
      </c>
      <c r="AH158">
        <v>3</v>
      </c>
      <c r="AI158">
        <v>33.975000000000001</v>
      </c>
      <c r="AJ158">
        <v>1</v>
      </c>
      <c r="AK158">
        <v>40</v>
      </c>
      <c r="AT158">
        <v>2012</v>
      </c>
      <c r="AU158">
        <v>2</v>
      </c>
      <c r="AV158">
        <v>108.96599999999999</v>
      </c>
      <c r="AW158">
        <f t="shared" si="13"/>
        <v>8.965999999999994</v>
      </c>
      <c r="AX158">
        <v>1</v>
      </c>
      <c r="AY158">
        <v>92</v>
      </c>
      <c r="BG158">
        <v>2012</v>
      </c>
      <c r="BH158">
        <v>2</v>
      </c>
      <c r="BI158">
        <v>55.646999999999998</v>
      </c>
      <c r="BJ158">
        <v>1</v>
      </c>
      <c r="BK158">
        <v>92</v>
      </c>
      <c r="BU158" s="10" t="s">
        <v>162</v>
      </c>
      <c r="BV158" s="10">
        <v>101</v>
      </c>
      <c r="BW158">
        <v>2000</v>
      </c>
      <c r="BX158">
        <v>2</v>
      </c>
      <c r="BY158">
        <f t="shared" si="14"/>
        <v>-1.4689999999999941</v>
      </c>
      <c r="BZ158">
        <v>51.838999999999999</v>
      </c>
      <c r="CA158">
        <v>98.531000000000006</v>
      </c>
      <c r="CI158">
        <v>2000</v>
      </c>
      <c r="CJ158">
        <v>2</v>
      </c>
      <c r="CK158">
        <f t="shared" si="15"/>
        <v>-1.5109999999999957</v>
      </c>
      <c r="CL158">
        <v>51.816000000000003</v>
      </c>
      <c r="CM158">
        <v>98.489000000000004</v>
      </c>
    </row>
    <row r="159" spans="5:91" x14ac:dyDescent="0.2">
      <c r="E159">
        <v>2002</v>
      </c>
      <c r="F159">
        <v>4</v>
      </c>
      <c r="G159">
        <v>54.143000000000001</v>
      </c>
      <c r="AE159" s="10" t="s">
        <v>162</v>
      </c>
      <c r="AF159">
        <v>18</v>
      </c>
      <c r="AG159">
        <v>2002</v>
      </c>
      <c r="AH159">
        <v>4</v>
      </c>
      <c r="AI159">
        <v>40.421999999999997</v>
      </c>
      <c r="AJ159">
        <v>2</v>
      </c>
      <c r="AK159">
        <v>152</v>
      </c>
      <c r="AT159">
        <v>2012</v>
      </c>
      <c r="AU159">
        <v>3</v>
      </c>
      <c r="AV159">
        <v>112.14400000000001</v>
      </c>
      <c r="AW159">
        <f t="shared" si="13"/>
        <v>12.144000000000005</v>
      </c>
      <c r="AX159">
        <v>2</v>
      </c>
      <c r="AY159">
        <v>107</v>
      </c>
      <c r="BG159">
        <v>2012</v>
      </c>
      <c r="BH159">
        <v>3</v>
      </c>
      <c r="BI159">
        <v>57.027000000000001</v>
      </c>
      <c r="BJ159">
        <v>2</v>
      </c>
      <c r="BK159">
        <v>107</v>
      </c>
      <c r="BU159" s="10" t="s">
        <v>162</v>
      </c>
      <c r="BV159" s="10">
        <v>101</v>
      </c>
      <c r="BW159">
        <v>2000</v>
      </c>
      <c r="BX159">
        <v>3</v>
      </c>
      <c r="BY159">
        <f t="shared" si="14"/>
        <v>-3.519999999999996</v>
      </c>
      <c r="BZ159">
        <v>50.706000000000003</v>
      </c>
      <c r="CA159">
        <v>96.48</v>
      </c>
      <c r="CI159">
        <v>2000</v>
      </c>
      <c r="CJ159">
        <v>3</v>
      </c>
      <c r="CK159">
        <f t="shared" si="15"/>
        <v>-3.5589999999999975</v>
      </c>
      <c r="CL159">
        <v>50.69</v>
      </c>
      <c r="CM159">
        <v>96.441000000000003</v>
      </c>
    </row>
    <row r="160" spans="5:91" x14ac:dyDescent="0.2">
      <c r="E160">
        <v>2002</v>
      </c>
      <c r="F160">
        <v>5</v>
      </c>
      <c r="G160">
        <v>50.298000000000002</v>
      </c>
      <c r="AE160" s="10" t="s">
        <v>162</v>
      </c>
      <c r="AF160">
        <v>18</v>
      </c>
      <c r="AG160">
        <v>2002</v>
      </c>
      <c r="AH160">
        <v>5</v>
      </c>
      <c r="AI160">
        <v>32.935000000000002</v>
      </c>
      <c r="AJ160">
        <v>1</v>
      </c>
      <c r="AK160">
        <v>12</v>
      </c>
      <c r="AT160">
        <v>2012</v>
      </c>
      <c r="AU160">
        <v>4</v>
      </c>
      <c r="AV160">
        <v>115.62</v>
      </c>
      <c r="AW160">
        <f t="shared" si="13"/>
        <v>15.620000000000005</v>
      </c>
      <c r="AX160">
        <v>2</v>
      </c>
      <c r="AY160">
        <v>95</v>
      </c>
      <c r="BG160">
        <v>2012</v>
      </c>
      <c r="BH160">
        <v>4</v>
      </c>
      <c r="BI160">
        <v>59.362000000000002</v>
      </c>
      <c r="BJ160">
        <v>2</v>
      </c>
      <c r="BK160">
        <v>95</v>
      </c>
      <c r="BU160" s="10" t="s">
        <v>162</v>
      </c>
      <c r="BV160" s="10">
        <v>101</v>
      </c>
      <c r="BW160">
        <v>2000</v>
      </c>
      <c r="BX160">
        <v>4</v>
      </c>
      <c r="BY160">
        <f t="shared" si="14"/>
        <v>-7.4939999999999998</v>
      </c>
      <c r="BZ160">
        <v>48.453000000000003</v>
      </c>
      <c r="CA160">
        <v>92.506</v>
      </c>
      <c r="CI160">
        <v>2000</v>
      </c>
      <c r="CJ160">
        <v>4</v>
      </c>
      <c r="CK160">
        <f t="shared" si="15"/>
        <v>-7.5240000000000009</v>
      </c>
      <c r="CL160">
        <v>48.441000000000003</v>
      </c>
      <c r="CM160">
        <v>92.475999999999999</v>
      </c>
    </row>
    <row r="161" spans="5:91" x14ac:dyDescent="0.2">
      <c r="E161">
        <v>2002</v>
      </c>
      <c r="F161">
        <v>6</v>
      </c>
      <c r="G161">
        <v>50.383000000000003</v>
      </c>
      <c r="AE161" s="10" t="s">
        <v>162</v>
      </c>
      <c r="AF161">
        <v>18</v>
      </c>
      <c r="AG161">
        <v>2002</v>
      </c>
      <c r="AH161">
        <v>6</v>
      </c>
      <c r="AI161">
        <v>32.500999999999998</v>
      </c>
      <c r="AJ161">
        <v>3</v>
      </c>
      <c r="AK161">
        <v>141</v>
      </c>
      <c r="AT161">
        <v>2012</v>
      </c>
      <c r="AU161">
        <v>5</v>
      </c>
      <c r="AV161">
        <v>121.02200000000001</v>
      </c>
      <c r="AW161">
        <f t="shared" si="13"/>
        <v>21.022000000000006</v>
      </c>
      <c r="AX161">
        <v>1</v>
      </c>
      <c r="AY161">
        <v>15</v>
      </c>
      <c r="BG161">
        <v>2012</v>
      </c>
      <c r="BH161">
        <v>5</v>
      </c>
      <c r="BI161">
        <v>60.262999999999998</v>
      </c>
      <c r="BJ161">
        <v>1</v>
      </c>
      <c r="BK161">
        <v>15</v>
      </c>
      <c r="BU161" s="10" t="s">
        <v>162</v>
      </c>
      <c r="BV161" s="10">
        <v>101</v>
      </c>
      <c r="BW161">
        <v>2000</v>
      </c>
      <c r="BX161">
        <v>5</v>
      </c>
      <c r="BY161">
        <f t="shared" si="14"/>
        <v>-9.9549999999999983</v>
      </c>
      <c r="BZ161">
        <v>46.884999999999998</v>
      </c>
      <c r="CA161">
        <v>90.045000000000002</v>
      </c>
      <c r="CI161">
        <v>2000</v>
      </c>
      <c r="CJ161">
        <v>5</v>
      </c>
      <c r="CK161">
        <f t="shared" si="15"/>
        <v>-9.9819999999999993</v>
      </c>
      <c r="CL161">
        <v>46.875999999999998</v>
      </c>
      <c r="CM161">
        <v>90.018000000000001</v>
      </c>
    </row>
    <row r="162" spans="5:91" x14ac:dyDescent="0.2">
      <c r="E162">
        <v>2002</v>
      </c>
      <c r="F162">
        <v>7</v>
      </c>
      <c r="G162">
        <v>48.710999999999999</v>
      </c>
      <c r="AE162" s="10" t="s">
        <v>162</v>
      </c>
      <c r="AF162">
        <v>18</v>
      </c>
      <c r="AG162">
        <v>2002</v>
      </c>
      <c r="AH162">
        <v>7</v>
      </c>
      <c r="AI162">
        <v>39.57</v>
      </c>
      <c r="AJ162">
        <v>1</v>
      </c>
      <c r="AK162">
        <v>60</v>
      </c>
      <c r="AT162">
        <v>2012</v>
      </c>
      <c r="AU162">
        <v>6</v>
      </c>
      <c r="AV162">
        <v>116.63200000000001</v>
      </c>
      <c r="AW162">
        <f t="shared" si="13"/>
        <v>16.632000000000005</v>
      </c>
      <c r="AX162">
        <v>2</v>
      </c>
      <c r="AY162">
        <v>107</v>
      </c>
      <c r="BG162">
        <v>2012</v>
      </c>
      <c r="BH162">
        <v>6</v>
      </c>
      <c r="BI162">
        <v>59.481999999999999</v>
      </c>
      <c r="BJ162">
        <v>2</v>
      </c>
      <c r="BK162">
        <v>107</v>
      </c>
      <c r="BU162" s="10" t="s">
        <v>162</v>
      </c>
      <c r="BV162" s="10">
        <v>101</v>
      </c>
      <c r="BW162">
        <v>2000</v>
      </c>
      <c r="BX162">
        <v>6</v>
      </c>
      <c r="BY162">
        <f t="shared" si="14"/>
        <v>-8.3199999999999932</v>
      </c>
      <c r="BZ162">
        <v>47.747999999999998</v>
      </c>
      <c r="CA162">
        <v>91.68</v>
      </c>
      <c r="CI162">
        <v>2000</v>
      </c>
      <c r="CJ162">
        <v>6</v>
      </c>
      <c r="CK162">
        <f t="shared" si="15"/>
        <v>-8.3499999999999943</v>
      </c>
      <c r="CL162">
        <v>47.732999999999997</v>
      </c>
      <c r="CM162">
        <v>91.65</v>
      </c>
    </row>
    <row r="163" spans="5:91" x14ac:dyDescent="0.2">
      <c r="E163">
        <v>2002</v>
      </c>
      <c r="F163">
        <v>8</v>
      </c>
      <c r="G163">
        <v>48.401000000000003</v>
      </c>
      <c r="AE163" s="10" t="s">
        <v>162</v>
      </c>
      <c r="AF163">
        <v>18</v>
      </c>
      <c r="AG163">
        <v>2002</v>
      </c>
      <c r="AH163">
        <v>8</v>
      </c>
      <c r="AI163">
        <v>39.344000000000001</v>
      </c>
      <c r="AJ163">
        <v>0</v>
      </c>
      <c r="AK163">
        <v>0</v>
      </c>
      <c r="AT163">
        <v>2012</v>
      </c>
      <c r="AU163">
        <v>7</v>
      </c>
      <c r="AV163">
        <v>113.511</v>
      </c>
      <c r="AW163">
        <f t="shared" si="13"/>
        <v>13.510999999999996</v>
      </c>
      <c r="AX163">
        <v>1</v>
      </c>
      <c r="AY163">
        <v>92</v>
      </c>
      <c r="BG163">
        <v>2012</v>
      </c>
      <c r="BH163">
        <v>7</v>
      </c>
      <c r="BI163">
        <v>58.237000000000002</v>
      </c>
      <c r="BJ163">
        <v>1</v>
      </c>
      <c r="BK163">
        <v>92</v>
      </c>
      <c r="BU163" s="10" t="s">
        <v>162</v>
      </c>
      <c r="BV163" s="10">
        <v>101</v>
      </c>
      <c r="BW163">
        <v>2000</v>
      </c>
      <c r="BX163">
        <v>7</v>
      </c>
      <c r="BY163">
        <f t="shared" si="14"/>
        <v>-7.5580000000000069</v>
      </c>
      <c r="BZ163">
        <v>48.256</v>
      </c>
      <c r="CA163">
        <v>92.441999999999993</v>
      </c>
      <c r="CI163">
        <v>2000</v>
      </c>
      <c r="CJ163">
        <v>7</v>
      </c>
      <c r="CK163">
        <f t="shared" si="15"/>
        <v>-7.5879999999999939</v>
      </c>
      <c r="CL163">
        <v>48.238999999999997</v>
      </c>
      <c r="CM163">
        <v>92.412000000000006</v>
      </c>
    </row>
    <row r="164" spans="5:91" x14ac:dyDescent="0.2">
      <c r="E164">
        <v>2002</v>
      </c>
      <c r="F164">
        <v>9</v>
      </c>
      <c r="G164">
        <v>48.369</v>
      </c>
      <c r="AE164" s="10" t="s">
        <v>162</v>
      </c>
      <c r="AF164">
        <v>18</v>
      </c>
      <c r="AG164">
        <v>2002</v>
      </c>
      <c r="AH164">
        <v>9</v>
      </c>
      <c r="AI164">
        <v>36.826999999999998</v>
      </c>
      <c r="AJ164">
        <v>1</v>
      </c>
      <c r="AK164">
        <v>40</v>
      </c>
      <c r="AT164">
        <v>2012</v>
      </c>
      <c r="AU164">
        <v>8</v>
      </c>
      <c r="AV164">
        <v>111.983</v>
      </c>
      <c r="AW164">
        <f t="shared" si="13"/>
        <v>11.983000000000004</v>
      </c>
      <c r="AX164">
        <v>3</v>
      </c>
      <c r="AY164">
        <v>113</v>
      </c>
      <c r="BG164">
        <v>2012</v>
      </c>
      <c r="BH164">
        <v>8</v>
      </c>
      <c r="BI164">
        <v>58.811</v>
      </c>
      <c r="BJ164">
        <v>3</v>
      </c>
      <c r="BK164">
        <v>113</v>
      </c>
      <c r="BU164" s="10" t="s">
        <v>162</v>
      </c>
      <c r="BV164" s="10">
        <v>101</v>
      </c>
      <c r="BW164">
        <v>2000</v>
      </c>
      <c r="BX164">
        <v>8</v>
      </c>
      <c r="BY164">
        <f t="shared" si="14"/>
        <v>-7.3119999999999976</v>
      </c>
      <c r="BZ164">
        <v>48.459000000000003</v>
      </c>
      <c r="CA164">
        <v>92.688000000000002</v>
      </c>
      <c r="CI164">
        <v>2000</v>
      </c>
      <c r="CJ164">
        <v>8</v>
      </c>
      <c r="CK164">
        <f t="shared" si="15"/>
        <v>-7.3419999999999987</v>
      </c>
      <c r="CL164">
        <v>48.442</v>
      </c>
      <c r="CM164">
        <v>92.658000000000001</v>
      </c>
    </row>
    <row r="165" spans="5:91" x14ac:dyDescent="0.2">
      <c r="E165">
        <v>2002</v>
      </c>
      <c r="F165">
        <v>10</v>
      </c>
      <c r="G165">
        <v>48.365000000000002</v>
      </c>
      <c r="AE165" s="10" t="s">
        <v>162</v>
      </c>
      <c r="AF165">
        <v>18</v>
      </c>
      <c r="AG165">
        <v>2002</v>
      </c>
      <c r="AH165">
        <v>10</v>
      </c>
      <c r="AI165">
        <v>34.003</v>
      </c>
      <c r="AJ165">
        <v>0</v>
      </c>
      <c r="AK165">
        <v>0</v>
      </c>
      <c r="AT165">
        <v>2012</v>
      </c>
      <c r="AU165">
        <v>9</v>
      </c>
      <c r="AV165">
        <v>110.976</v>
      </c>
      <c r="AW165">
        <f t="shared" si="13"/>
        <v>10.975999999999999</v>
      </c>
      <c r="AX165">
        <v>1</v>
      </c>
      <c r="AY165">
        <v>92</v>
      </c>
      <c r="BG165">
        <v>2012</v>
      </c>
      <c r="BH165">
        <v>9</v>
      </c>
      <c r="BI165">
        <v>57.249000000000002</v>
      </c>
      <c r="BJ165">
        <v>1</v>
      </c>
      <c r="BK165">
        <v>92</v>
      </c>
      <c r="BU165" s="10" t="s">
        <v>162</v>
      </c>
      <c r="BV165" s="10">
        <v>101</v>
      </c>
      <c r="BW165">
        <v>2000</v>
      </c>
      <c r="BX165">
        <v>9</v>
      </c>
      <c r="BY165">
        <f t="shared" si="14"/>
        <v>-7.1599999999999966</v>
      </c>
      <c r="BZ165">
        <v>48.826000000000001</v>
      </c>
      <c r="CA165">
        <v>92.84</v>
      </c>
      <c r="CI165">
        <v>2000</v>
      </c>
      <c r="CJ165">
        <v>9</v>
      </c>
      <c r="CK165">
        <f t="shared" si="15"/>
        <v>-7.1899999999999977</v>
      </c>
      <c r="CL165">
        <v>48.808</v>
      </c>
      <c r="CM165">
        <v>92.81</v>
      </c>
    </row>
    <row r="166" spans="5:91" x14ac:dyDescent="0.2">
      <c r="E166">
        <v>2002</v>
      </c>
      <c r="F166">
        <v>11</v>
      </c>
      <c r="G166">
        <v>48.353999999999999</v>
      </c>
      <c r="AE166" s="10" t="s">
        <v>162</v>
      </c>
      <c r="AF166">
        <v>18</v>
      </c>
      <c r="AG166">
        <v>2002</v>
      </c>
      <c r="AH166">
        <v>11</v>
      </c>
      <c r="AI166">
        <v>35.000999999999998</v>
      </c>
      <c r="AJ166">
        <v>2</v>
      </c>
      <c r="AK166">
        <v>152</v>
      </c>
      <c r="AT166">
        <v>2012</v>
      </c>
      <c r="AU166">
        <v>10</v>
      </c>
      <c r="AV166">
        <v>113.753</v>
      </c>
      <c r="AW166">
        <f t="shared" si="13"/>
        <v>13.753</v>
      </c>
      <c r="AX166">
        <v>1</v>
      </c>
      <c r="AY166">
        <v>92</v>
      </c>
      <c r="BG166">
        <v>2012</v>
      </c>
      <c r="BH166">
        <v>10</v>
      </c>
      <c r="BI166">
        <v>58.210999999999999</v>
      </c>
      <c r="BJ166">
        <v>1</v>
      </c>
      <c r="BK166">
        <v>92</v>
      </c>
      <c r="BU166" s="10" t="s">
        <v>162</v>
      </c>
      <c r="BV166" s="10">
        <v>101</v>
      </c>
      <c r="BW166">
        <v>2000</v>
      </c>
      <c r="BX166">
        <v>10</v>
      </c>
      <c r="BY166">
        <f t="shared" si="14"/>
        <v>-7.438999999999993</v>
      </c>
      <c r="BZ166">
        <v>48.709000000000003</v>
      </c>
      <c r="CA166">
        <v>92.561000000000007</v>
      </c>
      <c r="CI166">
        <v>2000</v>
      </c>
      <c r="CJ166">
        <v>10</v>
      </c>
      <c r="CK166">
        <f t="shared" si="15"/>
        <v>-7.4699999999999989</v>
      </c>
      <c r="CL166">
        <v>48.692999999999998</v>
      </c>
      <c r="CM166">
        <v>92.53</v>
      </c>
    </row>
    <row r="167" spans="5:91" x14ac:dyDescent="0.2">
      <c r="E167">
        <v>2002</v>
      </c>
      <c r="F167">
        <v>12</v>
      </c>
      <c r="G167">
        <v>48.06</v>
      </c>
      <c r="AE167" s="10" t="s">
        <v>162</v>
      </c>
      <c r="AF167">
        <v>18</v>
      </c>
      <c r="AG167">
        <v>2002</v>
      </c>
      <c r="AH167">
        <v>12</v>
      </c>
      <c r="AI167">
        <v>36.918999999999997</v>
      </c>
      <c r="AJ167">
        <v>1</v>
      </c>
      <c r="AK167">
        <v>40</v>
      </c>
      <c r="AT167">
        <v>2012</v>
      </c>
      <c r="AU167">
        <v>11</v>
      </c>
      <c r="AV167">
        <v>111.94199999999999</v>
      </c>
      <c r="AW167">
        <f t="shared" si="13"/>
        <v>11.941999999999993</v>
      </c>
      <c r="AX167">
        <v>1</v>
      </c>
      <c r="AY167">
        <v>15</v>
      </c>
      <c r="BG167">
        <v>2012</v>
      </c>
      <c r="BH167">
        <v>11</v>
      </c>
      <c r="BI167">
        <v>57.314</v>
      </c>
      <c r="BJ167">
        <v>1</v>
      </c>
      <c r="BK167">
        <v>15</v>
      </c>
      <c r="BU167" s="10" t="s">
        <v>162</v>
      </c>
      <c r="BV167" s="10">
        <v>101</v>
      </c>
      <c r="BW167">
        <v>2000</v>
      </c>
      <c r="BX167">
        <v>11</v>
      </c>
      <c r="BY167">
        <f t="shared" si="14"/>
        <v>-7.5439999999999969</v>
      </c>
      <c r="BZ167">
        <v>48.637</v>
      </c>
      <c r="CA167">
        <v>92.456000000000003</v>
      </c>
      <c r="CI167">
        <v>2000</v>
      </c>
      <c r="CJ167">
        <v>11</v>
      </c>
      <c r="CK167">
        <f t="shared" si="15"/>
        <v>-7.5750000000000028</v>
      </c>
      <c r="CL167">
        <v>48.62</v>
      </c>
      <c r="CM167">
        <v>92.424999999999997</v>
      </c>
    </row>
    <row r="168" spans="5:91" x14ac:dyDescent="0.2">
      <c r="E168">
        <v>2003</v>
      </c>
      <c r="F168">
        <v>1</v>
      </c>
      <c r="G168">
        <v>48.06</v>
      </c>
      <c r="AE168" s="10" t="s">
        <v>162</v>
      </c>
      <c r="AF168">
        <v>18</v>
      </c>
      <c r="AG168">
        <v>2003</v>
      </c>
      <c r="AH168">
        <v>1</v>
      </c>
      <c r="AI168">
        <v>37.243000000000002</v>
      </c>
      <c r="AJ168">
        <v>1</v>
      </c>
      <c r="AK168">
        <v>3</v>
      </c>
      <c r="AT168">
        <v>2012</v>
      </c>
      <c r="AU168">
        <v>12</v>
      </c>
      <c r="AV168">
        <v>112.27800000000001</v>
      </c>
      <c r="AW168">
        <f t="shared" si="13"/>
        <v>12.278000000000006</v>
      </c>
      <c r="AX168">
        <v>1</v>
      </c>
      <c r="AY168">
        <v>15</v>
      </c>
      <c r="BG168">
        <v>2012</v>
      </c>
      <c r="BH168">
        <v>12</v>
      </c>
      <c r="BI168">
        <v>56.121000000000002</v>
      </c>
      <c r="BJ168">
        <v>1</v>
      </c>
      <c r="BK168">
        <v>15</v>
      </c>
      <c r="BU168" s="10" t="s">
        <v>162</v>
      </c>
      <c r="BV168" s="10">
        <v>101</v>
      </c>
      <c r="BW168">
        <v>2000</v>
      </c>
      <c r="BX168">
        <v>12</v>
      </c>
      <c r="BY168">
        <f t="shared" si="14"/>
        <v>-7.5829999999999984</v>
      </c>
      <c r="BZ168">
        <v>48.597999999999999</v>
      </c>
      <c r="CA168">
        <v>92.417000000000002</v>
      </c>
      <c r="CI168">
        <v>2000</v>
      </c>
      <c r="CJ168">
        <v>12</v>
      </c>
      <c r="CK168">
        <f t="shared" si="15"/>
        <v>-7.6149999999999949</v>
      </c>
      <c r="CL168">
        <v>48.582000000000001</v>
      </c>
      <c r="CM168">
        <v>92.385000000000005</v>
      </c>
    </row>
    <row r="169" spans="5:91" x14ac:dyDescent="0.2">
      <c r="E169">
        <v>2003</v>
      </c>
      <c r="F169">
        <v>2</v>
      </c>
      <c r="G169">
        <v>48.06</v>
      </c>
      <c r="AE169" s="10" t="s">
        <v>162</v>
      </c>
      <c r="AF169">
        <v>18</v>
      </c>
      <c r="AG169">
        <v>2003</v>
      </c>
      <c r="AH169">
        <v>2</v>
      </c>
      <c r="AI169">
        <v>31.564</v>
      </c>
      <c r="AJ169">
        <v>1</v>
      </c>
      <c r="AK169">
        <v>92</v>
      </c>
      <c r="AT169">
        <v>2013</v>
      </c>
      <c r="AU169">
        <v>1</v>
      </c>
      <c r="AV169">
        <v>124.7</v>
      </c>
      <c r="AW169">
        <f t="shared" si="13"/>
        <v>24.700000000000003</v>
      </c>
      <c r="AX169">
        <v>1</v>
      </c>
      <c r="AY169">
        <v>15</v>
      </c>
      <c r="BG169">
        <v>2013</v>
      </c>
      <c r="BH169">
        <v>1</v>
      </c>
      <c r="BI169">
        <v>62.936</v>
      </c>
      <c r="BJ169">
        <v>1</v>
      </c>
      <c r="BK169">
        <v>15</v>
      </c>
      <c r="BU169" s="10" t="s">
        <v>162</v>
      </c>
      <c r="BV169" s="10">
        <v>101</v>
      </c>
      <c r="BW169">
        <v>2001</v>
      </c>
      <c r="BX169">
        <v>1</v>
      </c>
      <c r="BY169">
        <f t="shared" si="14"/>
        <v>-7.597999999999999</v>
      </c>
      <c r="BZ169">
        <v>48.579000000000001</v>
      </c>
      <c r="CA169">
        <v>92.402000000000001</v>
      </c>
      <c r="CI169">
        <v>2001</v>
      </c>
      <c r="CJ169">
        <v>1</v>
      </c>
      <c r="CK169">
        <f t="shared" si="15"/>
        <v>-7.6290000000000049</v>
      </c>
      <c r="CL169">
        <v>48.561999999999998</v>
      </c>
      <c r="CM169">
        <v>92.370999999999995</v>
      </c>
    </row>
    <row r="170" spans="5:91" x14ac:dyDescent="0.2">
      <c r="E170">
        <v>2003</v>
      </c>
      <c r="F170">
        <v>3</v>
      </c>
      <c r="G170">
        <v>48.055999999999997</v>
      </c>
      <c r="AE170" s="10" t="s">
        <v>162</v>
      </c>
      <c r="AF170">
        <v>18</v>
      </c>
      <c r="AG170">
        <v>2003</v>
      </c>
      <c r="AH170">
        <v>3</v>
      </c>
      <c r="AI170">
        <v>33.353999999999999</v>
      </c>
      <c r="AJ170">
        <v>0</v>
      </c>
      <c r="AK170">
        <v>0</v>
      </c>
      <c r="AT170">
        <v>2013</v>
      </c>
      <c r="AU170">
        <v>2</v>
      </c>
      <c r="AV170">
        <v>129.13</v>
      </c>
      <c r="AW170">
        <f t="shared" si="13"/>
        <v>29.129999999999995</v>
      </c>
      <c r="AX170">
        <v>0</v>
      </c>
      <c r="AY170">
        <v>0</v>
      </c>
      <c r="BG170">
        <v>2013</v>
      </c>
      <c r="BH170">
        <v>2</v>
      </c>
      <c r="BI170">
        <v>65.328000000000003</v>
      </c>
      <c r="BJ170">
        <v>0</v>
      </c>
      <c r="BK170">
        <v>0</v>
      </c>
      <c r="BU170" s="10" t="s">
        <v>162</v>
      </c>
      <c r="BV170" s="10">
        <v>101</v>
      </c>
      <c r="BW170">
        <v>2001</v>
      </c>
      <c r="BX170">
        <v>2</v>
      </c>
      <c r="BY170">
        <f t="shared" si="14"/>
        <v>-7.5330000000000013</v>
      </c>
      <c r="BZ170">
        <v>48.198999999999998</v>
      </c>
      <c r="CA170">
        <v>92.466999999999999</v>
      </c>
      <c r="CI170">
        <v>2001</v>
      </c>
      <c r="CJ170">
        <v>2</v>
      </c>
      <c r="CK170">
        <f t="shared" si="15"/>
        <v>-7.563999999999993</v>
      </c>
      <c r="CL170">
        <v>48.183</v>
      </c>
      <c r="CM170">
        <v>92.436000000000007</v>
      </c>
    </row>
    <row r="171" spans="5:91" x14ac:dyDescent="0.2">
      <c r="E171">
        <v>2003</v>
      </c>
      <c r="F171">
        <v>4</v>
      </c>
      <c r="G171">
        <v>47.664999999999999</v>
      </c>
      <c r="AE171" s="10" t="s">
        <v>162</v>
      </c>
      <c r="AF171">
        <v>18</v>
      </c>
      <c r="AG171">
        <v>2003</v>
      </c>
      <c r="AH171">
        <v>4</v>
      </c>
      <c r="AI171">
        <v>38.323999999999998</v>
      </c>
      <c r="AJ171">
        <v>1</v>
      </c>
      <c r="AK171">
        <v>60</v>
      </c>
      <c r="AT171">
        <v>2013</v>
      </c>
      <c r="AU171">
        <v>3</v>
      </c>
      <c r="AV171">
        <v>128.74100000000001</v>
      </c>
      <c r="AW171">
        <f t="shared" si="13"/>
        <v>28.741000000000014</v>
      </c>
      <c r="AX171">
        <v>1</v>
      </c>
      <c r="AY171">
        <v>4</v>
      </c>
      <c r="BG171">
        <v>2013</v>
      </c>
      <c r="BH171">
        <v>3</v>
      </c>
      <c r="BI171">
        <v>65.149000000000001</v>
      </c>
      <c r="BJ171">
        <v>1</v>
      </c>
      <c r="BK171">
        <v>4</v>
      </c>
      <c r="BU171" s="10" t="s">
        <v>162</v>
      </c>
      <c r="BV171" s="10">
        <v>101</v>
      </c>
      <c r="BW171">
        <v>2001</v>
      </c>
      <c r="BX171">
        <v>3</v>
      </c>
      <c r="BY171">
        <f t="shared" si="14"/>
        <v>-4.8100000000000023</v>
      </c>
      <c r="BZ171">
        <v>50.076999999999998</v>
      </c>
      <c r="CA171">
        <v>95.19</v>
      </c>
      <c r="CI171">
        <v>2001</v>
      </c>
      <c r="CJ171">
        <v>3</v>
      </c>
      <c r="CK171">
        <f t="shared" si="15"/>
        <v>-4.8460000000000036</v>
      </c>
      <c r="CL171">
        <v>50.054000000000002</v>
      </c>
      <c r="CM171">
        <v>95.153999999999996</v>
      </c>
    </row>
    <row r="172" spans="5:91" x14ac:dyDescent="0.2">
      <c r="E172">
        <v>2003</v>
      </c>
      <c r="F172">
        <v>5</v>
      </c>
      <c r="G172">
        <v>44.963999999999999</v>
      </c>
      <c r="AE172" s="10" t="s">
        <v>162</v>
      </c>
      <c r="AF172">
        <v>18</v>
      </c>
      <c r="AG172">
        <v>2003</v>
      </c>
      <c r="AH172">
        <v>5</v>
      </c>
      <c r="AI172">
        <v>32.536000000000001</v>
      </c>
      <c r="AJ172">
        <v>1</v>
      </c>
      <c r="AK172">
        <v>92</v>
      </c>
      <c r="AT172">
        <v>2013</v>
      </c>
      <c r="AU172">
        <v>4</v>
      </c>
      <c r="AV172">
        <v>122.184</v>
      </c>
      <c r="AW172">
        <f t="shared" si="13"/>
        <v>22.183999999999997</v>
      </c>
      <c r="AX172">
        <v>0</v>
      </c>
      <c r="AY172">
        <v>0</v>
      </c>
      <c r="BG172">
        <v>2013</v>
      </c>
      <c r="BH172">
        <v>4</v>
      </c>
      <c r="BI172">
        <v>61.832000000000001</v>
      </c>
      <c r="BJ172">
        <v>0</v>
      </c>
      <c r="BK172">
        <v>0</v>
      </c>
      <c r="BU172" s="10" t="s">
        <v>162</v>
      </c>
      <c r="BV172" s="10">
        <v>101</v>
      </c>
      <c r="BW172">
        <v>2001</v>
      </c>
      <c r="BX172">
        <v>4</v>
      </c>
      <c r="BY172">
        <f t="shared" si="14"/>
        <v>-6.4039999999999964</v>
      </c>
      <c r="BZ172">
        <v>49.448</v>
      </c>
      <c r="CA172">
        <v>93.596000000000004</v>
      </c>
      <c r="CI172">
        <v>2001</v>
      </c>
      <c r="CJ172">
        <v>4</v>
      </c>
      <c r="CK172">
        <f t="shared" si="15"/>
        <v>-6.4369999999999976</v>
      </c>
      <c r="CL172">
        <v>49.430999999999997</v>
      </c>
      <c r="CM172">
        <v>93.563000000000002</v>
      </c>
    </row>
    <row r="173" spans="5:91" x14ac:dyDescent="0.2">
      <c r="E173">
        <v>2003</v>
      </c>
      <c r="F173">
        <v>6</v>
      </c>
      <c r="G173">
        <v>44.956000000000003</v>
      </c>
      <c r="AE173" s="10" t="s">
        <v>162</v>
      </c>
      <c r="AF173">
        <v>18</v>
      </c>
      <c r="AG173">
        <v>2003</v>
      </c>
      <c r="AH173">
        <v>6</v>
      </c>
      <c r="AI173">
        <v>38.670999999999999</v>
      </c>
      <c r="AJ173">
        <v>1</v>
      </c>
      <c r="AK173">
        <v>40</v>
      </c>
      <c r="AT173">
        <v>2013</v>
      </c>
      <c r="AU173">
        <v>5</v>
      </c>
      <c r="AV173">
        <v>112.607</v>
      </c>
      <c r="AW173">
        <f t="shared" si="13"/>
        <v>12.606999999999999</v>
      </c>
      <c r="AX173">
        <v>1</v>
      </c>
      <c r="AY173">
        <v>4</v>
      </c>
      <c r="BG173">
        <v>2013</v>
      </c>
      <c r="BH173">
        <v>5</v>
      </c>
      <c r="BI173">
        <v>56.673999999999999</v>
      </c>
      <c r="BJ173">
        <v>1</v>
      </c>
      <c r="BK173">
        <v>4</v>
      </c>
      <c r="BU173" s="10" t="s">
        <v>162</v>
      </c>
      <c r="BV173" s="10">
        <v>101</v>
      </c>
      <c r="BW173">
        <v>2001</v>
      </c>
      <c r="BX173">
        <v>5</v>
      </c>
      <c r="BY173">
        <f t="shared" si="14"/>
        <v>-7.0360000000000014</v>
      </c>
      <c r="BZ173">
        <v>49.082999999999998</v>
      </c>
      <c r="CA173">
        <v>92.963999999999999</v>
      </c>
      <c r="CI173">
        <v>2001</v>
      </c>
      <c r="CJ173">
        <v>5</v>
      </c>
      <c r="CK173">
        <f t="shared" si="15"/>
        <v>-7.0690000000000026</v>
      </c>
      <c r="CL173">
        <v>49.067</v>
      </c>
      <c r="CM173">
        <v>92.930999999999997</v>
      </c>
    </row>
    <row r="174" spans="5:91" x14ac:dyDescent="0.2">
      <c r="E174">
        <v>2003</v>
      </c>
      <c r="F174">
        <v>7</v>
      </c>
      <c r="G174">
        <v>43.932000000000002</v>
      </c>
      <c r="AE174" s="10" t="s">
        <v>162</v>
      </c>
      <c r="AF174">
        <v>18</v>
      </c>
      <c r="AG174">
        <v>2003</v>
      </c>
      <c r="AH174">
        <v>7</v>
      </c>
      <c r="AI174">
        <v>34.259</v>
      </c>
      <c r="AJ174">
        <v>2</v>
      </c>
      <c r="AK174">
        <v>152</v>
      </c>
      <c r="BU174" s="10" t="s">
        <v>162</v>
      </c>
      <c r="BV174" s="10">
        <v>101</v>
      </c>
      <c r="BW174">
        <v>2001</v>
      </c>
      <c r="BX174">
        <v>6</v>
      </c>
      <c r="BY174">
        <f t="shared" si="14"/>
        <v>-7.2759999999999962</v>
      </c>
      <c r="BZ174">
        <v>48.893000000000001</v>
      </c>
      <c r="CA174">
        <v>92.724000000000004</v>
      </c>
      <c r="CI174">
        <v>2001</v>
      </c>
      <c r="CJ174">
        <v>6</v>
      </c>
      <c r="CK174">
        <f t="shared" si="15"/>
        <v>-7.3080000000000069</v>
      </c>
      <c r="CL174">
        <v>48.877000000000002</v>
      </c>
      <c r="CM174">
        <v>92.691999999999993</v>
      </c>
    </row>
    <row r="175" spans="5:91" x14ac:dyDescent="0.2">
      <c r="E175">
        <v>2003</v>
      </c>
      <c r="F175">
        <v>8</v>
      </c>
      <c r="G175">
        <v>37.820999999999998</v>
      </c>
      <c r="AE175" s="10" t="s">
        <v>162</v>
      </c>
      <c r="AF175">
        <v>18</v>
      </c>
      <c r="AG175">
        <v>2003</v>
      </c>
      <c r="AH175">
        <v>8</v>
      </c>
      <c r="AI175">
        <v>31.087</v>
      </c>
      <c r="AJ175">
        <v>2</v>
      </c>
      <c r="AK175">
        <v>12</v>
      </c>
      <c r="BU175" s="10" t="s">
        <v>162</v>
      </c>
      <c r="BV175" s="10">
        <v>101</v>
      </c>
      <c r="BW175">
        <v>2001</v>
      </c>
      <c r="BX175">
        <v>7</v>
      </c>
      <c r="BY175">
        <f t="shared" si="14"/>
        <v>-10.091999999999999</v>
      </c>
      <c r="BZ175">
        <v>46.88</v>
      </c>
      <c r="CA175">
        <v>89.908000000000001</v>
      </c>
      <c r="CI175">
        <v>2001</v>
      </c>
      <c r="CJ175">
        <v>7</v>
      </c>
      <c r="CK175">
        <f t="shared" si="15"/>
        <v>-10.117999999999995</v>
      </c>
      <c r="CL175">
        <v>46.868000000000002</v>
      </c>
      <c r="CM175">
        <v>89.882000000000005</v>
      </c>
    </row>
    <row r="176" spans="5:91" x14ac:dyDescent="0.2">
      <c r="E176">
        <v>2003</v>
      </c>
      <c r="F176">
        <v>9</v>
      </c>
      <c r="G176">
        <v>44.951000000000001</v>
      </c>
      <c r="AE176" s="10" t="s">
        <v>162</v>
      </c>
      <c r="AF176">
        <v>18</v>
      </c>
      <c r="AG176">
        <v>2003</v>
      </c>
      <c r="AH176">
        <v>9</v>
      </c>
      <c r="AI176">
        <v>33.594999999999999</v>
      </c>
      <c r="AJ176">
        <v>4</v>
      </c>
      <c r="AK176">
        <v>195</v>
      </c>
      <c r="BU176" s="10" t="s">
        <v>162</v>
      </c>
      <c r="BV176" s="10">
        <v>101</v>
      </c>
      <c r="BW176">
        <v>2001</v>
      </c>
      <c r="BX176">
        <v>8</v>
      </c>
      <c r="BY176">
        <f t="shared" si="14"/>
        <v>-10.956000000000003</v>
      </c>
      <c r="BZ176">
        <v>46.167000000000002</v>
      </c>
      <c r="CA176">
        <v>89.043999999999997</v>
      </c>
      <c r="CI176">
        <v>2001</v>
      </c>
      <c r="CJ176">
        <v>8</v>
      </c>
      <c r="CK176">
        <f t="shared" si="15"/>
        <v>-10.980000000000004</v>
      </c>
      <c r="CL176">
        <v>46.155999999999999</v>
      </c>
      <c r="CM176">
        <v>89.02</v>
      </c>
    </row>
    <row r="177" spans="5:91" x14ac:dyDescent="0.2">
      <c r="E177">
        <v>2003</v>
      </c>
      <c r="F177">
        <v>10</v>
      </c>
      <c r="G177">
        <v>49.204999999999998</v>
      </c>
      <c r="AE177" s="10" t="s">
        <v>162</v>
      </c>
      <c r="AF177">
        <v>18</v>
      </c>
      <c r="AG177">
        <v>2003</v>
      </c>
      <c r="AH177">
        <v>10</v>
      </c>
      <c r="AI177">
        <v>36.17</v>
      </c>
      <c r="AJ177">
        <v>0</v>
      </c>
      <c r="AK177">
        <v>0</v>
      </c>
      <c r="BU177" s="10" t="s">
        <v>162</v>
      </c>
      <c r="BV177" s="10">
        <v>101</v>
      </c>
      <c r="BW177">
        <v>2001</v>
      </c>
      <c r="BX177">
        <v>9</v>
      </c>
      <c r="BY177">
        <f t="shared" si="14"/>
        <v>-12.352000000000004</v>
      </c>
      <c r="BZ177">
        <v>45.631999999999998</v>
      </c>
      <c r="CA177">
        <v>87.647999999999996</v>
      </c>
      <c r="CI177">
        <v>2001</v>
      </c>
      <c r="CJ177">
        <v>9</v>
      </c>
      <c r="CK177">
        <f t="shared" si="15"/>
        <v>-12.373000000000005</v>
      </c>
      <c r="CL177">
        <v>45.621000000000002</v>
      </c>
      <c r="CM177">
        <v>87.626999999999995</v>
      </c>
    </row>
    <row r="178" spans="5:91" x14ac:dyDescent="0.2">
      <c r="E178">
        <v>2003</v>
      </c>
      <c r="F178">
        <v>11</v>
      </c>
      <c r="G178">
        <v>49.228999999999999</v>
      </c>
      <c r="AE178" s="10" t="s">
        <v>162</v>
      </c>
      <c r="AF178">
        <v>18</v>
      </c>
      <c r="AG178">
        <v>2003</v>
      </c>
      <c r="AH178">
        <v>11</v>
      </c>
      <c r="AI178">
        <v>35.197000000000003</v>
      </c>
      <c r="AJ178">
        <v>1</v>
      </c>
      <c r="AK178">
        <v>92</v>
      </c>
      <c r="BU178" s="10" t="s">
        <v>162</v>
      </c>
      <c r="BV178" s="10">
        <v>101</v>
      </c>
      <c r="BW178">
        <v>2001</v>
      </c>
      <c r="BX178">
        <v>10</v>
      </c>
      <c r="BY178">
        <f t="shared" si="14"/>
        <v>-14.497</v>
      </c>
      <c r="BZ178">
        <v>44.429000000000002</v>
      </c>
      <c r="CA178">
        <v>85.503</v>
      </c>
      <c r="CI178">
        <v>2001</v>
      </c>
      <c r="CJ178">
        <v>10</v>
      </c>
      <c r="CK178">
        <f t="shared" si="15"/>
        <v>-14.516000000000005</v>
      </c>
      <c r="CL178">
        <v>44.421999999999997</v>
      </c>
      <c r="CM178">
        <v>85.483999999999995</v>
      </c>
    </row>
    <row r="179" spans="5:91" x14ac:dyDescent="0.2">
      <c r="E179">
        <v>2003</v>
      </c>
      <c r="F179">
        <v>12</v>
      </c>
      <c r="G179">
        <v>51.567</v>
      </c>
      <c r="AE179" s="10" t="s">
        <v>162</v>
      </c>
      <c r="AF179">
        <v>18</v>
      </c>
      <c r="AG179">
        <v>2003</v>
      </c>
      <c r="AH179">
        <v>12</v>
      </c>
      <c r="AI179">
        <v>38.359000000000002</v>
      </c>
      <c r="AJ179">
        <v>3</v>
      </c>
      <c r="AK179">
        <v>192</v>
      </c>
      <c r="BU179" s="10" t="s">
        <v>162</v>
      </c>
      <c r="BV179" s="10">
        <v>101</v>
      </c>
      <c r="BW179">
        <v>2001</v>
      </c>
      <c r="BX179">
        <v>11</v>
      </c>
      <c r="BY179">
        <f t="shared" si="14"/>
        <v>-15.251000000000005</v>
      </c>
      <c r="BZ179">
        <v>43.875</v>
      </c>
      <c r="CA179">
        <v>84.748999999999995</v>
      </c>
      <c r="CI179">
        <v>2001</v>
      </c>
      <c r="CJ179">
        <v>11</v>
      </c>
      <c r="CK179">
        <f t="shared" si="15"/>
        <v>-15.269000000000005</v>
      </c>
      <c r="CL179">
        <v>43.869</v>
      </c>
      <c r="CM179">
        <v>84.730999999999995</v>
      </c>
    </row>
    <row r="180" spans="5:91" x14ac:dyDescent="0.2">
      <c r="E180">
        <v>2004</v>
      </c>
      <c r="F180">
        <v>1</v>
      </c>
      <c r="G180">
        <v>51.518000000000001</v>
      </c>
      <c r="AE180" s="10" t="s">
        <v>162</v>
      </c>
      <c r="AF180">
        <v>18</v>
      </c>
      <c r="AG180">
        <v>2004</v>
      </c>
      <c r="AH180">
        <v>1</v>
      </c>
      <c r="AI180">
        <v>39.03</v>
      </c>
      <c r="AJ180">
        <v>0</v>
      </c>
      <c r="AK180">
        <v>0</v>
      </c>
      <c r="BU180" s="10" t="s">
        <v>162</v>
      </c>
      <c r="BV180" s="10">
        <v>101</v>
      </c>
      <c r="BW180">
        <v>2001</v>
      </c>
      <c r="BX180">
        <v>12</v>
      </c>
      <c r="BY180">
        <f t="shared" si="14"/>
        <v>-17.855000000000004</v>
      </c>
      <c r="BZ180">
        <v>42.122</v>
      </c>
      <c r="CA180">
        <v>82.144999999999996</v>
      </c>
      <c r="CI180">
        <v>2001</v>
      </c>
      <c r="CJ180">
        <v>12</v>
      </c>
      <c r="CK180">
        <f t="shared" si="15"/>
        <v>-17.867000000000004</v>
      </c>
      <c r="CL180">
        <v>42.119</v>
      </c>
      <c r="CM180">
        <v>82.132999999999996</v>
      </c>
    </row>
    <row r="181" spans="5:91" x14ac:dyDescent="0.2">
      <c r="E181">
        <v>2004</v>
      </c>
      <c r="F181">
        <v>2</v>
      </c>
      <c r="G181">
        <v>51.542999999999999</v>
      </c>
      <c r="AE181" s="10" t="s">
        <v>162</v>
      </c>
      <c r="AF181">
        <v>18</v>
      </c>
      <c r="AG181">
        <v>2004</v>
      </c>
      <c r="AH181">
        <v>2</v>
      </c>
      <c r="AI181">
        <v>36.630000000000003</v>
      </c>
      <c r="AJ181">
        <v>1</v>
      </c>
      <c r="AK181">
        <v>92</v>
      </c>
      <c r="BU181" s="10" t="s">
        <v>162</v>
      </c>
      <c r="BV181" s="10">
        <v>101</v>
      </c>
      <c r="BW181">
        <v>2002</v>
      </c>
      <c r="BX181">
        <v>1</v>
      </c>
      <c r="BY181">
        <f t="shared" si="14"/>
        <v>-18.751000000000005</v>
      </c>
      <c r="BZ181">
        <v>41.435000000000002</v>
      </c>
      <c r="CA181">
        <v>81.248999999999995</v>
      </c>
      <c r="CI181">
        <v>2002</v>
      </c>
      <c r="CJ181">
        <v>1</v>
      </c>
      <c r="CK181">
        <f t="shared" si="15"/>
        <v>-18.762</v>
      </c>
      <c r="CL181">
        <v>41.432000000000002</v>
      </c>
      <c r="CM181">
        <v>81.238</v>
      </c>
    </row>
    <row r="182" spans="5:91" x14ac:dyDescent="0.2">
      <c r="E182">
        <v>2004</v>
      </c>
      <c r="F182">
        <v>3</v>
      </c>
      <c r="G182">
        <v>51.220999999999997</v>
      </c>
      <c r="AE182" s="10" t="s">
        <v>162</v>
      </c>
      <c r="AF182">
        <v>18</v>
      </c>
      <c r="AG182">
        <v>2004</v>
      </c>
      <c r="AH182">
        <v>3</v>
      </c>
      <c r="AI182">
        <v>43.075000000000003</v>
      </c>
      <c r="AJ182">
        <v>1</v>
      </c>
      <c r="AK182">
        <v>60</v>
      </c>
      <c r="BU182" s="10" t="s">
        <v>162</v>
      </c>
      <c r="BV182" s="10">
        <v>101</v>
      </c>
      <c r="BW182">
        <v>2002</v>
      </c>
      <c r="BX182">
        <v>2</v>
      </c>
      <c r="BY182">
        <f t="shared" si="14"/>
        <v>-19.658000000000001</v>
      </c>
      <c r="BZ182">
        <v>40.765999999999998</v>
      </c>
      <c r="CA182">
        <v>80.341999999999999</v>
      </c>
      <c r="CI182">
        <v>2002</v>
      </c>
      <c r="CJ182">
        <v>2</v>
      </c>
      <c r="CK182">
        <f t="shared" si="15"/>
        <v>-19.668000000000006</v>
      </c>
      <c r="CL182">
        <v>40.764000000000003</v>
      </c>
      <c r="CM182">
        <v>80.331999999999994</v>
      </c>
    </row>
    <row r="183" spans="5:91" x14ac:dyDescent="0.2">
      <c r="E183">
        <v>2004</v>
      </c>
      <c r="F183">
        <v>4</v>
      </c>
      <c r="G183">
        <v>50.354999999999997</v>
      </c>
      <c r="AE183" s="10" t="s">
        <v>162</v>
      </c>
      <c r="AF183">
        <v>18</v>
      </c>
      <c r="AG183">
        <v>2004</v>
      </c>
      <c r="AH183">
        <v>4</v>
      </c>
      <c r="AI183">
        <v>42.027999999999999</v>
      </c>
      <c r="AJ183">
        <v>0</v>
      </c>
      <c r="AK183">
        <v>0</v>
      </c>
      <c r="BU183" s="10" t="s">
        <v>162</v>
      </c>
      <c r="BV183" s="10">
        <v>101</v>
      </c>
      <c r="BW183">
        <v>2002</v>
      </c>
      <c r="BX183">
        <v>3</v>
      </c>
      <c r="BY183">
        <f t="shared" si="14"/>
        <v>-18.457999999999998</v>
      </c>
      <c r="BZ183">
        <v>41.378</v>
      </c>
      <c r="CA183">
        <v>81.542000000000002</v>
      </c>
      <c r="CI183">
        <v>2002</v>
      </c>
      <c r="CJ183">
        <v>3</v>
      </c>
      <c r="CK183">
        <f t="shared" si="15"/>
        <v>-18.468999999999994</v>
      </c>
      <c r="CL183">
        <v>41.372</v>
      </c>
      <c r="CM183">
        <v>81.531000000000006</v>
      </c>
    </row>
    <row r="184" spans="5:91" x14ac:dyDescent="0.2">
      <c r="E184">
        <v>2004</v>
      </c>
      <c r="F184">
        <v>5</v>
      </c>
      <c r="G184">
        <v>50.359000000000002</v>
      </c>
      <c r="AE184" s="10" t="s">
        <v>162</v>
      </c>
      <c r="AF184">
        <v>18</v>
      </c>
      <c r="AG184">
        <v>2004</v>
      </c>
      <c r="AH184">
        <v>5</v>
      </c>
      <c r="AI184">
        <v>39.387</v>
      </c>
      <c r="AJ184">
        <v>2</v>
      </c>
      <c r="AK184">
        <v>104</v>
      </c>
      <c r="BU184" s="10" t="s">
        <v>162</v>
      </c>
      <c r="BV184" s="10">
        <v>101</v>
      </c>
      <c r="BW184">
        <v>2002</v>
      </c>
      <c r="BX184">
        <v>4</v>
      </c>
      <c r="BY184">
        <f t="shared" si="14"/>
        <v>-16.319999999999993</v>
      </c>
      <c r="BZ184">
        <v>42.494</v>
      </c>
      <c r="CA184">
        <v>83.68</v>
      </c>
      <c r="CI184">
        <v>2002</v>
      </c>
      <c r="CJ184">
        <v>4</v>
      </c>
      <c r="CK184">
        <f t="shared" si="15"/>
        <v>-16.335999999999999</v>
      </c>
      <c r="CL184">
        <v>42.484999999999999</v>
      </c>
      <c r="CM184">
        <v>83.664000000000001</v>
      </c>
    </row>
    <row r="185" spans="5:91" x14ac:dyDescent="0.2">
      <c r="E185">
        <v>2004</v>
      </c>
      <c r="F185">
        <v>6</v>
      </c>
      <c r="G185">
        <v>51.606000000000002</v>
      </c>
      <c r="AE185" s="10" t="s">
        <v>162</v>
      </c>
      <c r="AF185">
        <v>18</v>
      </c>
      <c r="AG185">
        <v>2004</v>
      </c>
      <c r="AH185">
        <v>6</v>
      </c>
      <c r="AI185">
        <v>44.268999999999998</v>
      </c>
      <c r="AJ185">
        <v>3</v>
      </c>
      <c r="AK185">
        <v>109</v>
      </c>
      <c r="BU185" s="10" t="s">
        <v>162</v>
      </c>
      <c r="BV185" s="10">
        <v>101</v>
      </c>
      <c r="BW185">
        <v>2002</v>
      </c>
      <c r="BX185">
        <v>5</v>
      </c>
      <c r="BY185">
        <f t="shared" si="14"/>
        <v>-17.024000000000001</v>
      </c>
      <c r="BZ185">
        <v>42.26</v>
      </c>
      <c r="CA185">
        <v>82.975999999999999</v>
      </c>
      <c r="CI185">
        <v>2002</v>
      </c>
      <c r="CJ185">
        <v>5</v>
      </c>
      <c r="CK185">
        <f t="shared" si="15"/>
        <v>-17.037999999999997</v>
      </c>
      <c r="CL185">
        <v>42.253</v>
      </c>
      <c r="CM185">
        <v>82.962000000000003</v>
      </c>
    </row>
    <row r="186" spans="5:91" x14ac:dyDescent="0.2">
      <c r="E186">
        <v>2004</v>
      </c>
      <c r="F186">
        <v>7</v>
      </c>
      <c r="G186">
        <v>56.67</v>
      </c>
      <c r="AE186" s="10" t="s">
        <v>162</v>
      </c>
      <c r="AF186">
        <v>18</v>
      </c>
      <c r="AG186">
        <v>2004</v>
      </c>
      <c r="AH186">
        <v>7</v>
      </c>
      <c r="AI186">
        <v>43.15</v>
      </c>
      <c r="AJ186">
        <v>1</v>
      </c>
      <c r="AK186">
        <v>92</v>
      </c>
      <c r="BU186" s="10" t="s">
        <v>162</v>
      </c>
      <c r="BV186" s="10">
        <v>101</v>
      </c>
      <c r="BW186">
        <v>2002</v>
      </c>
      <c r="BX186">
        <v>6</v>
      </c>
      <c r="BY186">
        <f t="shared" si="14"/>
        <v>-18.769999999999996</v>
      </c>
      <c r="BZ186">
        <v>41.42</v>
      </c>
      <c r="CA186">
        <v>81.23</v>
      </c>
      <c r="CI186">
        <v>2002</v>
      </c>
      <c r="CJ186">
        <v>6</v>
      </c>
      <c r="CK186">
        <f t="shared" si="15"/>
        <v>-18.78</v>
      </c>
      <c r="CL186">
        <v>41.414999999999999</v>
      </c>
      <c r="CM186">
        <v>81.22</v>
      </c>
    </row>
    <row r="187" spans="5:91" x14ac:dyDescent="0.2">
      <c r="E187">
        <v>2004</v>
      </c>
      <c r="F187">
        <v>8</v>
      </c>
      <c r="G187">
        <v>56.682000000000002</v>
      </c>
      <c r="AE187" s="10" t="s">
        <v>162</v>
      </c>
      <c r="AF187">
        <v>18</v>
      </c>
      <c r="AG187">
        <v>2004</v>
      </c>
      <c r="AH187">
        <v>8</v>
      </c>
      <c r="AI187">
        <v>43.945</v>
      </c>
      <c r="AJ187">
        <v>0</v>
      </c>
      <c r="AK187">
        <v>0</v>
      </c>
      <c r="BU187" s="10" t="s">
        <v>162</v>
      </c>
      <c r="BV187" s="10">
        <v>101</v>
      </c>
      <c r="BW187">
        <v>2002</v>
      </c>
      <c r="BX187">
        <v>7</v>
      </c>
      <c r="BY187">
        <f t="shared" si="14"/>
        <v>-18.03</v>
      </c>
      <c r="BZ187">
        <v>41.652999999999999</v>
      </c>
      <c r="CA187">
        <v>81.97</v>
      </c>
      <c r="CI187">
        <v>2002</v>
      </c>
      <c r="CJ187">
        <v>7</v>
      </c>
      <c r="CK187">
        <f t="shared" si="15"/>
        <v>-18.042000000000002</v>
      </c>
      <c r="CL187">
        <v>41.646000000000001</v>
      </c>
      <c r="CM187">
        <v>81.957999999999998</v>
      </c>
    </row>
    <row r="188" spans="5:91" x14ac:dyDescent="0.2">
      <c r="E188">
        <v>2004</v>
      </c>
      <c r="F188">
        <v>9</v>
      </c>
      <c r="G188">
        <v>56.682000000000002</v>
      </c>
      <c r="AE188" s="10" t="s">
        <v>162</v>
      </c>
      <c r="AF188">
        <v>18</v>
      </c>
      <c r="AG188">
        <v>2004</v>
      </c>
      <c r="AH188">
        <v>9</v>
      </c>
      <c r="AI188">
        <v>45.912999999999997</v>
      </c>
      <c r="AJ188">
        <v>1</v>
      </c>
      <c r="AK188">
        <v>40</v>
      </c>
      <c r="BU188" s="10" t="s">
        <v>162</v>
      </c>
      <c r="BV188" s="10">
        <v>101</v>
      </c>
      <c r="BW188">
        <v>2002</v>
      </c>
      <c r="BX188">
        <v>8</v>
      </c>
      <c r="BY188">
        <f t="shared" si="14"/>
        <v>-17.712000000000003</v>
      </c>
      <c r="BZ188">
        <v>41.802999999999997</v>
      </c>
      <c r="CA188">
        <v>82.287999999999997</v>
      </c>
      <c r="CI188">
        <v>2002</v>
      </c>
      <c r="CJ188">
        <v>8</v>
      </c>
      <c r="CK188">
        <f t="shared" si="15"/>
        <v>-17.724000000000004</v>
      </c>
      <c r="CL188">
        <v>41.795999999999999</v>
      </c>
      <c r="CM188">
        <v>82.275999999999996</v>
      </c>
    </row>
    <row r="189" spans="5:91" x14ac:dyDescent="0.2">
      <c r="E189">
        <v>2004</v>
      </c>
      <c r="F189">
        <v>10</v>
      </c>
      <c r="G189">
        <v>59.424999999999997</v>
      </c>
      <c r="AE189" s="10" t="s">
        <v>162</v>
      </c>
      <c r="AF189">
        <v>18</v>
      </c>
      <c r="AG189">
        <v>2004</v>
      </c>
      <c r="AH189">
        <v>10</v>
      </c>
      <c r="AI189">
        <v>47.701000000000001</v>
      </c>
      <c r="AJ189">
        <v>2</v>
      </c>
      <c r="AK189">
        <v>152</v>
      </c>
      <c r="BU189" s="10" t="s">
        <v>162</v>
      </c>
      <c r="BV189" s="10">
        <v>101</v>
      </c>
      <c r="BW189">
        <v>2002</v>
      </c>
      <c r="BX189">
        <v>9</v>
      </c>
      <c r="BY189">
        <f t="shared" si="14"/>
        <v>-16.986000000000004</v>
      </c>
      <c r="BZ189">
        <v>42.250999999999998</v>
      </c>
      <c r="CA189">
        <v>83.013999999999996</v>
      </c>
      <c r="CI189">
        <v>2002</v>
      </c>
      <c r="CJ189">
        <v>9</v>
      </c>
      <c r="CK189">
        <f t="shared" si="15"/>
        <v>-16.998999999999995</v>
      </c>
      <c r="CL189">
        <v>42.243000000000002</v>
      </c>
      <c r="CM189">
        <v>83.001000000000005</v>
      </c>
    </row>
    <row r="190" spans="5:91" x14ac:dyDescent="0.2">
      <c r="E190">
        <v>2004</v>
      </c>
      <c r="F190">
        <v>11</v>
      </c>
      <c r="G190">
        <v>59.121000000000002</v>
      </c>
      <c r="AE190" s="10" t="s">
        <v>162</v>
      </c>
      <c r="AF190">
        <v>18</v>
      </c>
      <c r="AG190">
        <v>2004</v>
      </c>
      <c r="AH190">
        <v>11</v>
      </c>
      <c r="AI190">
        <v>51.737000000000002</v>
      </c>
      <c r="AJ190">
        <v>1</v>
      </c>
      <c r="AK190">
        <v>92</v>
      </c>
      <c r="BU190" s="10" t="s">
        <v>162</v>
      </c>
      <c r="BV190" s="10">
        <v>101</v>
      </c>
      <c r="BW190">
        <v>2002</v>
      </c>
      <c r="BX190">
        <v>10</v>
      </c>
      <c r="BY190">
        <f t="shared" si="14"/>
        <v>-18.361999999999995</v>
      </c>
      <c r="BZ190">
        <v>41.668999999999997</v>
      </c>
      <c r="CA190">
        <v>81.638000000000005</v>
      </c>
      <c r="CI190">
        <v>2002</v>
      </c>
      <c r="CJ190">
        <v>10</v>
      </c>
      <c r="CK190">
        <f t="shared" si="15"/>
        <v>-18.373999999999995</v>
      </c>
      <c r="CL190">
        <v>41.664000000000001</v>
      </c>
      <c r="CM190">
        <v>81.626000000000005</v>
      </c>
    </row>
    <row r="191" spans="5:91" x14ac:dyDescent="0.2">
      <c r="E191">
        <v>2004</v>
      </c>
      <c r="F191">
        <v>12</v>
      </c>
      <c r="G191">
        <v>59.152000000000001</v>
      </c>
      <c r="AE191" s="10" t="s">
        <v>162</v>
      </c>
      <c r="AF191">
        <v>18</v>
      </c>
      <c r="AG191">
        <v>2004</v>
      </c>
      <c r="AH191">
        <v>12</v>
      </c>
      <c r="AI191">
        <v>52.344999999999999</v>
      </c>
      <c r="AJ191">
        <v>0</v>
      </c>
      <c r="AK191">
        <v>0</v>
      </c>
      <c r="BU191" s="10" t="s">
        <v>162</v>
      </c>
      <c r="BV191" s="10">
        <v>101</v>
      </c>
      <c r="BW191">
        <v>2002</v>
      </c>
      <c r="BX191">
        <v>11</v>
      </c>
      <c r="BY191">
        <f t="shared" si="14"/>
        <v>-20.308999999999997</v>
      </c>
      <c r="BZ191">
        <v>40.484000000000002</v>
      </c>
      <c r="CA191">
        <v>79.691000000000003</v>
      </c>
      <c r="CI191">
        <v>2002</v>
      </c>
      <c r="CJ191">
        <v>11</v>
      </c>
      <c r="CK191">
        <f t="shared" si="15"/>
        <v>-20.316000000000003</v>
      </c>
      <c r="CL191">
        <v>40.482999999999997</v>
      </c>
      <c r="CM191">
        <v>79.683999999999997</v>
      </c>
    </row>
    <row r="192" spans="5:91" x14ac:dyDescent="0.2">
      <c r="E192">
        <v>2005</v>
      </c>
      <c r="F192">
        <v>1</v>
      </c>
      <c r="G192">
        <v>58.572000000000003</v>
      </c>
      <c r="AE192" s="10" t="s">
        <v>162</v>
      </c>
      <c r="AF192">
        <v>18</v>
      </c>
      <c r="AG192">
        <v>2005</v>
      </c>
      <c r="AH192">
        <v>1</v>
      </c>
      <c r="AI192">
        <v>53.177999999999997</v>
      </c>
      <c r="AJ192">
        <v>2</v>
      </c>
      <c r="AK192">
        <v>152</v>
      </c>
      <c r="BU192" s="10" t="s">
        <v>162</v>
      </c>
      <c r="BV192" s="10">
        <v>101</v>
      </c>
      <c r="BW192">
        <v>2002</v>
      </c>
      <c r="BX192">
        <v>12</v>
      </c>
      <c r="BY192">
        <f t="shared" si="14"/>
        <v>-17.465000000000003</v>
      </c>
      <c r="BZ192">
        <v>41.984000000000002</v>
      </c>
      <c r="CA192">
        <v>82.534999999999997</v>
      </c>
      <c r="CI192">
        <v>2002</v>
      </c>
      <c r="CJ192">
        <v>12</v>
      </c>
      <c r="CK192">
        <f t="shared" si="15"/>
        <v>-17.477999999999994</v>
      </c>
      <c r="CL192">
        <v>41.975999999999999</v>
      </c>
      <c r="CM192">
        <v>82.522000000000006</v>
      </c>
    </row>
    <row r="193" spans="5:91" x14ac:dyDescent="0.2">
      <c r="E193">
        <v>2005</v>
      </c>
      <c r="F193">
        <v>2</v>
      </c>
      <c r="G193">
        <v>58.723999999999997</v>
      </c>
      <c r="AE193" s="10" t="s">
        <v>162</v>
      </c>
      <c r="AF193">
        <v>18</v>
      </c>
      <c r="AG193">
        <v>2005</v>
      </c>
      <c r="AH193">
        <v>2</v>
      </c>
      <c r="AI193">
        <v>56.040999999999997</v>
      </c>
      <c r="AJ193">
        <v>0</v>
      </c>
      <c r="AK193">
        <v>0</v>
      </c>
      <c r="BU193" s="10" t="s">
        <v>162</v>
      </c>
      <c r="BV193" s="10">
        <v>101</v>
      </c>
      <c r="BW193">
        <v>2003</v>
      </c>
      <c r="BX193">
        <v>1</v>
      </c>
      <c r="BY193">
        <f t="shared" si="14"/>
        <v>-18.049999999999997</v>
      </c>
      <c r="BZ193">
        <v>41.853999999999999</v>
      </c>
      <c r="CA193">
        <v>81.95</v>
      </c>
      <c r="CI193">
        <v>2003</v>
      </c>
      <c r="CJ193">
        <v>1</v>
      </c>
      <c r="CK193">
        <f t="shared" si="15"/>
        <v>-18.061999999999998</v>
      </c>
      <c r="CL193">
        <v>41.847000000000001</v>
      </c>
      <c r="CM193">
        <v>81.938000000000002</v>
      </c>
    </row>
    <row r="194" spans="5:91" x14ac:dyDescent="0.2">
      <c r="E194">
        <v>2005</v>
      </c>
      <c r="F194">
        <v>3</v>
      </c>
      <c r="G194">
        <v>65.563999999999993</v>
      </c>
      <c r="AE194" s="10" t="s">
        <v>162</v>
      </c>
      <c r="AF194">
        <v>18</v>
      </c>
      <c r="AG194">
        <v>2005</v>
      </c>
      <c r="AH194">
        <v>3</v>
      </c>
      <c r="AI194">
        <v>57.801000000000002</v>
      </c>
      <c r="AJ194">
        <v>3</v>
      </c>
      <c r="AK194">
        <v>137</v>
      </c>
      <c r="BU194" s="10" t="s">
        <v>162</v>
      </c>
      <c r="BV194" s="10">
        <v>101</v>
      </c>
      <c r="BW194">
        <v>2003</v>
      </c>
      <c r="BX194">
        <v>2</v>
      </c>
      <c r="BY194">
        <f t="shared" si="14"/>
        <v>-19.430000000000007</v>
      </c>
      <c r="BZ194">
        <v>40.963000000000001</v>
      </c>
      <c r="CA194">
        <v>80.569999999999993</v>
      </c>
      <c r="CI194">
        <v>2003</v>
      </c>
      <c r="CJ194">
        <v>2</v>
      </c>
      <c r="CK194">
        <f t="shared" si="15"/>
        <v>-19.439999999999998</v>
      </c>
      <c r="CL194">
        <v>40.96</v>
      </c>
      <c r="CM194">
        <v>80.56</v>
      </c>
    </row>
    <row r="195" spans="5:91" x14ac:dyDescent="0.2">
      <c r="E195">
        <v>2005</v>
      </c>
      <c r="F195">
        <v>4</v>
      </c>
      <c r="G195">
        <v>70.269000000000005</v>
      </c>
      <c r="AE195" s="10" t="s">
        <v>162</v>
      </c>
      <c r="AF195">
        <v>18</v>
      </c>
      <c r="AG195">
        <v>2005</v>
      </c>
      <c r="AH195">
        <v>4</v>
      </c>
      <c r="AI195">
        <v>56.456000000000003</v>
      </c>
      <c r="AJ195">
        <v>2</v>
      </c>
      <c r="AK195">
        <v>104</v>
      </c>
      <c r="BU195" s="10" t="s">
        <v>162</v>
      </c>
      <c r="BV195" s="10">
        <v>101</v>
      </c>
      <c r="BW195">
        <v>2003</v>
      </c>
      <c r="BX195">
        <v>3</v>
      </c>
      <c r="BY195">
        <f t="shared" ref="BY195:BY258" si="16">CA195-100</f>
        <v>-19.495999999999995</v>
      </c>
      <c r="BZ195">
        <v>40.822000000000003</v>
      </c>
      <c r="CA195">
        <v>80.504000000000005</v>
      </c>
      <c r="CI195">
        <v>2003</v>
      </c>
      <c r="CJ195">
        <v>3</v>
      </c>
      <c r="CK195">
        <f t="shared" ref="CK195:CK258" si="17">CM195-100</f>
        <v>-19.506</v>
      </c>
      <c r="CL195">
        <v>40.817999999999998</v>
      </c>
      <c r="CM195">
        <v>80.494</v>
      </c>
    </row>
    <row r="196" spans="5:91" x14ac:dyDescent="0.2">
      <c r="E196">
        <v>2005</v>
      </c>
      <c r="F196">
        <v>5</v>
      </c>
      <c r="G196">
        <v>60.515999999999998</v>
      </c>
      <c r="AE196" s="10" t="s">
        <v>162</v>
      </c>
      <c r="AF196">
        <v>18</v>
      </c>
      <c r="AG196">
        <v>2005</v>
      </c>
      <c r="AH196">
        <v>5</v>
      </c>
      <c r="AI196">
        <v>57.712000000000003</v>
      </c>
      <c r="AJ196">
        <v>3</v>
      </c>
      <c r="AK196">
        <v>164</v>
      </c>
      <c r="BU196" s="10" t="s">
        <v>162</v>
      </c>
      <c r="BV196" s="10">
        <v>101</v>
      </c>
      <c r="BW196">
        <v>2003</v>
      </c>
      <c r="BX196">
        <v>4</v>
      </c>
      <c r="BY196">
        <f t="shared" si="16"/>
        <v>-19.486000000000004</v>
      </c>
      <c r="BZ196">
        <v>40.796999999999997</v>
      </c>
      <c r="CA196">
        <v>80.513999999999996</v>
      </c>
      <c r="CI196">
        <v>2003</v>
      </c>
      <c r="CJ196">
        <v>4</v>
      </c>
      <c r="CK196">
        <f t="shared" si="17"/>
        <v>-19.495999999999995</v>
      </c>
      <c r="CL196">
        <v>40.792000000000002</v>
      </c>
      <c r="CM196">
        <v>80.504000000000005</v>
      </c>
    </row>
    <row r="197" spans="5:91" x14ac:dyDescent="0.2">
      <c r="E197">
        <v>2005</v>
      </c>
      <c r="F197">
        <v>6</v>
      </c>
      <c r="G197">
        <v>60.774000000000001</v>
      </c>
      <c r="AE197" s="10" t="s">
        <v>162</v>
      </c>
      <c r="AF197">
        <v>18</v>
      </c>
      <c r="AG197">
        <v>2005</v>
      </c>
      <c r="AH197">
        <v>6</v>
      </c>
      <c r="AI197">
        <v>58.043999999999997</v>
      </c>
      <c r="AJ197">
        <v>2</v>
      </c>
      <c r="AK197">
        <v>132</v>
      </c>
      <c r="BU197" s="10" t="s">
        <v>162</v>
      </c>
      <c r="BV197" s="10">
        <v>101</v>
      </c>
      <c r="BW197">
        <v>2003</v>
      </c>
      <c r="BX197">
        <v>5</v>
      </c>
      <c r="BY197">
        <f t="shared" si="16"/>
        <v>-19.207999999999998</v>
      </c>
      <c r="BZ197">
        <v>40.948</v>
      </c>
      <c r="CA197">
        <v>80.792000000000002</v>
      </c>
      <c r="CI197">
        <v>2003</v>
      </c>
      <c r="CJ197">
        <v>5</v>
      </c>
      <c r="CK197">
        <f t="shared" si="17"/>
        <v>-19.218999999999994</v>
      </c>
      <c r="CL197">
        <v>40.942999999999998</v>
      </c>
      <c r="CM197">
        <v>80.781000000000006</v>
      </c>
    </row>
    <row r="198" spans="5:91" x14ac:dyDescent="0.2">
      <c r="E198">
        <v>2005</v>
      </c>
      <c r="F198">
        <v>7</v>
      </c>
      <c r="G198">
        <v>61.603999999999999</v>
      </c>
      <c r="AE198" s="10" t="s">
        <v>162</v>
      </c>
      <c r="AF198">
        <v>18</v>
      </c>
      <c r="AG198">
        <v>2005</v>
      </c>
      <c r="AH198">
        <v>7</v>
      </c>
      <c r="AI198">
        <v>56.43</v>
      </c>
      <c r="AJ198">
        <v>1</v>
      </c>
      <c r="AK198">
        <v>60</v>
      </c>
      <c r="BU198" s="10" t="s">
        <v>162</v>
      </c>
      <c r="BV198" s="10">
        <v>101</v>
      </c>
      <c r="BW198">
        <v>2003</v>
      </c>
      <c r="BX198">
        <v>6</v>
      </c>
      <c r="BY198">
        <f t="shared" si="16"/>
        <v>-15.971000000000004</v>
      </c>
      <c r="BZ198">
        <v>42.911999999999999</v>
      </c>
      <c r="CA198">
        <v>84.028999999999996</v>
      </c>
      <c r="CI198">
        <v>2003</v>
      </c>
      <c r="CJ198">
        <v>6</v>
      </c>
      <c r="CK198">
        <f t="shared" si="17"/>
        <v>-15.986999999999995</v>
      </c>
      <c r="CL198">
        <v>42.9</v>
      </c>
      <c r="CM198">
        <v>84.013000000000005</v>
      </c>
    </row>
    <row r="199" spans="5:91" x14ac:dyDescent="0.2">
      <c r="E199">
        <v>2005</v>
      </c>
      <c r="F199">
        <v>8</v>
      </c>
      <c r="G199">
        <v>62.009</v>
      </c>
      <c r="AE199" s="10" t="s">
        <v>162</v>
      </c>
      <c r="AF199">
        <v>18</v>
      </c>
      <c r="AG199">
        <v>2005</v>
      </c>
      <c r="AH199">
        <v>8</v>
      </c>
      <c r="AI199">
        <v>48.819000000000003</v>
      </c>
      <c r="AJ199">
        <v>1</v>
      </c>
      <c r="AK199">
        <v>92</v>
      </c>
      <c r="BU199" s="10" t="s">
        <v>162</v>
      </c>
      <c r="BV199" s="10">
        <v>101</v>
      </c>
      <c r="BW199">
        <v>2003</v>
      </c>
      <c r="BX199">
        <v>7</v>
      </c>
      <c r="BY199">
        <f t="shared" si="16"/>
        <v>-20.153999999999996</v>
      </c>
      <c r="BZ199">
        <v>40.659999999999997</v>
      </c>
      <c r="CA199">
        <v>79.846000000000004</v>
      </c>
      <c r="CI199">
        <v>2003</v>
      </c>
      <c r="CJ199">
        <v>7</v>
      </c>
      <c r="CK199">
        <f t="shared" si="17"/>
        <v>-20.161000000000001</v>
      </c>
      <c r="CL199">
        <v>40.658000000000001</v>
      </c>
      <c r="CM199">
        <v>79.838999999999999</v>
      </c>
    </row>
    <row r="200" spans="5:91" x14ac:dyDescent="0.2">
      <c r="E200">
        <v>2005</v>
      </c>
      <c r="F200">
        <v>9</v>
      </c>
      <c r="G200">
        <v>59.274000000000001</v>
      </c>
      <c r="AE200" s="10" t="s">
        <v>162</v>
      </c>
      <c r="AF200">
        <v>18</v>
      </c>
      <c r="AG200">
        <v>2005</v>
      </c>
      <c r="AH200">
        <v>9</v>
      </c>
      <c r="AI200">
        <v>53.872</v>
      </c>
      <c r="AJ200">
        <v>3</v>
      </c>
      <c r="AK200">
        <v>109</v>
      </c>
      <c r="BU200" s="10" t="s">
        <v>162</v>
      </c>
      <c r="BV200" s="10">
        <v>101</v>
      </c>
      <c r="BW200">
        <v>2003</v>
      </c>
      <c r="BX200">
        <v>8</v>
      </c>
      <c r="BY200">
        <f t="shared" si="16"/>
        <v>-23.328000000000003</v>
      </c>
      <c r="BZ200">
        <v>38.795000000000002</v>
      </c>
      <c r="CA200">
        <v>76.671999999999997</v>
      </c>
      <c r="CI200">
        <v>2003</v>
      </c>
      <c r="CJ200">
        <v>8</v>
      </c>
      <c r="CK200">
        <f t="shared" si="17"/>
        <v>-23.328000000000003</v>
      </c>
      <c r="CL200">
        <v>38.795999999999999</v>
      </c>
      <c r="CM200">
        <v>76.671999999999997</v>
      </c>
    </row>
    <row r="201" spans="5:91" x14ac:dyDescent="0.2">
      <c r="E201">
        <v>2005</v>
      </c>
      <c r="F201">
        <v>10</v>
      </c>
      <c r="G201">
        <v>59.683</v>
      </c>
      <c r="AE201" s="10" t="s">
        <v>162</v>
      </c>
      <c r="AF201">
        <v>18</v>
      </c>
      <c r="AG201">
        <v>2005</v>
      </c>
      <c r="AH201">
        <v>10</v>
      </c>
      <c r="AI201">
        <v>55.277999999999999</v>
      </c>
      <c r="AJ201">
        <v>1</v>
      </c>
      <c r="AK201">
        <v>92</v>
      </c>
      <c r="BU201" s="10" t="s">
        <v>162</v>
      </c>
      <c r="BV201" s="10">
        <v>101</v>
      </c>
      <c r="BW201">
        <v>2003</v>
      </c>
      <c r="BX201">
        <v>9</v>
      </c>
      <c r="BY201">
        <f t="shared" si="16"/>
        <v>-19.909999999999997</v>
      </c>
      <c r="BZ201">
        <v>40.442999999999998</v>
      </c>
      <c r="CA201">
        <v>80.09</v>
      </c>
      <c r="CI201">
        <v>2003</v>
      </c>
      <c r="CJ201">
        <v>9</v>
      </c>
      <c r="CK201">
        <f t="shared" si="17"/>
        <v>-19.920000000000002</v>
      </c>
      <c r="CL201">
        <v>40.438000000000002</v>
      </c>
      <c r="CM201">
        <v>80.08</v>
      </c>
    </row>
    <row r="202" spans="5:91" x14ac:dyDescent="0.2">
      <c r="E202">
        <v>2005</v>
      </c>
      <c r="F202">
        <v>11</v>
      </c>
      <c r="G202">
        <v>59.676000000000002</v>
      </c>
      <c r="AE202" s="10" t="s">
        <v>162</v>
      </c>
      <c r="AF202">
        <v>18</v>
      </c>
      <c r="AG202">
        <v>2005</v>
      </c>
      <c r="AH202">
        <v>11</v>
      </c>
      <c r="AI202">
        <v>54.194000000000003</v>
      </c>
      <c r="AJ202">
        <v>0</v>
      </c>
      <c r="AK202">
        <v>0</v>
      </c>
      <c r="BU202" s="10" t="s">
        <v>162</v>
      </c>
      <c r="BV202" s="10">
        <v>101</v>
      </c>
      <c r="BW202">
        <v>2003</v>
      </c>
      <c r="BX202">
        <v>10</v>
      </c>
      <c r="BY202">
        <f t="shared" si="16"/>
        <v>-14.840000000000003</v>
      </c>
      <c r="BZ202">
        <v>43.253</v>
      </c>
      <c r="CA202">
        <v>85.16</v>
      </c>
      <c r="CI202">
        <v>2003</v>
      </c>
      <c r="CJ202">
        <v>10</v>
      </c>
      <c r="CK202">
        <f t="shared" si="17"/>
        <v>-14.856999999999999</v>
      </c>
      <c r="CL202">
        <v>43.237000000000002</v>
      </c>
      <c r="CM202">
        <v>85.143000000000001</v>
      </c>
    </row>
    <row r="203" spans="5:91" x14ac:dyDescent="0.2">
      <c r="E203">
        <v>2005</v>
      </c>
      <c r="F203">
        <v>12</v>
      </c>
      <c r="G203">
        <v>59.674999999999997</v>
      </c>
      <c r="AE203" s="10" t="s">
        <v>162</v>
      </c>
      <c r="AF203">
        <v>18</v>
      </c>
      <c r="AG203">
        <v>2005</v>
      </c>
      <c r="AH203">
        <v>12</v>
      </c>
      <c r="AI203">
        <v>53.999000000000002</v>
      </c>
      <c r="AJ203">
        <v>2</v>
      </c>
      <c r="AK203">
        <v>132</v>
      </c>
      <c r="BU203" s="10" t="s">
        <v>162</v>
      </c>
      <c r="BV203" s="10">
        <v>101</v>
      </c>
      <c r="BW203">
        <v>2003</v>
      </c>
      <c r="BX203">
        <v>11</v>
      </c>
      <c r="BY203">
        <f t="shared" si="16"/>
        <v>-15.781000000000006</v>
      </c>
      <c r="BZ203">
        <v>43.008000000000003</v>
      </c>
      <c r="CA203">
        <v>84.218999999999994</v>
      </c>
      <c r="CI203">
        <v>2003</v>
      </c>
      <c r="CJ203">
        <v>11</v>
      </c>
      <c r="CK203">
        <f t="shared" si="17"/>
        <v>-15.798000000000002</v>
      </c>
      <c r="CL203">
        <v>42.999000000000002</v>
      </c>
      <c r="CM203">
        <v>84.201999999999998</v>
      </c>
    </row>
    <row r="204" spans="5:91" x14ac:dyDescent="0.2">
      <c r="E204">
        <v>2006</v>
      </c>
      <c r="F204">
        <v>1</v>
      </c>
      <c r="G204">
        <v>59.68</v>
      </c>
      <c r="AE204" s="10" t="s">
        <v>162</v>
      </c>
      <c r="AF204">
        <v>18</v>
      </c>
      <c r="AG204">
        <v>2006</v>
      </c>
      <c r="AH204">
        <v>1</v>
      </c>
      <c r="AI204">
        <v>57.017000000000003</v>
      </c>
      <c r="AJ204">
        <v>0</v>
      </c>
      <c r="AK204">
        <v>0</v>
      </c>
      <c r="BU204" s="10" t="s">
        <v>162</v>
      </c>
      <c r="BV204" s="10">
        <v>101</v>
      </c>
      <c r="BW204">
        <v>2003</v>
      </c>
      <c r="BX204">
        <v>12</v>
      </c>
      <c r="BY204">
        <f t="shared" si="16"/>
        <v>-15.820999999999998</v>
      </c>
      <c r="BZ204">
        <v>43.128999999999998</v>
      </c>
      <c r="CA204">
        <v>84.179000000000002</v>
      </c>
      <c r="CI204">
        <v>2003</v>
      </c>
      <c r="CJ204">
        <v>12</v>
      </c>
      <c r="CK204">
        <f t="shared" si="17"/>
        <v>-15.837999999999994</v>
      </c>
      <c r="CL204">
        <v>43.121000000000002</v>
      </c>
      <c r="CM204">
        <v>84.162000000000006</v>
      </c>
    </row>
    <row r="205" spans="5:91" x14ac:dyDescent="0.2">
      <c r="E205">
        <v>2006</v>
      </c>
      <c r="F205">
        <v>2</v>
      </c>
      <c r="G205">
        <v>59.009</v>
      </c>
      <c r="AE205" s="10" t="s">
        <v>162</v>
      </c>
      <c r="AF205">
        <v>18</v>
      </c>
      <c r="AG205">
        <v>2006</v>
      </c>
      <c r="AH205">
        <v>2</v>
      </c>
      <c r="AI205">
        <v>58.066000000000003</v>
      </c>
      <c r="AJ205">
        <v>2</v>
      </c>
      <c r="AK205">
        <v>152</v>
      </c>
      <c r="BU205" s="10" t="s">
        <v>162</v>
      </c>
      <c r="BV205" s="10">
        <v>101</v>
      </c>
      <c r="BW205">
        <v>2004</v>
      </c>
      <c r="BX205">
        <v>1</v>
      </c>
      <c r="BY205">
        <f t="shared" si="16"/>
        <v>-16.031000000000006</v>
      </c>
      <c r="BZ205">
        <v>43.036999999999999</v>
      </c>
      <c r="CA205">
        <v>83.968999999999994</v>
      </c>
      <c r="CI205">
        <v>2004</v>
      </c>
      <c r="CJ205">
        <v>1</v>
      </c>
      <c r="CK205">
        <f t="shared" si="17"/>
        <v>-16.046999999999997</v>
      </c>
      <c r="CL205">
        <v>43.029000000000003</v>
      </c>
      <c r="CM205">
        <v>83.953000000000003</v>
      </c>
    </row>
    <row r="206" spans="5:91" x14ac:dyDescent="0.2">
      <c r="E206">
        <v>2006</v>
      </c>
      <c r="F206">
        <v>3</v>
      </c>
      <c r="G206">
        <v>69.331000000000003</v>
      </c>
      <c r="AE206" s="10" t="s">
        <v>162</v>
      </c>
      <c r="AF206">
        <v>18</v>
      </c>
      <c r="AG206">
        <v>2006</v>
      </c>
      <c r="AH206">
        <v>3</v>
      </c>
      <c r="AI206">
        <v>59.115000000000002</v>
      </c>
      <c r="AJ206">
        <v>3</v>
      </c>
      <c r="AK206">
        <v>144</v>
      </c>
      <c r="BU206" s="10" t="s">
        <v>162</v>
      </c>
      <c r="BV206" s="10">
        <v>101</v>
      </c>
      <c r="BW206">
        <v>2004</v>
      </c>
      <c r="BX206">
        <v>2</v>
      </c>
      <c r="BY206">
        <f t="shared" si="16"/>
        <v>-16.215999999999994</v>
      </c>
      <c r="BZ206">
        <v>42.816000000000003</v>
      </c>
      <c r="CA206">
        <v>83.784000000000006</v>
      </c>
      <c r="CI206">
        <v>2004</v>
      </c>
      <c r="CJ206">
        <v>2</v>
      </c>
      <c r="CK206">
        <f t="shared" si="17"/>
        <v>-16.231999999999999</v>
      </c>
      <c r="CL206">
        <v>42.808999999999997</v>
      </c>
      <c r="CM206">
        <v>83.768000000000001</v>
      </c>
    </row>
    <row r="207" spans="5:91" x14ac:dyDescent="0.2">
      <c r="E207">
        <v>2006</v>
      </c>
      <c r="F207">
        <v>4</v>
      </c>
      <c r="G207">
        <v>61.232999999999997</v>
      </c>
      <c r="AE207" s="10" t="s">
        <v>162</v>
      </c>
      <c r="AF207">
        <v>18</v>
      </c>
      <c r="AG207">
        <v>2006</v>
      </c>
      <c r="AH207">
        <v>4</v>
      </c>
      <c r="AI207">
        <v>59.612000000000002</v>
      </c>
      <c r="AJ207">
        <v>2</v>
      </c>
      <c r="AK207">
        <v>152</v>
      </c>
      <c r="BU207" s="10" t="s">
        <v>162</v>
      </c>
      <c r="BV207" s="10">
        <v>101</v>
      </c>
      <c r="BW207">
        <v>2004</v>
      </c>
      <c r="BX207">
        <v>3</v>
      </c>
      <c r="BY207">
        <f t="shared" si="16"/>
        <v>-21.631</v>
      </c>
      <c r="BZ207">
        <v>39.878999999999998</v>
      </c>
      <c r="CA207">
        <v>78.369</v>
      </c>
      <c r="CI207">
        <v>2004</v>
      </c>
      <c r="CJ207">
        <v>3</v>
      </c>
      <c r="CK207">
        <f t="shared" si="17"/>
        <v>-21.634</v>
      </c>
      <c r="CL207">
        <v>39.878</v>
      </c>
      <c r="CM207">
        <v>78.366</v>
      </c>
    </row>
    <row r="208" spans="5:91" x14ac:dyDescent="0.2">
      <c r="E208">
        <v>2006</v>
      </c>
      <c r="F208">
        <v>5</v>
      </c>
      <c r="G208">
        <v>64.594999999999999</v>
      </c>
      <c r="AE208" s="10" t="s">
        <v>162</v>
      </c>
      <c r="AF208">
        <v>18</v>
      </c>
      <c r="AG208">
        <v>2006</v>
      </c>
      <c r="AH208">
        <v>5</v>
      </c>
      <c r="AI208">
        <v>61.07</v>
      </c>
      <c r="AJ208">
        <v>1</v>
      </c>
      <c r="AK208">
        <v>92</v>
      </c>
      <c r="BU208" s="10" t="s">
        <v>162</v>
      </c>
      <c r="BV208" s="10">
        <v>101</v>
      </c>
      <c r="BW208">
        <v>2004</v>
      </c>
      <c r="BX208">
        <v>4</v>
      </c>
      <c r="BY208">
        <f t="shared" si="16"/>
        <v>-22.337999999999994</v>
      </c>
      <c r="BZ208">
        <v>39.207000000000001</v>
      </c>
      <c r="CA208">
        <v>77.662000000000006</v>
      </c>
      <c r="CI208">
        <v>2004</v>
      </c>
      <c r="CJ208">
        <v>4</v>
      </c>
      <c r="CK208">
        <f t="shared" si="17"/>
        <v>-22.341999999999999</v>
      </c>
      <c r="CL208">
        <v>39.206000000000003</v>
      </c>
      <c r="CM208">
        <v>77.658000000000001</v>
      </c>
    </row>
    <row r="209" spans="5:91" x14ac:dyDescent="0.2">
      <c r="E209">
        <v>2006</v>
      </c>
      <c r="F209">
        <v>6</v>
      </c>
      <c r="G209">
        <v>65.704999999999998</v>
      </c>
      <c r="AE209" s="10" t="s">
        <v>162</v>
      </c>
      <c r="AF209">
        <v>18</v>
      </c>
      <c r="AG209">
        <v>2006</v>
      </c>
      <c r="AH209">
        <v>6</v>
      </c>
      <c r="AI209">
        <v>58.655999999999999</v>
      </c>
      <c r="AJ209">
        <v>2</v>
      </c>
      <c r="AK209">
        <v>132</v>
      </c>
      <c r="BU209" s="10" t="s">
        <v>162</v>
      </c>
      <c r="BV209" s="10">
        <v>101</v>
      </c>
      <c r="BW209">
        <v>2004</v>
      </c>
      <c r="BX209">
        <v>5</v>
      </c>
      <c r="BY209">
        <f t="shared" si="16"/>
        <v>-16.843000000000004</v>
      </c>
      <c r="BZ209">
        <v>42.064</v>
      </c>
      <c r="CA209">
        <v>83.156999999999996</v>
      </c>
      <c r="CI209">
        <v>2004</v>
      </c>
      <c r="CJ209">
        <v>5</v>
      </c>
      <c r="CK209">
        <f t="shared" si="17"/>
        <v>-16.86</v>
      </c>
      <c r="CL209">
        <v>42.055</v>
      </c>
      <c r="CM209">
        <v>83.14</v>
      </c>
    </row>
    <row r="210" spans="5:91" x14ac:dyDescent="0.2">
      <c r="E210">
        <v>2006</v>
      </c>
      <c r="F210">
        <v>7</v>
      </c>
      <c r="G210">
        <v>58.930999999999997</v>
      </c>
      <c r="AE210" s="10" t="s">
        <v>162</v>
      </c>
      <c r="AF210">
        <v>18</v>
      </c>
      <c r="AG210">
        <v>2006</v>
      </c>
      <c r="AH210">
        <v>7</v>
      </c>
      <c r="AI210">
        <v>57.689</v>
      </c>
      <c r="AJ210">
        <v>2</v>
      </c>
      <c r="AK210">
        <v>152</v>
      </c>
      <c r="BU210" s="10" t="s">
        <v>162</v>
      </c>
      <c r="BV210" s="10">
        <v>101</v>
      </c>
      <c r="BW210">
        <v>2004</v>
      </c>
      <c r="BX210">
        <v>6</v>
      </c>
      <c r="BY210">
        <f t="shared" si="16"/>
        <v>-13.789000000000001</v>
      </c>
      <c r="BZ210">
        <v>44.203000000000003</v>
      </c>
      <c r="CA210">
        <v>86.210999999999999</v>
      </c>
      <c r="CI210">
        <v>2004</v>
      </c>
      <c r="CJ210">
        <v>6</v>
      </c>
      <c r="CK210">
        <f t="shared" si="17"/>
        <v>-13.808999999999997</v>
      </c>
      <c r="CL210">
        <v>44.189</v>
      </c>
      <c r="CM210">
        <v>86.191000000000003</v>
      </c>
    </row>
    <row r="211" spans="5:91" x14ac:dyDescent="0.2">
      <c r="E211">
        <v>2006</v>
      </c>
      <c r="F211">
        <v>8</v>
      </c>
      <c r="G211">
        <v>58.213000000000001</v>
      </c>
      <c r="AE211" s="10" t="s">
        <v>162</v>
      </c>
      <c r="AF211">
        <v>18</v>
      </c>
      <c r="AG211">
        <v>2006</v>
      </c>
      <c r="AH211">
        <v>8</v>
      </c>
      <c r="AI211">
        <v>59.182000000000002</v>
      </c>
      <c r="AJ211">
        <v>1</v>
      </c>
      <c r="AK211">
        <v>92</v>
      </c>
      <c r="BU211" s="10" t="s">
        <v>162</v>
      </c>
      <c r="BV211" s="10">
        <v>101</v>
      </c>
      <c r="BW211">
        <v>2004</v>
      </c>
      <c r="BX211">
        <v>7</v>
      </c>
      <c r="BY211">
        <f t="shared" si="16"/>
        <v>-13.052000000000007</v>
      </c>
      <c r="BZ211">
        <v>44.628</v>
      </c>
      <c r="CA211">
        <v>86.947999999999993</v>
      </c>
      <c r="CI211">
        <v>2004</v>
      </c>
      <c r="CJ211">
        <v>7</v>
      </c>
      <c r="CK211">
        <f t="shared" si="17"/>
        <v>-13.072999999999993</v>
      </c>
      <c r="CL211">
        <v>44.615000000000002</v>
      </c>
      <c r="CM211">
        <v>86.927000000000007</v>
      </c>
    </row>
    <row r="212" spans="5:91" x14ac:dyDescent="0.2">
      <c r="E212">
        <v>2006</v>
      </c>
      <c r="F212">
        <v>9</v>
      </c>
      <c r="G212">
        <v>65.465999999999994</v>
      </c>
      <c r="AE212" s="10" t="s">
        <v>162</v>
      </c>
      <c r="AF212">
        <v>18</v>
      </c>
      <c r="AG212">
        <v>2006</v>
      </c>
      <c r="AH212">
        <v>9</v>
      </c>
      <c r="AI212">
        <v>57.982999999999997</v>
      </c>
      <c r="AJ212">
        <v>2</v>
      </c>
      <c r="AK212">
        <v>132</v>
      </c>
      <c r="BU212" s="10" t="s">
        <v>162</v>
      </c>
      <c r="BV212" s="10">
        <v>101</v>
      </c>
      <c r="BW212">
        <v>2004</v>
      </c>
      <c r="BX212">
        <v>8</v>
      </c>
      <c r="BY212">
        <f t="shared" si="16"/>
        <v>-11.694000000000003</v>
      </c>
      <c r="BZ212">
        <v>45.457000000000001</v>
      </c>
      <c r="CA212">
        <v>88.305999999999997</v>
      </c>
      <c r="CI212">
        <v>2004</v>
      </c>
      <c r="CJ212">
        <v>8</v>
      </c>
      <c r="CK212">
        <f t="shared" si="17"/>
        <v>-11.716999999999999</v>
      </c>
      <c r="CL212">
        <v>45.442</v>
      </c>
      <c r="CM212">
        <v>88.283000000000001</v>
      </c>
    </row>
    <row r="213" spans="5:91" x14ac:dyDescent="0.2">
      <c r="E213">
        <v>2006</v>
      </c>
      <c r="F213">
        <v>10</v>
      </c>
      <c r="G213">
        <v>61.942</v>
      </c>
      <c r="AE213" s="10" t="s">
        <v>162</v>
      </c>
      <c r="AF213">
        <v>18</v>
      </c>
      <c r="AG213">
        <v>2006</v>
      </c>
      <c r="AH213">
        <v>10</v>
      </c>
      <c r="AI213">
        <v>56.957999999999998</v>
      </c>
      <c r="AJ213">
        <v>0</v>
      </c>
      <c r="AK213">
        <v>0</v>
      </c>
      <c r="BU213" s="10" t="s">
        <v>162</v>
      </c>
      <c r="BV213" s="10">
        <v>101</v>
      </c>
      <c r="BW213">
        <v>2004</v>
      </c>
      <c r="BX213">
        <v>9</v>
      </c>
      <c r="BY213">
        <f t="shared" si="16"/>
        <v>-10.411000000000001</v>
      </c>
      <c r="BZ213">
        <v>46.591999999999999</v>
      </c>
      <c r="CA213">
        <v>89.588999999999999</v>
      </c>
      <c r="CI213">
        <v>2004</v>
      </c>
      <c r="CJ213">
        <v>9</v>
      </c>
      <c r="CK213">
        <f t="shared" si="17"/>
        <v>-10.436000000000007</v>
      </c>
      <c r="CL213">
        <v>46.575000000000003</v>
      </c>
      <c r="CM213">
        <v>89.563999999999993</v>
      </c>
    </row>
    <row r="214" spans="5:91" x14ac:dyDescent="0.2">
      <c r="E214">
        <v>2006</v>
      </c>
      <c r="F214">
        <v>11</v>
      </c>
      <c r="G214">
        <v>59.238999999999997</v>
      </c>
      <c r="AE214" s="10" t="s">
        <v>162</v>
      </c>
      <c r="AF214">
        <v>18</v>
      </c>
      <c r="AG214">
        <v>2006</v>
      </c>
      <c r="AH214">
        <v>11</v>
      </c>
      <c r="AI214">
        <v>56.055</v>
      </c>
      <c r="AJ214">
        <v>3</v>
      </c>
      <c r="AK214">
        <v>106</v>
      </c>
      <c r="BU214" s="10" t="s">
        <v>162</v>
      </c>
      <c r="BV214" s="10">
        <v>101</v>
      </c>
      <c r="BW214">
        <v>2004</v>
      </c>
      <c r="BX214">
        <v>10</v>
      </c>
      <c r="BY214">
        <f t="shared" si="16"/>
        <v>-10.459000000000003</v>
      </c>
      <c r="BZ214">
        <v>46.43</v>
      </c>
      <c r="CA214">
        <v>89.540999999999997</v>
      </c>
      <c r="CI214">
        <v>2004</v>
      </c>
      <c r="CJ214">
        <v>10</v>
      </c>
      <c r="CK214">
        <f t="shared" si="17"/>
        <v>-10.484999999999999</v>
      </c>
      <c r="CL214">
        <v>46.415999999999997</v>
      </c>
      <c r="CM214">
        <v>89.515000000000001</v>
      </c>
    </row>
    <row r="215" spans="5:91" x14ac:dyDescent="0.2">
      <c r="E215">
        <v>2006</v>
      </c>
      <c r="F215">
        <v>12</v>
      </c>
      <c r="G215">
        <v>61.829000000000001</v>
      </c>
      <c r="AE215" s="10" t="s">
        <v>162</v>
      </c>
      <c r="AF215">
        <v>18</v>
      </c>
      <c r="AG215">
        <v>2006</v>
      </c>
      <c r="AH215">
        <v>12</v>
      </c>
      <c r="AI215">
        <v>54.825000000000003</v>
      </c>
      <c r="AJ215">
        <v>1</v>
      </c>
      <c r="AK215">
        <v>40</v>
      </c>
      <c r="BU215" s="10" t="s">
        <v>162</v>
      </c>
      <c r="BV215" s="10">
        <v>101</v>
      </c>
      <c r="BW215">
        <v>2004</v>
      </c>
      <c r="BX215">
        <v>11</v>
      </c>
      <c r="BY215">
        <f t="shared" si="16"/>
        <v>-6.9980000000000047</v>
      </c>
      <c r="BZ215">
        <v>48.286000000000001</v>
      </c>
      <c r="CA215">
        <v>93.001999999999995</v>
      </c>
      <c r="CI215">
        <v>2004</v>
      </c>
      <c r="CJ215">
        <v>11</v>
      </c>
      <c r="CK215">
        <f t="shared" si="17"/>
        <v>-7.0310000000000059</v>
      </c>
      <c r="CL215">
        <v>48.265999999999998</v>
      </c>
      <c r="CM215">
        <v>92.968999999999994</v>
      </c>
    </row>
    <row r="216" spans="5:91" x14ac:dyDescent="0.2">
      <c r="E216">
        <v>2007</v>
      </c>
      <c r="F216">
        <v>1</v>
      </c>
      <c r="G216">
        <v>61.774000000000001</v>
      </c>
      <c r="AE216" s="10" t="s">
        <v>162</v>
      </c>
      <c r="AF216">
        <v>18</v>
      </c>
      <c r="AG216">
        <v>2007</v>
      </c>
      <c r="AH216">
        <v>1</v>
      </c>
      <c r="AI216">
        <v>56.030999999999999</v>
      </c>
      <c r="AJ216">
        <v>0</v>
      </c>
      <c r="AK216">
        <v>0</v>
      </c>
      <c r="BU216" s="10" t="s">
        <v>162</v>
      </c>
      <c r="BV216" s="10">
        <v>101</v>
      </c>
      <c r="BW216">
        <v>2004</v>
      </c>
      <c r="BX216">
        <v>12</v>
      </c>
      <c r="BY216">
        <f t="shared" si="16"/>
        <v>-6.2960000000000065</v>
      </c>
      <c r="BZ216">
        <v>48.844999999999999</v>
      </c>
      <c r="CA216">
        <v>93.703999999999994</v>
      </c>
      <c r="CI216">
        <v>2004</v>
      </c>
      <c r="CJ216">
        <v>12</v>
      </c>
      <c r="CK216">
        <f t="shared" si="17"/>
        <v>-6.3299999999999983</v>
      </c>
      <c r="CL216">
        <v>48.825000000000003</v>
      </c>
      <c r="CM216">
        <v>93.67</v>
      </c>
    </row>
    <row r="217" spans="5:91" x14ac:dyDescent="0.2">
      <c r="E217">
        <v>2007</v>
      </c>
      <c r="F217">
        <v>2</v>
      </c>
      <c r="G217">
        <v>61.771999999999998</v>
      </c>
      <c r="AE217" s="10" t="s">
        <v>162</v>
      </c>
      <c r="AF217">
        <v>18</v>
      </c>
      <c r="AG217">
        <v>2007</v>
      </c>
      <c r="AH217">
        <v>2</v>
      </c>
      <c r="AI217">
        <v>55.811</v>
      </c>
      <c r="AJ217">
        <v>2</v>
      </c>
      <c r="AK217">
        <v>97</v>
      </c>
      <c r="BU217" s="10" t="s">
        <v>162</v>
      </c>
      <c r="BV217" s="10">
        <v>101</v>
      </c>
      <c r="BW217">
        <v>2005</v>
      </c>
      <c r="BX217">
        <v>1</v>
      </c>
      <c r="BY217">
        <f t="shared" si="16"/>
        <v>-6.2039999999999935</v>
      </c>
      <c r="BZ217">
        <v>48.984000000000002</v>
      </c>
      <c r="CA217">
        <v>93.796000000000006</v>
      </c>
      <c r="CI217">
        <v>2005</v>
      </c>
      <c r="CJ217">
        <v>1</v>
      </c>
      <c r="CK217">
        <f t="shared" si="17"/>
        <v>-6.2379999999999995</v>
      </c>
      <c r="CL217">
        <v>48.965000000000003</v>
      </c>
      <c r="CM217">
        <v>93.762</v>
      </c>
    </row>
    <row r="218" spans="5:91" x14ac:dyDescent="0.2">
      <c r="E218">
        <v>2007</v>
      </c>
      <c r="F218">
        <v>3</v>
      </c>
      <c r="G218">
        <v>61.542999999999999</v>
      </c>
      <c r="AE218" s="10" t="s">
        <v>162</v>
      </c>
      <c r="AF218">
        <v>18</v>
      </c>
      <c r="AG218">
        <v>2007</v>
      </c>
      <c r="AH218">
        <v>3</v>
      </c>
      <c r="AI218">
        <v>54.378999999999998</v>
      </c>
      <c r="AJ218">
        <v>2</v>
      </c>
      <c r="AK218">
        <v>132</v>
      </c>
      <c r="BU218" s="10" t="s">
        <v>162</v>
      </c>
      <c r="BV218" s="10">
        <v>101</v>
      </c>
      <c r="BW218">
        <v>2005</v>
      </c>
      <c r="BX218">
        <v>2</v>
      </c>
      <c r="BY218">
        <f t="shared" si="16"/>
        <v>-5.2890000000000015</v>
      </c>
      <c r="BZ218">
        <v>49.503999999999998</v>
      </c>
      <c r="CA218">
        <v>94.710999999999999</v>
      </c>
      <c r="CI218">
        <v>2005</v>
      </c>
      <c r="CJ218">
        <v>2</v>
      </c>
      <c r="CK218">
        <f t="shared" si="17"/>
        <v>-5.3239999999999981</v>
      </c>
      <c r="CL218">
        <v>49.482999999999997</v>
      </c>
      <c r="CM218">
        <v>94.676000000000002</v>
      </c>
    </row>
    <row r="219" spans="5:91" x14ac:dyDescent="0.2">
      <c r="E219">
        <v>2007</v>
      </c>
      <c r="F219">
        <v>4</v>
      </c>
      <c r="G219">
        <v>57.902000000000001</v>
      </c>
      <c r="AE219" s="10" t="s">
        <v>162</v>
      </c>
      <c r="AF219">
        <v>18</v>
      </c>
      <c r="AG219">
        <v>2007</v>
      </c>
      <c r="AH219">
        <v>4</v>
      </c>
      <c r="AI219">
        <v>52.286000000000001</v>
      </c>
      <c r="AJ219">
        <v>0</v>
      </c>
      <c r="AK219">
        <v>0</v>
      </c>
      <c r="BU219" s="10" t="s">
        <v>162</v>
      </c>
      <c r="BV219" s="10">
        <v>101</v>
      </c>
      <c r="BW219">
        <v>2005</v>
      </c>
      <c r="BX219">
        <v>3</v>
      </c>
      <c r="BY219">
        <f t="shared" si="16"/>
        <v>-3.936000000000007</v>
      </c>
      <c r="BZ219">
        <v>50.442</v>
      </c>
      <c r="CA219">
        <v>96.063999999999993</v>
      </c>
      <c r="CI219">
        <v>2005</v>
      </c>
      <c r="CJ219">
        <v>3</v>
      </c>
      <c r="CK219">
        <f t="shared" si="17"/>
        <v>-3.9740000000000038</v>
      </c>
      <c r="CL219">
        <v>50.42</v>
      </c>
      <c r="CM219">
        <v>96.025999999999996</v>
      </c>
    </row>
    <row r="220" spans="5:91" x14ac:dyDescent="0.2">
      <c r="E220">
        <v>2007</v>
      </c>
      <c r="F220">
        <v>5</v>
      </c>
      <c r="G220">
        <v>57.901000000000003</v>
      </c>
      <c r="AE220" s="10" t="s">
        <v>162</v>
      </c>
      <c r="AF220">
        <v>18</v>
      </c>
      <c r="AG220">
        <v>2007</v>
      </c>
      <c r="AH220">
        <v>5</v>
      </c>
      <c r="AI220">
        <v>50.488</v>
      </c>
      <c r="AJ220">
        <v>2</v>
      </c>
      <c r="AK220">
        <v>97</v>
      </c>
      <c r="BU220" s="10" t="s">
        <v>162</v>
      </c>
      <c r="BV220" s="10">
        <v>101</v>
      </c>
      <c r="BW220">
        <v>2005</v>
      </c>
      <c r="BX220">
        <v>4</v>
      </c>
      <c r="BY220">
        <f t="shared" si="16"/>
        <v>-4.6839999999999975</v>
      </c>
      <c r="BZ220">
        <v>50.027999999999999</v>
      </c>
      <c r="CA220">
        <v>95.316000000000003</v>
      </c>
      <c r="CI220">
        <v>2005</v>
      </c>
      <c r="CJ220">
        <v>4</v>
      </c>
      <c r="CK220">
        <f t="shared" si="17"/>
        <v>-4.7210000000000036</v>
      </c>
      <c r="CL220">
        <v>50.009</v>
      </c>
      <c r="CM220">
        <v>95.278999999999996</v>
      </c>
    </row>
    <row r="221" spans="5:91" x14ac:dyDescent="0.2">
      <c r="E221">
        <v>2007</v>
      </c>
      <c r="F221">
        <v>6</v>
      </c>
      <c r="G221">
        <v>49.109000000000002</v>
      </c>
      <c r="AE221" s="10" t="s">
        <v>162</v>
      </c>
      <c r="AF221">
        <v>18</v>
      </c>
      <c r="AG221">
        <v>2007</v>
      </c>
      <c r="AH221">
        <v>6</v>
      </c>
      <c r="AI221">
        <v>52.945</v>
      </c>
      <c r="AJ221">
        <v>4</v>
      </c>
      <c r="AK221">
        <v>149</v>
      </c>
      <c r="BU221" s="10" t="s">
        <v>162</v>
      </c>
      <c r="BV221" s="10">
        <v>101</v>
      </c>
      <c r="BW221">
        <v>2005</v>
      </c>
      <c r="BX221">
        <v>5</v>
      </c>
      <c r="BY221">
        <f t="shared" si="16"/>
        <v>-3.0400000000000063</v>
      </c>
      <c r="BZ221">
        <v>51.015999999999998</v>
      </c>
      <c r="CA221">
        <v>96.96</v>
      </c>
      <c r="CI221">
        <v>2005</v>
      </c>
      <c r="CJ221">
        <v>5</v>
      </c>
      <c r="CK221">
        <f t="shared" si="17"/>
        <v>-3.0789999999999935</v>
      </c>
      <c r="CL221">
        <v>50.993000000000002</v>
      </c>
      <c r="CM221">
        <v>96.921000000000006</v>
      </c>
    </row>
    <row r="222" spans="5:91" x14ac:dyDescent="0.2">
      <c r="E222">
        <v>2007</v>
      </c>
      <c r="F222">
        <v>7</v>
      </c>
      <c r="G222">
        <v>49.064</v>
      </c>
      <c r="AE222" s="10" t="s">
        <v>162</v>
      </c>
      <c r="AF222">
        <v>18</v>
      </c>
      <c r="AG222">
        <v>2007</v>
      </c>
      <c r="AH222">
        <v>7</v>
      </c>
      <c r="AI222">
        <v>50.878</v>
      </c>
      <c r="AJ222">
        <v>2</v>
      </c>
      <c r="AK222">
        <v>97</v>
      </c>
      <c r="BU222" s="10" t="s">
        <v>162</v>
      </c>
      <c r="BV222" s="10">
        <v>101</v>
      </c>
      <c r="BW222">
        <v>2005</v>
      </c>
      <c r="BX222">
        <v>6</v>
      </c>
      <c r="BY222">
        <f t="shared" si="16"/>
        <v>-3.7169999999999987</v>
      </c>
      <c r="BZ222">
        <v>50.805999999999997</v>
      </c>
      <c r="CA222">
        <v>96.283000000000001</v>
      </c>
      <c r="CI222">
        <v>2005</v>
      </c>
      <c r="CJ222">
        <v>6</v>
      </c>
      <c r="CK222">
        <f t="shared" si="17"/>
        <v>-3.7540000000000049</v>
      </c>
      <c r="CL222">
        <v>50.784999999999997</v>
      </c>
      <c r="CM222">
        <v>96.245999999999995</v>
      </c>
    </row>
    <row r="223" spans="5:91" x14ac:dyDescent="0.2">
      <c r="E223">
        <v>2007</v>
      </c>
      <c r="F223">
        <v>8</v>
      </c>
      <c r="G223">
        <v>49.058999999999997</v>
      </c>
      <c r="AE223" s="10" t="s">
        <v>162</v>
      </c>
      <c r="AF223">
        <v>18</v>
      </c>
      <c r="AG223">
        <v>2007</v>
      </c>
      <c r="AH223">
        <v>8</v>
      </c>
      <c r="AI223">
        <v>51.225999999999999</v>
      </c>
      <c r="AJ223">
        <v>0</v>
      </c>
      <c r="AK223">
        <v>0</v>
      </c>
      <c r="BU223" s="10" t="s">
        <v>162</v>
      </c>
      <c r="BV223" s="10">
        <v>101</v>
      </c>
      <c r="BW223">
        <v>2005</v>
      </c>
      <c r="BX223">
        <v>7</v>
      </c>
      <c r="BY223">
        <f t="shared" si="16"/>
        <v>-6.0580000000000069</v>
      </c>
      <c r="BZ223">
        <v>49.564999999999998</v>
      </c>
      <c r="CA223">
        <v>93.941999999999993</v>
      </c>
      <c r="CI223">
        <v>2005</v>
      </c>
      <c r="CJ223">
        <v>7</v>
      </c>
      <c r="CK223">
        <f t="shared" si="17"/>
        <v>-6.0919999999999987</v>
      </c>
      <c r="CL223">
        <v>49.55</v>
      </c>
      <c r="CM223">
        <v>93.908000000000001</v>
      </c>
    </row>
    <row r="224" spans="5:91" x14ac:dyDescent="0.2">
      <c r="E224">
        <v>2007</v>
      </c>
      <c r="F224">
        <v>9</v>
      </c>
      <c r="G224">
        <v>49.058999999999997</v>
      </c>
      <c r="AE224" s="10" t="s">
        <v>162</v>
      </c>
      <c r="AF224">
        <v>18</v>
      </c>
      <c r="AG224">
        <v>2007</v>
      </c>
      <c r="AH224">
        <v>9</v>
      </c>
      <c r="AI224">
        <v>51.88</v>
      </c>
      <c r="AJ224">
        <v>2</v>
      </c>
      <c r="AK224">
        <v>132</v>
      </c>
      <c r="BU224" s="10" t="s">
        <v>162</v>
      </c>
      <c r="BV224" s="10">
        <v>101</v>
      </c>
      <c r="BW224">
        <v>2005</v>
      </c>
      <c r="BX224">
        <v>8</v>
      </c>
      <c r="BY224">
        <f t="shared" si="16"/>
        <v>-9.6350000000000051</v>
      </c>
      <c r="BZ224">
        <v>47.353000000000002</v>
      </c>
      <c r="CA224">
        <v>90.364999999999995</v>
      </c>
      <c r="CI224">
        <v>2005</v>
      </c>
      <c r="CJ224">
        <v>8</v>
      </c>
      <c r="CK224">
        <f t="shared" si="17"/>
        <v>-9.6620000000000061</v>
      </c>
      <c r="CL224">
        <v>47.343000000000004</v>
      </c>
      <c r="CM224">
        <v>90.337999999999994</v>
      </c>
    </row>
    <row r="225" spans="5:91" x14ac:dyDescent="0.2">
      <c r="E225">
        <v>2007</v>
      </c>
      <c r="F225">
        <v>10</v>
      </c>
      <c r="G225">
        <v>54.808999999999997</v>
      </c>
      <c r="AE225" s="10" t="s">
        <v>162</v>
      </c>
      <c r="AF225">
        <v>18</v>
      </c>
      <c r="AG225">
        <v>2007</v>
      </c>
      <c r="AH225">
        <v>10</v>
      </c>
      <c r="AI225">
        <v>51.784999999999997</v>
      </c>
      <c r="AJ225">
        <v>2</v>
      </c>
      <c r="AK225">
        <v>101</v>
      </c>
      <c r="BU225" s="10" t="s">
        <v>162</v>
      </c>
      <c r="BV225" s="10">
        <v>101</v>
      </c>
      <c r="BW225">
        <v>2005</v>
      </c>
      <c r="BX225">
        <v>9</v>
      </c>
      <c r="BY225">
        <f t="shared" si="16"/>
        <v>-7.1359999999999957</v>
      </c>
      <c r="BZ225">
        <v>48.738</v>
      </c>
      <c r="CA225">
        <v>92.864000000000004</v>
      </c>
      <c r="CI225">
        <v>2005</v>
      </c>
      <c r="CJ225">
        <v>9</v>
      </c>
      <c r="CK225">
        <f t="shared" si="17"/>
        <v>-7.1670000000000016</v>
      </c>
      <c r="CL225">
        <v>48.72</v>
      </c>
      <c r="CM225">
        <v>92.832999999999998</v>
      </c>
    </row>
    <row r="226" spans="5:91" x14ac:dyDescent="0.2">
      <c r="E226">
        <v>2007</v>
      </c>
      <c r="F226">
        <v>11</v>
      </c>
      <c r="G226">
        <v>52.956000000000003</v>
      </c>
      <c r="AE226" s="10" t="s">
        <v>162</v>
      </c>
      <c r="AF226">
        <v>18</v>
      </c>
      <c r="AG226">
        <v>2007</v>
      </c>
      <c r="AH226">
        <v>11</v>
      </c>
      <c r="AI226">
        <v>46.021999999999998</v>
      </c>
      <c r="AJ226">
        <v>1</v>
      </c>
      <c r="AK226">
        <v>92</v>
      </c>
      <c r="BU226" s="10" t="s">
        <v>162</v>
      </c>
      <c r="BV226" s="10">
        <v>101</v>
      </c>
      <c r="BW226">
        <v>2005</v>
      </c>
      <c r="BX226">
        <v>10</v>
      </c>
      <c r="BY226">
        <f t="shared" si="16"/>
        <v>-4.7870000000000061</v>
      </c>
      <c r="BZ226">
        <v>49.917999999999999</v>
      </c>
      <c r="CA226">
        <v>95.212999999999994</v>
      </c>
      <c r="CI226">
        <v>2005</v>
      </c>
      <c r="CJ226">
        <v>10</v>
      </c>
      <c r="CK226">
        <f t="shared" si="17"/>
        <v>-4.8229999999999933</v>
      </c>
      <c r="CL226">
        <v>49.896999999999998</v>
      </c>
      <c r="CM226">
        <v>95.177000000000007</v>
      </c>
    </row>
    <row r="227" spans="5:91" x14ac:dyDescent="0.2">
      <c r="E227">
        <v>2007</v>
      </c>
      <c r="F227">
        <v>12</v>
      </c>
      <c r="G227">
        <v>52.761000000000003</v>
      </c>
      <c r="AE227" s="10" t="s">
        <v>162</v>
      </c>
      <c r="AF227">
        <v>18</v>
      </c>
      <c r="AG227">
        <v>2007</v>
      </c>
      <c r="AH227">
        <v>12</v>
      </c>
      <c r="AI227">
        <v>46.11</v>
      </c>
      <c r="AJ227">
        <v>1</v>
      </c>
      <c r="AK227">
        <v>40</v>
      </c>
      <c r="BU227" s="10" t="s">
        <v>162</v>
      </c>
      <c r="BV227" s="10">
        <v>101</v>
      </c>
      <c r="BW227">
        <v>2005</v>
      </c>
      <c r="BX227">
        <v>11</v>
      </c>
      <c r="BY227">
        <f t="shared" si="16"/>
        <v>-4.777000000000001</v>
      </c>
      <c r="BZ227">
        <v>50.055999999999997</v>
      </c>
      <c r="CA227">
        <v>95.222999999999999</v>
      </c>
      <c r="CI227">
        <v>2005</v>
      </c>
      <c r="CJ227">
        <v>11</v>
      </c>
      <c r="CK227">
        <f t="shared" si="17"/>
        <v>-4.8130000000000024</v>
      </c>
      <c r="CL227">
        <v>50.036000000000001</v>
      </c>
      <c r="CM227">
        <v>95.186999999999998</v>
      </c>
    </row>
    <row r="228" spans="5:91" x14ac:dyDescent="0.2">
      <c r="E228">
        <v>2008</v>
      </c>
      <c r="F228">
        <v>1</v>
      </c>
      <c r="G228">
        <v>52.74</v>
      </c>
      <c r="AE228" s="10" t="s">
        <v>162</v>
      </c>
      <c r="AF228">
        <v>18</v>
      </c>
      <c r="AG228">
        <v>2008</v>
      </c>
      <c r="AH228">
        <v>1</v>
      </c>
      <c r="AI228">
        <v>45.716999999999999</v>
      </c>
      <c r="AJ228">
        <v>0</v>
      </c>
      <c r="AK228">
        <v>0</v>
      </c>
      <c r="BU228" s="10" t="s">
        <v>162</v>
      </c>
      <c r="BV228" s="10">
        <v>101</v>
      </c>
      <c r="BW228">
        <v>2005</v>
      </c>
      <c r="BX228">
        <v>12</v>
      </c>
      <c r="BY228">
        <f t="shared" si="16"/>
        <v>-5.5999999999999943</v>
      </c>
      <c r="BZ228">
        <v>49.753999999999998</v>
      </c>
      <c r="CA228">
        <v>94.4</v>
      </c>
      <c r="CI228">
        <v>2005</v>
      </c>
      <c r="CJ228">
        <v>12</v>
      </c>
      <c r="CK228">
        <f t="shared" si="17"/>
        <v>-5.6340000000000003</v>
      </c>
      <c r="CL228">
        <v>49.734999999999999</v>
      </c>
      <c r="CM228">
        <v>94.366</v>
      </c>
    </row>
    <row r="229" spans="5:91" x14ac:dyDescent="0.2">
      <c r="E229">
        <v>2008</v>
      </c>
      <c r="F229">
        <v>2</v>
      </c>
      <c r="G229">
        <v>44.116</v>
      </c>
      <c r="AE229" s="10" t="s">
        <v>162</v>
      </c>
      <c r="AF229">
        <v>18</v>
      </c>
      <c r="AG229">
        <v>2008</v>
      </c>
      <c r="AH229">
        <v>2</v>
      </c>
      <c r="AI229">
        <v>44.377000000000002</v>
      </c>
      <c r="AJ229">
        <v>1</v>
      </c>
      <c r="AK229">
        <v>92</v>
      </c>
      <c r="BU229" s="10" t="s">
        <v>162</v>
      </c>
      <c r="BV229" s="10">
        <v>101</v>
      </c>
      <c r="BW229">
        <v>2006</v>
      </c>
      <c r="BX229">
        <v>1</v>
      </c>
      <c r="BY229">
        <f t="shared" si="16"/>
        <v>-4.5460000000000065</v>
      </c>
      <c r="BZ229">
        <v>50.274000000000001</v>
      </c>
      <c r="CA229">
        <v>95.453999999999994</v>
      </c>
      <c r="CI229">
        <v>2006</v>
      </c>
      <c r="CJ229">
        <v>1</v>
      </c>
      <c r="CK229">
        <f t="shared" si="17"/>
        <v>-4.5819999999999936</v>
      </c>
      <c r="CL229">
        <v>50.252000000000002</v>
      </c>
      <c r="CM229">
        <v>95.418000000000006</v>
      </c>
    </row>
    <row r="230" spans="5:91" x14ac:dyDescent="0.2">
      <c r="E230">
        <v>2008</v>
      </c>
      <c r="F230">
        <v>3</v>
      </c>
      <c r="G230">
        <v>43.209000000000003</v>
      </c>
      <c r="AE230" s="10" t="s">
        <v>162</v>
      </c>
      <c r="AF230">
        <v>18</v>
      </c>
      <c r="AG230">
        <v>2008</v>
      </c>
      <c r="AH230">
        <v>3</v>
      </c>
      <c r="AI230">
        <v>44.546999999999997</v>
      </c>
      <c r="AJ230">
        <v>1</v>
      </c>
      <c r="AK230">
        <v>40</v>
      </c>
      <c r="BU230" s="10" t="s">
        <v>162</v>
      </c>
      <c r="BV230" s="10">
        <v>101</v>
      </c>
      <c r="BW230">
        <v>2006</v>
      </c>
      <c r="BX230">
        <v>2</v>
      </c>
      <c r="BY230">
        <f t="shared" si="16"/>
        <v>-2.3169999999999931</v>
      </c>
      <c r="BZ230">
        <v>51.405999999999999</v>
      </c>
      <c r="CA230">
        <v>97.683000000000007</v>
      </c>
      <c r="CI230">
        <v>2006</v>
      </c>
      <c r="CJ230">
        <v>2</v>
      </c>
      <c r="CK230">
        <f t="shared" si="17"/>
        <v>-2.3589999999999947</v>
      </c>
      <c r="CL230">
        <v>51.381999999999998</v>
      </c>
      <c r="CM230">
        <v>97.641000000000005</v>
      </c>
    </row>
    <row r="231" spans="5:91" x14ac:dyDescent="0.2">
      <c r="AE231" s="10" t="s">
        <v>162</v>
      </c>
      <c r="AF231">
        <v>18</v>
      </c>
      <c r="AG231">
        <v>2008</v>
      </c>
      <c r="AH231">
        <v>4</v>
      </c>
      <c r="AI231">
        <v>46.026000000000003</v>
      </c>
      <c r="AJ231">
        <v>1</v>
      </c>
      <c r="AK231">
        <v>92</v>
      </c>
      <c r="BU231" s="10" t="s">
        <v>162</v>
      </c>
      <c r="BV231" s="10">
        <v>101</v>
      </c>
      <c r="BW231">
        <v>2006</v>
      </c>
      <c r="BX231">
        <v>3</v>
      </c>
      <c r="BY231">
        <f t="shared" si="16"/>
        <v>-3.0120000000000005</v>
      </c>
      <c r="BZ231">
        <v>51.212000000000003</v>
      </c>
      <c r="CA231">
        <v>96.988</v>
      </c>
      <c r="CI231">
        <v>2006</v>
      </c>
      <c r="CJ231">
        <v>3</v>
      </c>
      <c r="CK231">
        <f t="shared" si="17"/>
        <v>-3.0510000000000019</v>
      </c>
      <c r="CL231">
        <v>51.19</v>
      </c>
      <c r="CM231">
        <v>96.948999999999998</v>
      </c>
    </row>
    <row r="232" spans="5:91" x14ac:dyDescent="0.2">
      <c r="AE232" s="10" t="s">
        <v>162</v>
      </c>
      <c r="AF232">
        <v>18</v>
      </c>
      <c r="AG232">
        <v>2008</v>
      </c>
      <c r="AH232">
        <v>5</v>
      </c>
      <c r="AI232">
        <v>46.09</v>
      </c>
      <c r="AJ232">
        <v>1</v>
      </c>
      <c r="AK232">
        <v>92</v>
      </c>
      <c r="BU232" s="10" t="s">
        <v>162</v>
      </c>
      <c r="BV232" s="10">
        <v>101</v>
      </c>
      <c r="BW232">
        <v>2006</v>
      </c>
      <c r="BX232">
        <v>4</v>
      </c>
      <c r="BY232">
        <f t="shared" si="16"/>
        <v>-1.8160000000000025</v>
      </c>
      <c r="BZ232">
        <v>51.825000000000003</v>
      </c>
      <c r="CA232">
        <v>98.183999999999997</v>
      </c>
      <c r="CI232">
        <v>2006</v>
      </c>
      <c r="CJ232">
        <v>4</v>
      </c>
      <c r="CK232">
        <f t="shared" si="17"/>
        <v>-1.8569999999999993</v>
      </c>
      <c r="CL232">
        <v>51.802</v>
      </c>
      <c r="CM232">
        <v>98.143000000000001</v>
      </c>
    </row>
    <row r="233" spans="5:91" x14ac:dyDescent="0.2">
      <c r="AE233" s="10" t="s">
        <v>162</v>
      </c>
      <c r="AF233">
        <v>18</v>
      </c>
      <c r="AG233">
        <v>2008</v>
      </c>
      <c r="AH233">
        <v>6</v>
      </c>
      <c r="AI233">
        <v>47.54</v>
      </c>
      <c r="AJ233">
        <v>4</v>
      </c>
      <c r="AK233">
        <v>161</v>
      </c>
      <c r="BU233" s="10" t="s">
        <v>162</v>
      </c>
      <c r="BV233" s="10">
        <v>101</v>
      </c>
      <c r="BW233">
        <v>2006</v>
      </c>
      <c r="BX233">
        <v>5</v>
      </c>
      <c r="BY233">
        <f t="shared" si="16"/>
        <v>-1.1970000000000027</v>
      </c>
      <c r="BZ233">
        <v>52.22</v>
      </c>
      <c r="CA233">
        <v>98.802999999999997</v>
      </c>
      <c r="CI233">
        <v>2006</v>
      </c>
      <c r="CJ233">
        <v>5</v>
      </c>
      <c r="CK233">
        <f t="shared" si="17"/>
        <v>-1.2390000000000043</v>
      </c>
      <c r="CL233">
        <v>52.195999999999998</v>
      </c>
      <c r="CM233">
        <v>98.760999999999996</v>
      </c>
    </row>
    <row r="234" spans="5:91" x14ac:dyDescent="0.2">
      <c r="AE234" s="10" t="s">
        <v>162</v>
      </c>
      <c r="AF234">
        <v>18</v>
      </c>
      <c r="AG234">
        <v>2008</v>
      </c>
      <c r="AH234">
        <v>7</v>
      </c>
      <c r="AI234">
        <v>48.213000000000001</v>
      </c>
      <c r="AJ234">
        <v>2</v>
      </c>
      <c r="AK234">
        <v>109</v>
      </c>
      <c r="BU234" s="10" t="s">
        <v>162</v>
      </c>
      <c r="BV234" s="10">
        <v>101</v>
      </c>
      <c r="BW234">
        <v>2006</v>
      </c>
      <c r="BX234">
        <v>6</v>
      </c>
      <c r="BY234">
        <f t="shared" si="16"/>
        <v>-3.4080000000000013</v>
      </c>
      <c r="BZ234">
        <v>51.14</v>
      </c>
      <c r="CA234">
        <v>96.591999999999999</v>
      </c>
      <c r="CI234">
        <v>2006</v>
      </c>
      <c r="CJ234">
        <v>6</v>
      </c>
      <c r="CK234">
        <f t="shared" si="17"/>
        <v>-3.445999999999998</v>
      </c>
      <c r="CL234">
        <v>51.12</v>
      </c>
      <c r="CM234">
        <v>96.554000000000002</v>
      </c>
    </row>
    <row r="235" spans="5:91" x14ac:dyDescent="0.2">
      <c r="AE235" s="10" t="s">
        <v>162</v>
      </c>
      <c r="AF235">
        <v>18</v>
      </c>
      <c r="AG235">
        <v>2008</v>
      </c>
      <c r="AH235">
        <v>8</v>
      </c>
      <c r="AI235">
        <v>48.040999999999997</v>
      </c>
      <c r="AJ235">
        <v>1</v>
      </c>
      <c r="AK235">
        <v>92</v>
      </c>
      <c r="BU235" s="10" t="s">
        <v>162</v>
      </c>
      <c r="BV235" s="10">
        <v>101</v>
      </c>
      <c r="BW235">
        <v>2006</v>
      </c>
      <c r="BX235">
        <v>7</v>
      </c>
      <c r="BY235">
        <f t="shared" si="16"/>
        <v>-3.117999999999995</v>
      </c>
      <c r="BZ235">
        <v>51.152999999999999</v>
      </c>
      <c r="CA235">
        <v>96.882000000000005</v>
      </c>
      <c r="CI235">
        <v>2006</v>
      </c>
      <c r="CJ235">
        <v>7</v>
      </c>
      <c r="CK235">
        <f t="shared" si="17"/>
        <v>-3.1569999999999965</v>
      </c>
      <c r="CL235">
        <v>51.133000000000003</v>
      </c>
      <c r="CM235">
        <v>96.843000000000004</v>
      </c>
    </row>
    <row r="236" spans="5:91" x14ac:dyDescent="0.2">
      <c r="AE236" s="10" t="s">
        <v>162</v>
      </c>
      <c r="AF236">
        <v>18</v>
      </c>
      <c r="AG236">
        <v>2008</v>
      </c>
      <c r="AH236">
        <v>9</v>
      </c>
      <c r="AI236">
        <v>46.975999999999999</v>
      </c>
      <c r="AJ236">
        <v>3</v>
      </c>
      <c r="AK236">
        <v>149</v>
      </c>
      <c r="BU236" s="10" t="s">
        <v>162</v>
      </c>
      <c r="BV236" s="10">
        <v>101</v>
      </c>
      <c r="BW236">
        <v>2006</v>
      </c>
      <c r="BX236">
        <v>8</v>
      </c>
      <c r="BY236">
        <f t="shared" si="16"/>
        <v>-2.5859999999999985</v>
      </c>
      <c r="BZ236">
        <v>51.350999999999999</v>
      </c>
      <c r="CA236">
        <v>97.414000000000001</v>
      </c>
      <c r="CI236">
        <v>2006</v>
      </c>
      <c r="CJ236">
        <v>8</v>
      </c>
      <c r="CK236">
        <f t="shared" si="17"/>
        <v>-2.6269999999999953</v>
      </c>
      <c r="CL236">
        <v>51.33</v>
      </c>
      <c r="CM236">
        <v>97.373000000000005</v>
      </c>
    </row>
    <row r="237" spans="5:91" x14ac:dyDescent="0.2">
      <c r="AE237" s="10" t="s">
        <v>162</v>
      </c>
      <c r="AF237">
        <v>18</v>
      </c>
      <c r="AG237">
        <v>2008</v>
      </c>
      <c r="AH237">
        <v>10</v>
      </c>
      <c r="AI237">
        <v>47.981999999999999</v>
      </c>
      <c r="AJ237">
        <v>2</v>
      </c>
      <c r="AK237">
        <v>26</v>
      </c>
      <c r="BU237" s="10" t="s">
        <v>162</v>
      </c>
      <c r="BV237" s="10">
        <v>101</v>
      </c>
      <c r="BW237">
        <v>2006</v>
      </c>
      <c r="BX237">
        <v>9</v>
      </c>
      <c r="BY237">
        <f t="shared" si="16"/>
        <v>-3.9240000000000066</v>
      </c>
      <c r="BZ237">
        <v>50.718000000000004</v>
      </c>
      <c r="CA237">
        <v>96.075999999999993</v>
      </c>
      <c r="CI237">
        <v>2006</v>
      </c>
      <c r="CJ237">
        <v>9</v>
      </c>
      <c r="CK237">
        <f t="shared" si="17"/>
        <v>-3.9609999999999985</v>
      </c>
      <c r="CL237">
        <v>50.698999999999998</v>
      </c>
      <c r="CM237">
        <v>96.039000000000001</v>
      </c>
    </row>
    <row r="238" spans="5:91" x14ac:dyDescent="0.2">
      <c r="AE238" s="10" t="s">
        <v>162</v>
      </c>
      <c r="AF238">
        <v>18</v>
      </c>
      <c r="AG238">
        <v>2008</v>
      </c>
      <c r="AH238">
        <v>11</v>
      </c>
      <c r="AI238">
        <v>47.231999999999999</v>
      </c>
      <c r="AJ238">
        <v>1</v>
      </c>
      <c r="AK238">
        <v>92</v>
      </c>
      <c r="BU238" s="10" t="s">
        <v>162</v>
      </c>
      <c r="BV238" s="10">
        <v>101</v>
      </c>
      <c r="BW238">
        <v>2006</v>
      </c>
      <c r="BX238">
        <v>10</v>
      </c>
      <c r="BY238">
        <f t="shared" si="16"/>
        <v>-4.4449999999999932</v>
      </c>
      <c r="BZ238">
        <v>50.427</v>
      </c>
      <c r="CA238">
        <v>95.555000000000007</v>
      </c>
      <c r="CI238">
        <v>2006</v>
      </c>
      <c r="CJ238">
        <v>10</v>
      </c>
      <c r="CK238">
        <f t="shared" si="17"/>
        <v>-4.4809999999999945</v>
      </c>
      <c r="CL238">
        <v>50.408999999999999</v>
      </c>
      <c r="CM238">
        <v>95.519000000000005</v>
      </c>
    </row>
    <row r="239" spans="5:91" x14ac:dyDescent="0.2">
      <c r="AE239" s="10" t="s">
        <v>162</v>
      </c>
      <c r="AF239">
        <v>18</v>
      </c>
      <c r="AG239">
        <v>2008</v>
      </c>
      <c r="AH239">
        <v>12</v>
      </c>
      <c r="AI239">
        <v>47.877000000000002</v>
      </c>
      <c r="AJ239">
        <v>3</v>
      </c>
      <c r="AK239">
        <v>149</v>
      </c>
      <c r="BU239" s="10" t="s">
        <v>162</v>
      </c>
      <c r="BV239" s="10">
        <v>101</v>
      </c>
      <c r="BW239">
        <v>2006</v>
      </c>
      <c r="BX239">
        <v>11</v>
      </c>
      <c r="BY239">
        <f t="shared" si="16"/>
        <v>-4.6490000000000009</v>
      </c>
      <c r="BZ239">
        <v>50.290999999999997</v>
      </c>
      <c r="CA239">
        <v>95.350999999999999</v>
      </c>
      <c r="CI239">
        <v>2006</v>
      </c>
      <c r="CJ239">
        <v>11</v>
      </c>
      <c r="CK239">
        <f t="shared" si="17"/>
        <v>-4.6850000000000023</v>
      </c>
      <c r="CL239">
        <v>50.273000000000003</v>
      </c>
      <c r="CM239">
        <v>95.314999999999998</v>
      </c>
    </row>
    <row r="240" spans="5:91" x14ac:dyDescent="0.2">
      <c r="AE240" s="10" t="s">
        <v>162</v>
      </c>
      <c r="AF240">
        <v>18</v>
      </c>
      <c r="AG240">
        <v>2009</v>
      </c>
      <c r="AH240">
        <v>1</v>
      </c>
      <c r="AI240">
        <v>44.628</v>
      </c>
      <c r="AJ240">
        <v>2</v>
      </c>
      <c r="AK240">
        <v>109</v>
      </c>
      <c r="BU240" s="10" t="s">
        <v>162</v>
      </c>
      <c r="BV240" s="10">
        <v>101</v>
      </c>
      <c r="BW240">
        <v>2006</v>
      </c>
      <c r="BX240">
        <v>12</v>
      </c>
      <c r="BY240">
        <f t="shared" si="16"/>
        <v>-7.0799999999999983</v>
      </c>
      <c r="BZ240">
        <v>48.984999999999999</v>
      </c>
      <c r="CA240">
        <v>92.92</v>
      </c>
      <c r="CI240">
        <v>2006</v>
      </c>
      <c r="CJ240">
        <v>12</v>
      </c>
      <c r="CK240">
        <f t="shared" si="17"/>
        <v>-7.1099999999999994</v>
      </c>
      <c r="CL240">
        <v>48.970999999999997</v>
      </c>
      <c r="CM240">
        <v>92.89</v>
      </c>
    </row>
    <row r="241" spans="31:91" x14ac:dyDescent="0.2">
      <c r="AE241" s="10" t="s">
        <v>162</v>
      </c>
      <c r="AF241">
        <v>18</v>
      </c>
      <c r="AG241">
        <v>2009</v>
      </c>
      <c r="AH241">
        <v>2</v>
      </c>
      <c r="AI241">
        <v>46.734000000000002</v>
      </c>
      <c r="AJ241">
        <v>2</v>
      </c>
      <c r="AK241">
        <v>107</v>
      </c>
      <c r="BU241" s="10" t="s">
        <v>162</v>
      </c>
      <c r="BV241" s="10">
        <v>101</v>
      </c>
      <c r="BW241">
        <v>2007</v>
      </c>
      <c r="BX241">
        <v>1</v>
      </c>
      <c r="BY241">
        <f t="shared" si="16"/>
        <v>-6.7759999999999962</v>
      </c>
      <c r="BZ241">
        <v>49.031999999999996</v>
      </c>
      <c r="CA241">
        <v>93.224000000000004</v>
      </c>
      <c r="CI241">
        <v>2007</v>
      </c>
      <c r="CJ241">
        <v>1</v>
      </c>
      <c r="CK241">
        <f t="shared" si="17"/>
        <v>-6.8070000000000022</v>
      </c>
      <c r="CL241">
        <v>49.015000000000001</v>
      </c>
      <c r="CM241">
        <v>93.192999999999998</v>
      </c>
    </row>
    <row r="242" spans="31:91" x14ac:dyDescent="0.2">
      <c r="AE242" s="10" t="s">
        <v>162</v>
      </c>
      <c r="AF242">
        <v>18</v>
      </c>
      <c r="AG242">
        <v>2009</v>
      </c>
      <c r="AH242">
        <v>3</v>
      </c>
      <c r="AI242">
        <v>48.582999999999998</v>
      </c>
      <c r="AJ242">
        <v>3</v>
      </c>
      <c r="AK242">
        <v>144</v>
      </c>
      <c r="BU242" s="10" t="s">
        <v>162</v>
      </c>
      <c r="BV242" s="10">
        <v>101</v>
      </c>
      <c r="BW242">
        <v>2007</v>
      </c>
      <c r="BX242">
        <v>2</v>
      </c>
      <c r="BY242">
        <f t="shared" si="16"/>
        <v>-4.75</v>
      </c>
      <c r="BZ242">
        <v>50.006</v>
      </c>
      <c r="CA242">
        <v>95.25</v>
      </c>
      <c r="CI242">
        <v>2007</v>
      </c>
      <c r="CJ242">
        <v>2</v>
      </c>
      <c r="CK242">
        <f t="shared" si="17"/>
        <v>-4.7870000000000061</v>
      </c>
      <c r="CL242">
        <v>49.985999999999997</v>
      </c>
      <c r="CM242">
        <v>95.212999999999994</v>
      </c>
    </row>
    <row r="243" spans="31:91" x14ac:dyDescent="0.2">
      <c r="AE243" s="10" t="s">
        <v>162</v>
      </c>
      <c r="AF243">
        <v>18</v>
      </c>
      <c r="AG243">
        <v>2009</v>
      </c>
      <c r="AH243">
        <v>4</v>
      </c>
      <c r="AI243">
        <v>47.279000000000003</v>
      </c>
      <c r="AJ243">
        <v>2</v>
      </c>
      <c r="AK243">
        <v>104</v>
      </c>
      <c r="BU243" s="10" t="s">
        <v>162</v>
      </c>
      <c r="BV243" s="10">
        <v>101</v>
      </c>
      <c r="BW243">
        <v>2007</v>
      </c>
      <c r="BX243">
        <v>3</v>
      </c>
      <c r="BY243">
        <f t="shared" si="16"/>
        <v>-5.8080000000000069</v>
      </c>
      <c r="BZ243">
        <v>49.552999999999997</v>
      </c>
      <c r="CA243">
        <v>94.191999999999993</v>
      </c>
      <c r="CI243">
        <v>2007</v>
      </c>
      <c r="CJ243">
        <v>3</v>
      </c>
      <c r="CK243">
        <f t="shared" si="17"/>
        <v>-5.8419999999999987</v>
      </c>
      <c r="CL243">
        <v>49.534999999999997</v>
      </c>
      <c r="CM243">
        <v>94.158000000000001</v>
      </c>
    </row>
    <row r="244" spans="31:91" x14ac:dyDescent="0.2">
      <c r="AE244" s="10" t="s">
        <v>162</v>
      </c>
      <c r="AF244">
        <v>18</v>
      </c>
      <c r="AG244">
        <v>2009</v>
      </c>
      <c r="AH244">
        <v>5</v>
      </c>
      <c r="AI244">
        <v>46.137</v>
      </c>
      <c r="AJ244">
        <v>2</v>
      </c>
      <c r="AK244">
        <v>109</v>
      </c>
      <c r="BU244" s="10" t="s">
        <v>162</v>
      </c>
      <c r="BV244" s="10">
        <v>101</v>
      </c>
      <c r="BW244">
        <v>2007</v>
      </c>
      <c r="BX244">
        <v>4</v>
      </c>
      <c r="BY244">
        <f t="shared" si="16"/>
        <v>-6.5510000000000019</v>
      </c>
      <c r="BZ244">
        <v>49.149000000000001</v>
      </c>
      <c r="CA244">
        <v>93.448999999999998</v>
      </c>
      <c r="CI244">
        <v>2007</v>
      </c>
      <c r="CJ244">
        <v>4</v>
      </c>
      <c r="CK244">
        <f t="shared" si="17"/>
        <v>-6.5840000000000032</v>
      </c>
      <c r="CL244">
        <v>49.131999999999998</v>
      </c>
      <c r="CM244">
        <v>93.415999999999997</v>
      </c>
    </row>
    <row r="245" spans="31:91" x14ac:dyDescent="0.2">
      <c r="AE245" s="10" t="s">
        <v>162</v>
      </c>
      <c r="AF245">
        <v>18</v>
      </c>
      <c r="AG245">
        <v>2009</v>
      </c>
      <c r="AH245">
        <v>6</v>
      </c>
      <c r="AI245">
        <v>44.33</v>
      </c>
      <c r="AJ245">
        <v>3</v>
      </c>
      <c r="AK245">
        <v>147</v>
      </c>
      <c r="BU245" s="10" t="s">
        <v>162</v>
      </c>
      <c r="BV245" s="10">
        <v>101</v>
      </c>
      <c r="BW245">
        <v>2007</v>
      </c>
      <c r="BX245">
        <v>5</v>
      </c>
      <c r="BY245">
        <f t="shared" si="16"/>
        <v>-7.2330000000000041</v>
      </c>
      <c r="BZ245">
        <v>48.704000000000001</v>
      </c>
      <c r="CA245">
        <v>92.766999999999996</v>
      </c>
      <c r="CI245">
        <v>2007</v>
      </c>
      <c r="CJ245">
        <v>5</v>
      </c>
      <c r="CK245">
        <f t="shared" si="17"/>
        <v>-7.2639999999999958</v>
      </c>
      <c r="CL245">
        <v>48.688000000000002</v>
      </c>
      <c r="CM245">
        <v>92.736000000000004</v>
      </c>
    </row>
    <row r="246" spans="31:91" x14ac:dyDescent="0.2">
      <c r="AE246" s="10" t="s">
        <v>162</v>
      </c>
      <c r="AF246">
        <v>18</v>
      </c>
      <c r="AG246">
        <v>2009</v>
      </c>
      <c r="AH246">
        <v>7</v>
      </c>
      <c r="AI246">
        <v>46.750999999999998</v>
      </c>
      <c r="AJ246">
        <v>1</v>
      </c>
      <c r="AK246">
        <v>92</v>
      </c>
      <c r="BU246" s="10" t="s">
        <v>162</v>
      </c>
      <c r="BV246" s="10">
        <v>101</v>
      </c>
      <c r="BW246">
        <v>2007</v>
      </c>
      <c r="BX246">
        <v>6</v>
      </c>
      <c r="BY246">
        <f t="shared" si="16"/>
        <v>-6.2150000000000034</v>
      </c>
      <c r="BZ246">
        <v>49.241</v>
      </c>
      <c r="CA246">
        <v>93.784999999999997</v>
      </c>
      <c r="CI246">
        <v>2007</v>
      </c>
      <c r="CJ246">
        <v>6</v>
      </c>
      <c r="CK246">
        <f t="shared" si="17"/>
        <v>-6.2489999999999952</v>
      </c>
      <c r="CL246">
        <v>49.222999999999999</v>
      </c>
      <c r="CM246">
        <v>93.751000000000005</v>
      </c>
    </row>
    <row r="247" spans="31:91" x14ac:dyDescent="0.2">
      <c r="AE247" s="10" t="s">
        <v>162</v>
      </c>
      <c r="AF247">
        <v>18</v>
      </c>
      <c r="AG247">
        <v>2009</v>
      </c>
      <c r="AH247">
        <v>8</v>
      </c>
      <c r="AI247">
        <v>44.881999999999998</v>
      </c>
      <c r="AJ247">
        <v>0</v>
      </c>
      <c r="AK247">
        <v>0</v>
      </c>
      <c r="BU247" s="10" t="s">
        <v>162</v>
      </c>
      <c r="BV247" s="10">
        <v>101</v>
      </c>
      <c r="BW247">
        <v>2007</v>
      </c>
      <c r="BX247">
        <v>7</v>
      </c>
      <c r="BY247">
        <f t="shared" si="16"/>
        <v>-7.1869999999999976</v>
      </c>
      <c r="BZ247">
        <v>48.673999999999999</v>
      </c>
      <c r="CA247">
        <v>92.813000000000002</v>
      </c>
      <c r="CI247">
        <v>2007</v>
      </c>
      <c r="CJ247">
        <v>7</v>
      </c>
      <c r="CK247">
        <f t="shared" si="17"/>
        <v>-7.2189999999999941</v>
      </c>
      <c r="CL247">
        <v>48.658000000000001</v>
      </c>
      <c r="CM247">
        <v>92.781000000000006</v>
      </c>
    </row>
    <row r="248" spans="31:91" x14ac:dyDescent="0.2">
      <c r="AE248" s="10" t="s">
        <v>162</v>
      </c>
      <c r="AF248">
        <v>18</v>
      </c>
      <c r="AG248">
        <v>2009</v>
      </c>
      <c r="AH248">
        <v>9</v>
      </c>
      <c r="AI248">
        <v>43.831000000000003</v>
      </c>
      <c r="AJ248">
        <v>4</v>
      </c>
      <c r="AK248">
        <v>164</v>
      </c>
      <c r="BU248" s="10" t="s">
        <v>162</v>
      </c>
      <c r="BV248" s="10">
        <v>101</v>
      </c>
      <c r="BW248">
        <v>2007</v>
      </c>
      <c r="BX248">
        <v>8</v>
      </c>
      <c r="BY248">
        <f t="shared" si="16"/>
        <v>-7.019999999999996</v>
      </c>
      <c r="BZ248">
        <v>48.704999999999998</v>
      </c>
      <c r="CA248">
        <v>92.98</v>
      </c>
      <c r="CI248">
        <v>2007</v>
      </c>
      <c r="CJ248">
        <v>8</v>
      </c>
      <c r="CK248">
        <f t="shared" si="17"/>
        <v>-7.0520000000000067</v>
      </c>
      <c r="CL248">
        <v>48.688000000000002</v>
      </c>
      <c r="CM248">
        <v>92.947999999999993</v>
      </c>
    </row>
    <row r="249" spans="31:91" x14ac:dyDescent="0.2">
      <c r="AE249" s="10" t="s">
        <v>162</v>
      </c>
      <c r="AF249">
        <v>18</v>
      </c>
      <c r="AG249">
        <v>2009</v>
      </c>
      <c r="AH249">
        <v>10</v>
      </c>
      <c r="AI249">
        <v>40.448999999999998</v>
      </c>
      <c r="AJ249">
        <v>3</v>
      </c>
      <c r="AK249">
        <v>116</v>
      </c>
      <c r="BU249" s="10" t="s">
        <v>162</v>
      </c>
      <c r="BV249" s="10">
        <v>101</v>
      </c>
      <c r="BW249">
        <v>2007</v>
      </c>
      <c r="BX249">
        <v>9</v>
      </c>
      <c r="BY249">
        <f t="shared" si="16"/>
        <v>-6.671999999999997</v>
      </c>
      <c r="BZ249">
        <v>48.954999999999998</v>
      </c>
      <c r="CA249">
        <v>93.328000000000003</v>
      </c>
      <c r="CI249">
        <v>2007</v>
      </c>
      <c r="CJ249">
        <v>9</v>
      </c>
      <c r="CK249">
        <f t="shared" si="17"/>
        <v>-6.7049999999999983</v>
      </c>
      <c r="CL249">
        <v>48.936999999999998</v>
      </c>
      <c r="CM249">
        <v>93.295000000000002</v>
      </c>
    </row>
    <row r="250" spans="31:91" x14ac:dyDescent="0.2">
      <c r="AE250" s="10" t="s">
        <v>162</v>
      </c>
      <c r="AF250">
        <v>18</v>
      </c>
      <c r="AG250">
        <v>2009</v>
      </c>
      <c r="AH250">
        <v>11</v>
      </c>
      <c r="AI250">
        <v>40.673000000000002</v>
      </c>
      <c r="AJ250">
        <v>3</v>
      </c>
      <c r="AK250">
        <v>124</v>
      </c>
      <c r="BU250" s="10" t="s">
        <v>162</v>
      </c>
      <c r="BV250" s="10">
        <v>101</v>
      </c>
      <c r="BW250">
        <v>2007</v>
      </c>
      <c r="BX250">
        <v>10</v>
      </c>
      <c r="BY250">
        <f t="shared" si="16"/>
        <v>-6.9549999999999983</v>
      </c>
      <c r="BZ250">
        <v>48.728999999999999</v>
      </c>
      <c r="CA250">
        <v>93.045000000000002</v>
      </c>
      <c r="CI250">
        <v>2007</v>
      </c>
      <c r="CJ250">
        <v>10</v>
      </c>
      <c r="CK250">
        <f t="shared" si="17"/>
        <v>-6.9879999999999995</v>
      </c>
      <c r="CL250">
        <v>48.713000000000001</v>
      </c>
      <c r="CM250">
        <v>93.012</v>
      </c>
    </row>
    <row r="251" spans="31:91" x14ac:dyDescent="0.2">
      <c r="AE251" s="10" t="s">
        <v>162</v>
      </c>
      <c r="AF251">
        <v>18</v>
      </c>
      <c r="AG251">
        <v>2009</v>
      </c>
      <c r="AH251">
        <v>12</v>
      </c>
      <c r="AI251">
        <v>40.46</v>
      </c>
      <c r="AJ251">
        <v>3</v>
      </c>
      <c r="AK251">
        <v>149</v>
      </c>
      <c r="BU251" s="10" t="s">
        <v>162</v>
      </c>
      <c r="BV251" s="10">
        <v>101</v>
      </c>
      <c r="BW251">
        <v>2007</v>
      </c>
      <c r="BX251">
        <v>11</v>
      </c>
      <c r="BY251">
        <f t="shared" si="16"/>
        <v>-10.308000000000007</v>
      </c>
      <c r="BZ251">
        <v>46.887</v>
      </c>
      <c r="CA251">
        <v>89.691999999999993</v>
      </c>
      <c r="CI251">
        <v>2007</v>
      </c>
      <c r="CJ251">
        <v>11</v>
      </c>
      <c r="CK251">
        <f t="shared" si="17"/>
        <v>-10.332999999999998</v>
      </c>
      <c r="CL251">
        <v>46.875999999999998</v>
      </c>
      <c r="CM251">
        <v>89.667000000000002</v>
      </c>
    </row>
    <row r="252" spans="31:91" x14ac:dyDescent="0.2">
      <c r="AE252" s="10" t="s">
        <v>162</v>
      </c>
      <c r="AF252">
        <v>18</v>
      </c>
      <c r="AG252">
        <v>2010</v>
      </c>
      <c r="AH252">
        <v>1</v>
      </c>
      <c r="AI252">
        <v>38.252000000000002</v>
      </c>
      <c r="AJ252">
        <v>0</v>
      </c>
      <c r="AK252">
        <v>0</v>
      </c>
      <c r="BU252" s="10" t="s">
        <v>162</v>
      </c>
      <c r="BV252" s="10">
        <v>101</v>
      </c>
      <c r="BW252">
        <v>2007</v>
      </c>
      <c r="BX252">
        <v>12</v>
      </c>
      <c r="BY252">
        <f t="shared" si="16"/>
        <v>-11.052000000000007</v>
      </c>
      <c r="BZ252">
        <v>46.442999999999998</v>
      </c>
      <c r="CA252">
        <v>88.947999999999993</v>
      </c>
      <c r="CI252">
        <v>2007</v>
      </c>
      <c r="CJ252">
        <v>12</v>
      </c>
      <c r="CK252">
        <f t="shared" si="17"/>
        <v>-11.075000000000003</v>
      </c>
      <c r="CL252">
        <v>46.432000000000002</v>
      </c>
      <c r="CM252">
        <v>88.924999999999997</v>
      </c>
    </row>
    <row r="253" spans="31:91" x14ac:dyDescent="0.2">
      <c r="AE253" s="10" t="s">
        <v>162</v>
      </c>
      <c r="AF253">
        <v>18</v>
      </c>
      <c r="AG253">
        <v>2010</v>
      </c>
      <c r="AH253">
        <v>2</v>
      </c>
      <c r="AI253">
        <v>37.978000000000002</v>
      </c>
      <c r="AJ253">
        <v>5</v>
      </c>
      <c r="AK253">
        <v>176</v>
      </c>
      <c r="BU253" s="10" t="s">
        <v>162</v>
      </c>
      <c r="BV253" s="10">
        <v>101</v>
      </c>
      <c r="BW253">
        <v>2008</v>
      </c>
      <c r="BX253">
        <v>1</v>
      </c>
      <c r="BY253">
        <f t="shared" si="16"/>
        <v>-11.070999999999998</v>
      </c>
      <c r="BZ253">
        <v>46.387</v>
      </c>
      <c r="CA253">
        <v>88.929000000000002</v>
      </c>
      <c r="CI253">
        <v>2008</v>
      </c>
      <c r="CJ253">
        <v>1</v>
      </c>
      <c r="CK253">
        <f t="shared" si="17"/>
        <v>-11.093000000000004</v>
      </c>
      <c r="CL253">
        <v>46.375</v>
      </c>
      <c r="CM253">
        <v>88.906999999999996</v>
      </c>
    </row>
    <row r="254" spans="31:91" x14ac:dyDescent="0.2">
      <c r="AE254" s="10" t="s">
        <v>162</v>
      </c>
      <c r="AF254">
        <v>18</v>
      </c>
      <c r="AG254">
        <v>2010</v>
      </c>
      <c r="AH254">
        <v>3</v>
      </c>
      <c r="AI254">
        <v>38.375</v>
      </c>
      <c r="AJ254">
        <v>4</v>
      </c>
      <c r="AK254">
        <v>84</v>
      </c>
      <c r="BU254" s="10" t="s">
        <v>162</v>
      </c>
      <c r="BV254" s="10">
        <v>101</v>
      </c>
      <c r="BW254">
        <v>2008</v>
      </c>
      <c r="BX254">
        <v>2</v>
      </c>
      <c r="BY254">
        <f t="shared" si="16"/>
        <v>-10.835999999999999</v>
      </c>
      <c r="BZ254">
        <v>46.319000000000003</v>
      </c>
      <c r="CA254">
        <v>89.164000000000001</v>
      </c>
      <c r="CI254">
        <v>2008</v>
      </c>
      <c r="CJ254">
        <v>2</v>
      </c>
      <c r="CK254">
        <f t="shared" si="17"/>
        <v>-10.861000000000004</v>
      </c>
      <c r="CL254">
        <v>46.307000000000002</v>
      </c>
      <c r="CM254">
        <v>89.138999999999996</v>
      </c>
    </row>
    <row r="255" spans="31:91" x14ac:dyDescent="0.2">
      <c r="AE255" s="10" t="s">
        <v>162</v>
      </c>
      <c r="AF255">
        <v>18</v>
      </c>
      <c r="AG255">
        <v>2010</v>
      </c>
      <c r="AH255">
        <v>4</v>
      </c>
      <c r="AI255">
        <v>38.506</v>
      </c>
      <c r="AJ255">
        <v>2</v>
      </c>
      <c r="AK255">
        <v>107</v>
      </c>
      <c r="BU255" s="10" t="s">
        <v>162</v>
      </c>
      <c r="BV255" s="10">
        <v>101</v>
      </c>
      <c r="BW255">
        <v>2008</v>
      </c>
      <c r="BX255">
        <v>3</v>
      </c>
      <c r="BY255">
        <f t="shared" si="16"/>
        <v>-11.694999999999993</v>
      </c>
      <c r="BZ255">
        <v>45.948</v>
      </c>
      <c r="CA255">
        <v>88.305000000000007</v>
      </c>
      <c r="CI255">
        <v>2008</v>
      </c>
      <c r="CJ255">
        <v>3</v>
      </c>
      <c r="CK255">
        <f t="shared" si="17"/>
        <v>-11.716999999999999</v>
      </c>
      <c r="CL255">
        <v>45.936999999999998</v>
      </c>
      <c r="CM255">
        <v>88.283000000000001</v>
      </c>
    </row>
    <row r="256" spans="31:91" x14ac:dyDescent="0.2">
      <c r="AE256" s="10" t="s">
        <v>162</v>
      </c>
      <c r="AF256">
        <v>18</v>
      </c>
      <c r="AG256">
        <v>2010</v>
      </c>
      <c r="AH256">
        <v>5</v>
      </c>
      <c r="AI256">
        <v>40.008000000000003</v>
      </c>
      <c r="AJ256">
        <v>7</v>
      </c>
      <c r="AK256">
        <v>183</v>
      </c>
      <c r="BU256" s="10" t="s">
        <v>162</v>
      </c>
      <c r="BV256" s="10">
        <v>101</v>
      </c>
      <c r="BW256">
        <v>2008</v>
      </c>
      <c r="BX256">
        <v>4</v>
      </c>
      <c r="BY256">
        <f t="shared" si="16"/>
        <v>-10.221000000000004</v>
      </c>
      <c r="BZ256">
        <v>46.558</v>
      </c>
      <c r="CA256">
        <v>89.778999999999996</v>
      </c>
      <c r="CI256">
        <v>2008</v>
      </c>
      <c r="CJ256">
        <v>4</v>
      </c>
      <c r="CK256">
        <f t="shared" si="17"/>
        <v>-10.248000000000005</v>
      </c>
      <c r="CL256">
        <v>46.543999999999997</v>
      </c>
      <c r="CM256">
        <v>89.751999999999995</v>
      </c>
    </row>
    <row r="257" spans="31:91" x14ac:dyDescent="0.2">
      <c r="AE257" s="10" t="s">
        <v>162</v>
      </c>
      <c r="AF257">
        <v>18</v>
      </c>
      <c r="AG257">
        <v>2010</v>
      </c>
      <c r="AH257">
        <v>6</v>
      </c>
      <c r="AI257">
        <v>39.472000000000001</v>
      </c>
      <c r="AJ257">
        <v>3</v>
      </c>
      <c r="AK257">
        <v>124</v>
      </c>
      <c r="BU257" s="10" t="s">
        <v>162</v>
      </c>
      <c r="BV257" s="10">
        <v>101</v>
      </c>
      <c r="BW257">
        <v>2008</v>
      </c>
      <c r="BX257">
        <v>5</v>
      </c>
      <c r="BY257">
        <f t="shared" si="16"/>
        <v>-9.3659999999999997</v>
      </c>
      <c r="BZ257">
        <v>47.118000000000002</v>
      </c>
      <c r="CA257">
        <v>90.634</v>
      </c>
      <c r="CI257">
        <v>2008</v>
      </c>
      <c r="CJ257">
        <v>5</v>
      </c>
      <c r="CK257">
        <f t="shared" si="17"/>
        <v>-9.3940000000000055</v>
      </c>
      <c r="CL257">
        <v>47.101999999999997</v>
      </c>
      <c r="CM257">
        <v>90.605999999999995</v>
      </c>
    </row>
    <row r="258" spans="31:91" x14ac:dyDescent="0.2">
      <c r="AE258" s="10" t="s">
        <v>162</v>
      </c>
      <c r="AF258">
        <v>18</v>
      </c>
      <c r="AG258">
        <v>2010</v>
      </c>
      <c r="AH258">
        <v>7</v>
      </c>
      <c r="AI258">
        <v>37.030999999999999</v>
      </c>
      <c r="AJ258">
        <v>1</v>
      </c>
      <c r="AK258">
        <v>17</v>
      </c>
      <c r="BU258" s="10" t="s">
        <v>162</v>
      </c>
      <c r="BV258" s="10">
        <v>101</v>
      </c>
      <c r="BW258">
        <v>2008</v>
      </c>
      <c r="BX258">
        <v>6</v>
      </c>
      <c r="BY258">
        <f t="shared" si="16"/>
        <v>-9.3050000000000068</v>
      </c>
      <c r="BZ258">
        <v>47.267000000000003</v>
      </c>
      <c r="CA258">
        <v>90.694999999999993</v>
      </c>
      <c r="CI258">
        <v>2008</v>
      </c>
      <c r="CJ258">
        <v>6</v>
      </c>
      <c r="CK258">
        <f t="shared" si="17"/>
        <v>-9.3319999999999936</v>
      </c>
      <c r="CL258">
        <v>47.250999999999998</v>
      </c>
      <c r="CM258">
        <v>90.668000000000006</v>
      </c>
    </row>
    <row r="259" spans="31:91" x14ac:dyDescent="0.2">
      <c r="AE259" s="10" t="s">
        <v>162</v>
      </c>
      <c r="AF259">
        <v>18</v>
      </c>
      <c r="AG259">
        <v>2010</v>
      </c>
      <c r="AH259">
        <v>8</v>
      </c>
      <c r="AI259">
        <v>37.994</v>
      </c>
      <c r="AJ259">
        <v>1</v>
      </c>
      <c r="AK259">
        <v>92</v>
      </c>
      <c r="BU259" s="10" t="s">
        <v>162</v>
      </c>
      <c r="BV259" s="10">
        <v>101</v>
      </c>
      <c r="BW259">
        <v>2008</v>
      </c>
      <c r="BX259">
        <v>7</v>
      </c>
      <c r="BY259">
        <f t="shared" ref="BY259:BY322" si="18">CA259-100</f>
        <v>-8.0739999999999981</v>
      </c>
      <c r="BZ259">
        <v>47.853999999999999</v>
      </c>
      <c r="CA259">
        <v>91.926000000000002</v>
      </c>
      <c r="CI259">
        <v>2008</v>
      </c>
      <c r="CJ259">
        <v>7</v>
      </c>
      <c r="CK259">
        <f t="shared" ref="CK259:CK322" si="19">CM259-100</f>
        <v>-8.105000000000004</v>
      </c>
      <c r="CL259">
        <v>47.835999999999999</v>
      </c>
      <c r="CM259">
        <v>91.894999999999996</v>
      </c>
    </row>
    <row r="260" spans="31:91" x14ac:dyDescent="0.2">
      <c r="AE260" s="10" t="s">
        <v>162</v>
      </c>
      <c r="AF260">
        <v>18</v>
      </c>
      <c r="AG260">
        <v>2010</v>
      </c>
      <c r="AH260">
        <v>9</v>
      </c>
      <c r="AI260">
        <v>39.548999999999999</v>
      </c>
      <c r="AJ260">
        <v>4</v>
      </c>
      <c r="AK260">
        <v>184</v>
      </c>
      <c r="BU260" s="10" t="s">
        <v>162</v>
      </c>
      <c r="BV260" s="10">
        <v>101</v>
      </c>
      <c r="BW260">
        <v>2008</v>
      </c>
      <c r="BX260">
        <v>8</v>
      </c>
      <c r="BY260">
        <f t="shared" si="18"/>
        <v>-8.7249999999999943</v>
      </c>
      <c r="BZ260">
        <v>47.531999999999996</v>
      </c>
      <c r="CA260">
        <v>91.275000000000006</v>
      </c>
      <c r="CI260">
        <v>2008</v>
      </c>
      <c r="CJ260">
        <v>8</v>
      </c>
      <c r="CK260">
        <f t="shared" si="19"/>
        <v>-8.7540000000000049</v>
      </c>
      <c r="CL260">
        <v>47.517000000000003</v>
      </c>
      <c r="CM260">
        <v>91.245999999999995</v>
      </c>
    </row>
    <row r="261" spans="31:91" x14ac:dyDescent="0.2">
      <c r="AE261" s="10" t="s">
        <v>162</v>
      </c>
      <c r="AF261">
        <v>18</v>
      </c>
      <c r="AG261">
        <v>2010</v>
      </c>
      <c r="AH261">
        <v>10</v>
      </c>
      <c r="AI261">
        <v>42.616999999999997</v>
      </c>
      <c r="AJ261">
        <v>2</v>
      </c>
      <c r="AK261">
        <v>26</v>
      </c>
      <c r="BU261" s="10" t="s">
        <v>162</v>
      </c>
      <c r="BV261" s="10">
        <v>101</v>
      </c>
      <c r="BW261">
        <v>2008</v>
      </c>
      <c r="BX261">
        <v>9</v>
      </c>
      <c r="BY261">
        <f t="shared" si="18"/>
        <v>-9.3709999999999951</v>
      </c>
      <c r="BZ261">
        <v>47.277999999999999</v>
      </c>
      <c r="CA261">
        <v>90.629000000000005</v>
      </c>
      <c r="CI261">
        <v>2008</v>
      </c>
      <c r="CJ261">
        <v>9</v>
      </c>
      <c r="CK261">
        <f t="shared" si="19"/>
        <v>-9.3979999999999961</v>
      </c>
      <c r="CL261">
        <v>47.262999999999998</v>
      </c>
      <c r="CM261">
        <v>90.602000000000004</v>
      </c>
    </row>
    <row r="262" spans="31:91" x14ac:dyDescent="0.2">
      <c r="AE262" s="10" t="s">
        <v>162</v>
      </c>
      <c r="AF262">
        <v>18</v>
      </c>
      <c r="AG262">
        <v>2010</v>
      </c>
      <c r="AH262">
        <v>11</v>
      </c>
      <c r="AI262">
        <v>40.966999999999999</v>
      </c>
      <c r="AJ262">
        <v>2</v>
      </c>
      <c r="AK262">
        <v>107</v>
      </c>
      <c r="BU262" s="10" t="s">
        <v>162</v>
      </c>
      <c r="BV262" s="10">
        <v>101</v>
      </c>
      <c r="BW262">
        <v>2008</v>
      </c>
      <c r="BX262">
        <v>10</v>
      </c>
      <c r="BY262">
        <f t="shared" si="18"/>
        <v>-10.841999999999999</v>
      </c>
      <c r="BZ262">
        <v>47.253999999999998</v>
      </c>
      <c r="CA262">
        <v>89.158000000000001</v>
      </c>
      <c r="CI262">
        <v>2008</v>
      </c>
      <c r="CJ262">
        <v>10</v>
      </c>
      <c r="CK262">
        <f t="shared" si="19"/>
        <v>-10.864000000000004</v>
      </c>
      <c r="CL262">
        <v>47.237000000000002</v>
      </c>
      <c r="CM262">
        <v>89.135999999999996</v>
      </c>
    </row>
    <row r="263" spans="31:91" x14ac:dyDescent="0.2">
      <c r="AE263" s="10" t="s">
        <v>162</v>
      </c>
      <c r="AF263">
        <v>18</v>
      </c>
      <c r="AG263">
        <v>2010</v>
      </c>
      <c r="AH263">
        <v>12</v>
      </c>
      <c r="AI263">
        <v>43.906999999999996</v>
      </c>
      <c r="AJ263">
        <v>3</v>
      </c>
      <c r="AK263">
        <v>167</v>
      </c>
      <c r="BU263" s="10" t="s">
        <v>162</v>
      </c>
      <c r="BV263" s="10">
        <v>101</v>
      </c>
      <c r="BW263">
        <v>2008</v>
      </c>
      <c r="BX263">
        <v>11</v>
      </c>
      <c r="BY263">
        <f t="shared" si="18"/>
        <v>-8.8269999999999982</v>
      </c>
      <c r="BZ263">
        <v>47.728999999999999</v>
      </c>
      <c r="CA263">
        <v>91.173000000000002</v>
      </c>
      <c r="CI263">
        <v>2008</v>
      </c>
      <c r="CJ263">
        <v>11</v>
      </c>
      <c r="CK263">
        <f t="shared" si="19"/>
        <v>-8.8559999999999945</v>
      </c>
      <c r="CL263">
        <v>47.713000000000001</v>
      </c>
      <c r="CM263">
        <v>91.144000000000005</v>
      </c>
    </row>
    <row r="264" spans="31:91" x14ac:dyDescent="0.2">
      <c r="AE264" s="10" t="s">
        <v>162</v>
      </c>
      <c r="AF264">
        <v>18</v>
      </c>
      <c r="AG264">
        <v>2011</v>
      </c>
      <c r="AH264">
        <v>1</v>
      </c>
      <c r="AI264">
        <v>46.338999999999999</v>
      </c>
      <c r="AJ264">
        <v>1</v>
      </c>
      <c r="AK264">
        <v>17</v>
      </c>
      <c r="BU264" s="10" t="s">
        <v>162</v>
      </c>
      <c r="BV264" s="10">
        <v>101</v>
      </c>
      <c r="BW264">
        <v>2008</v>
      </c>
      <c r="BX264">
        <v>12</v>
      </c>
      <c r="BY264">
        <f t="shared" si="18"/>
        <v>-8.8239999999999981</v>
      </c>
      <c r="BZ264">
        <v>47.686999999999998</v>
      </c>
      <c r="CA264">
        <v>91.176000000000002</v>
      </c>
      <c r="CI264">
        <v>2008</v>
      </c>
      <c r="CJ264">
        <v>12</v>
      </c>
      <c r="CK264">
        <f t="shared" si="19"/>
        <v>-8.8529999999999944</v>
      </c>
      <c r="CL264">
        <v>47.671999999999997</v>
      </c>
      <c r="CM264">
        <v>91.147000000000006</v>
      </c>
    </row>
    <row r="265" spans="31:91" x14ac:dyDescent="0.2">
      <c r="AE265" s="10" t="s">
        <v>162</v>
      </c>
      <c r="AF265">
        <v>18</v>
      </c>
      <c r="AG265">
        <v>2011</v>
      </c>
      <c r="AH265">
        <v>2</v>
      </c>
      <c r="AI265">
        <v>45.95</v>
      </c>
      <c r="AJ265">
        <v>5</v>
      </c>
      <c r="AK265">
        <v>129</v>
      </c>
      <c r="BU265" s="10" t="s">
        <v>162</v>
      </c>
      <c r="BV265" s="10">
        <v>101</v>
      </c>
      <c r="BW265">
        <v>2009</v>
      </c>
      <c r="BX265">
        <v>1</v>
      </c>
      <c r="BY265">
        <f t="shared" si="18"/>
        <v>-11.495000000000005</v>
      </c>
      <c r="BZ265">
        <v>46.128999999999998</v>
      </c>
      <c r="CA265">
        <v>88.504999999999995</v>
      </c>
      <c r="CI265">
        <v>2009</v>
      </c>
      <c r="CJ265">
        <v>1</v>
      </c>
      <c r="CK265">
        <f t="shared" si="19"/>
        <v>-11.519000000000005</v>
      </c>
      <c r="CL265">
        <v>46.119</v>
      </c>
      <c r="CM265">
        <v>88.480999999999995</v>
      </c>
    </row>
    <row r="266" spans="31:91" x14ac:dyDescent="0.2">
      <c r="AE266" s="10" t="s">
        <v>162</v>
      </c>
      <c r="AF266">
        <v>18</v>
      </c>
      <c r="AG266">
        <v>2011</v>
      </c>
      <c r="AH266">
        <v>3</v>
      </c>
      <c r="AI266">
        <v>40.923999999999999</v>
      </c>
      <c r="AJ266">
        <v>2</v>
      </c>
      <c r="AK266">
        <v>75</v>
      </c>
      <c r="BU266" s="10" t="s">
        <v>162</v>
      </c>
      <c r="BV266" s="10">
        <v>101</v>
      </c>
      <c r="BW266">
        <v>2009</v>
      </c>
      <c r="BX266">
        <v>2</v>
      </c>
      <c r="BY266">
        <f t="shared" si="18"/>
        <v>-9.625</v>
      </c>
      <c r="BZ266">
        <v>46.945</v>
      </c>
      <c r="CA266">
        <v>90.375</v>
      </c>
      <c r="CI266">
        <v>2009</v>
      </c>
      <c r="CJ266">
        <v>2</v>
      </c>
      <c r="CK266">
        <f t="shared" si="19"/>
        <v>-9.6530000000000058</v>
      </c>
      <c r="CL266">
        <v>46.930999999999997</v>
      </c>
      <c r="CM266">
        <v>90.346999999999994</v>
      </c>
    </row>
    <row r="267" spans="31:91" x14ac:dyDescent="0.2">
      <c r="AE267" s="10" t="s">
        <v>162</v>
      </c>
      <c r="AF267">
        <v>18</v>
      </c>
      <c r="AG267">
        <v>2011</v>
      </c>
      <c r="AH267">
        <v>4</v>
      </c>
      <c r="AI267">
        <v>44.509</v>
      </c>
      <c r="AJ267">
        <v>2</v>
      </c>
      <c r="AK267">
        <v>95</v>
      </c>
      <c r="BU267" s="10" t="s">
        <v>162</v>
      </c>
      <c r="BV267" s="10">
        <v>101</v>
      </c>
      <c r="BW267">
        <v>2009</v>
      </c>
      <c r="BX267">
        <v>3</v>
      </c>
      <c r="BY267">
        <f t="shared" si="18"/>
        <v>-8.0079999999999956</v>
      </c>
      <c r="BZ267">
        <v>48.033999999999999</v>
      </c>
      <c r="CA267">
        <v>91.992000000000004</v>
      </c>
      <c r="CI267">
        <v>2009</v>
      </c>
      <c r="CJ267">
        <v>3</v>
      </c>
      <c r="CK267">
        <f t="shared" si="19"/>
        <v>-8.0379999999999967</v>
      </c>
      <c r="CL267">
        <v>48.015999999999998</v>
      </c>
      <c r="CM267">
        <v>91.962000000000003</v>
      </c>
    </row>
    <row r="268" spans="31:91" x14ac:dyDescent="0.2">
      <c r="AE268" s="10" t="s">
        <v>162</v>
      </c>
      <c r="AF268">
        <v>18</v>
      </c>
      <c r="AG268">
        <v>2011</v>
      </c>
      <c r="AH268">
        <v>5</v>
      </c>
      <c r="AI268">
        <v>41.393999999999998</v>
      </c>
      <c r="AJ268">
        <v>2</v>
      </c>
      <c r="AK268">
        <v>107</v>
      </c>
      <c r="BU268" s="10" t="s">
        <v>162</v>
      </c>
      <c r="BV268" s="10">
        <v>101</v>
      </c>
      <c r="BW268">
        <v>2009</v>
      </c>
      <c r="BX268">
        <v>4</v>
      </c>
      <c r="BY268">
        <f t="shared" si="18"/>
        <v>-9.4650000000000034</v>
      </c>
      <c r="BZ268">
        <v>47.204999999999998</v>
      </c>
      <c r="CA268">
        <v>90.534999999999997</v>
      </c>
      <c r="CI268">
        <v>2009</v>
      </c>
      <c r="CJ268">
        <v>4</v>
      </c>
      <c r="CK268">
        <f t="shared" si="19"/>
        <v>-9.4920000000000044</v>
      </c>
      <c r="CL268">
        <v>47.19</v>
      </c>
      <c r="CM268">
        <v>90.507999999999996</v>
      </c>
    </row>
    <row r="269" spans="31:91" x14ac:dyDescent="0.2">
      <c r="AE269" s="10" t="s">
        <v>162</v>
      </c>
      <c r="AF269">
        <v>18</v>
      </c>
      <c r="AG269">
        <v>2011</v>
      </c>
      <c r="AH269">
        <v>6</v>
      </c>
      <c r="AI269">
        <v>43.51</v>
      </c>
      <c r="AJ269">
        <v>1</v>
      </c>
      <c r="AK269">
        <v>92</v>
      </c>
      <c r="BU269" s="10" t="s">
        <v>162</v>
      </c>
      <c r="BV269" s="10">
        <v>101</v>
      </c>
      <c r="BW269">
        <v>2009</v>
      </c>
      <c r="BX269">
        <v>5</v>
      </c>
      <c r="BY269">
        <f t="shared" si="18"/>
        <v>-10.474999999999994</v>
      </c>
      <c r="BZ269">
        <v>46.567</v>
      </c>
      <c r="CA269">
        <v>89.525000000000006</v>
      </c>
      <c r="CI269">
        <v>2009</v>
      </c>
      <c r="CJ269">
        <v>5</v>
      </c>
      <c r="CK269">
        <f t="shared" si="19"/>
        <v>-10.501000000000005</v>
      </c>
      <c r="CL269">
        <v>46.555</v>
      </c>
      <c r="CM269">
        <v>89.498999999999995</v>
      </c>
    </row>
    <row r="270" spans="31:91" x14ac:dyDescent="0.2">
      <c r="AE270" s="10" t="s">
        <v>162</v>
      </c>
      <c r="AF270">
        <v>18</v>
      </c>
      <c r="AG270">
        <v>2011</v>
      </c>
      <c r="AH270">
        <v>7</v>
      </c>
      <c r="AI270">
        <v>42.133000000000003</v>
      </c>
      <c r="AJ270">
        <v>2</v>
      </c>
      <c r="AK270">
        <v>107</v>
      </c>
      <c r="BU270" s="10" t="s">
        <v>162</v>
      </c>
      <c r="BV270" s="10">
        <v>101</v>
      </c>
      <c r="BW270">
        <v>2009</v>
      </c>
      <c r="BX270">
        <v>6</v>
      </c>
      <c r="BY270">
        <f t="shared" si="18"/>
        <v>-10.980000000000004</v>
      </c>
      <c r="BZ270">
        <v>46.261000000000003</v>
      </c>
      <c r="CA270">
        <v>89.02</v>
      </c>
      <c r="CI270">
        <v>2009</v>
      </c>
      <c r="CJ270">
        <v>6</v>
      </c>
      <c r="CK270">
        <f t="shared" si="19"/>
        <v>-11.004999999999995</v>
      </c>
      <c r="CL270">
        <v>46.249000000000002</v>
      </c>
      <c r="CM270">
        <v>88.995000000000005</v>
      </c>
    </row>
    <row r="271" spans="31:91" x14ac:dyDescent="0.2">
      <c r="AE271" s="10" t="s">
        <v>162</v>
      </c>
      <c r="AF271">
        <v>18</v>
      </c>
      <c r="AG271">
        <v>2011</v>
      </c>
      <c r="AH271">
        <v>8</v>
      </c>
      <c r="AI271">
        <v>42.859000000000002</v>
      </c>
      <c r="AJ271">
        <v>3</v>
      </c>
      <c r="AK271">
        <v>116</v>
      </c>
      <c r="BU271" s="10" t="s">
        <v>162</v>
      </c>
      <c r="BV271" s="10">
        <v>101</v>
      </c>
      <c r="BW271">
        <v>2009</v>
      </c>
      <c r="BX271">
        <v>7</v>
      </c>
      <c r="BY271">
        <f t="shared" si="18"/>
        <v>-9.7330000000000041</v>
      </c>
      <c r="BZ271">
        <v>46.826000000000001</v>
      </c>
      <c r="CA271">
        <v>90.266999999999996</v>
      </c>
      <c r="CI271">
        <v>2009</v>
      </c>
      <c r="CJ271">
        <v>7</v>
      </c>
      <c r="CK271">
        <f t="shared" si="19"/>
        <v>-9.7600000000000051</v>
      </c>
      <c r="CL271">
        <v>46.811999999999998</v>
      </c>
      <c r="CM271">
        <v>90.24</v>
      </c>
    </row>
    <row r="272" spans="31:91" x14ac:dyDescent="0.2">
      <c r="AE272" s="10" t="s">
        <v>162</v>
      </c>
      <c r="AF272">
        <v>18</v>
      </c>
      <c r="AG272">
        <v>2011</v>
      </c>
      <c r="AH272">
        <v>9</v>
      </c>
      <c r="AI272">
        <v>47.866</v>
      </c>
      <c r="AJ272">
        <v>4</v>
      </c>
      <c r="AK272">
        <v>162</v>
      </c>
      <c r="BU272" s="10" t="s">
        <v>162</v>
      </c>
      <c r="BV272" s="10">
        <v>101</v>
      </c>
      <c r="BW272">
        <v>2009</v>
      </c>
      <c r="BX272">
        <v>8</v>
      </c>
      <c r="BY272">
        <f t="shared" si="18"/>
        <v>-9.9620000000000033</v>
      </c>
      <c r="BZ272">
        <v>46.81</v>
      </c>
      <c r="CA272">
        <v>90.037999999999997</v>
      </c>
      <c r="CI272">
        <v>2009</v>
      </c>
      <c r="CJ272">
        <v>8</v>
      </c>
      <c r="CK272">
        <f t="shared" si="19"/>
        <v>-9.9890000000000043</v>
      </c>
      <c r="CL272">
        <v>46.795999999999999</v>
      </c>
      <c r="CM272">
        <v>90.010999999999996</v>
      </c>
    </row>
    <row r="273" spans="31:91" x14ac:dyDescent="0.2">
      <c r="AE273" s="10" t="s">
        <v>162</v>
      </c>
      <c r="AF273">
        <v>18</v>
      </c>
      <c r="AG273">
        <v>2011</v>
      </c>
      <c r="AH273">
        <v>10</v>
      </c>
      <c r="AI273">
        <v>45.606999999999999</v>
      </c>
      <c r="AJ273">
        <v>1</v>
      </c>
      <c r="AK273">
        <v>92</v>
      </c>
      <c r="BU273" s="10" t="s">
        <v>162</v>
      </c>
      <c r="BV273" s="10">
        <v>101</v>
      </c>
      <c r="BW273">
        <v>2009</v>
      </c>
      <c r="BX273">
        <v>9</v>
      </c>
      <c r="BY273">
        <f t="shared" si="18"/>
        <v>-11.141999999999996</v>
      </c>
      <c r="BZ273">
        <v>46.265000000000001</v>
      </c>
      <c r="CA273">
        <v>88.858000000000004</v>
      </c>
      <c r="CI273">
        <v>2009</v>
      </c>
      <c r="CJ273">
        <v>9</v>
      </c>
      <c r="CK273">
        <f t="shared" si="19"/>
        <v>-11.165999999999997</v>
      </c>
      <c r="CL273">
        <v>46.252000000000002</v>
      </c>
      <c r="CM273">
        <v>88.834000000000003</v>
      </c>
    </row>
    <row r="274" spans="31:91" x14ac:dyDescent="0.2">
      <c r="AE274" s="10" t="s">
        <v>162</v>
      </c>
      <c r="AF274">
        <v>18</v>
      </c>
      <c r="AG274">
        <v>2011</v>
      </c>
      <c r="AH274">
        <v>11</v>
      </c>
      <c r="AI274">
        <v>46.72</v>
      </c>
      <c r="AJ274">
        <v>3</v>
      </c>
      <c r="AK274">
        <v>147</v>
      </c>
      <c r="BU274" s="10" t="s">
        <v>162</v>
      </c>
      <c r="BV274" s="10">
        <v>101</v>
      </c>
      <c r="BW274">
        <v>2009</v>
      </c>
      <c r="BX274">
        <v>10</v>
      </c>
      <c r="BY274">
        <f t="shared" si="18"/>
        <v>-12.991</v>
      </c>
      <c r="BZ274">
        <v>45.088000000000001</v>
      </c>
      <c r="CA274">
        <v>87.009</v>
      </c>
      <c r="CI274">
        <v>2009</v>
      </c>
      <c r="CJ274">
        <v>10</v>
      </c>
      <c r="CK274">
        <f t="shared" si="19"/>
        <v>-13.012</v>
      </c>
      <c r="CL274">
        <v>45.078000000000003</v>
      </c>
      <c r="CM274">
        <v>86.988</v>
      </c>
    </row>
    <row r="275" spans="31:91" x14ac:dyDescent="0.2">
      <c r="AE275" s="10" t="s">
        <v>162</v>
      </c>
      <c r="AF275">
        <v>18</v>
      </c>
      <c r="AG275">
        <v>2011</v>
      </c>
      <c r="AH275">
        <v>12</v>
      </c>
      <c r="AI275">
        <v>47.134</v>
      </c>
      <c r="AJ275">
        <v>2</v>
      </c>
      <c r="AK275">
        <v>107</v>
      </c>
      <c r="BU275" s="10" t="s">
        <v>162</v>
      </c>
      <c r="BV275" s="10">
        <v>101</v>
      </c>
      <c r="BW275">
        <v>2009</v>
      </c>
      <c r="BX275">
        <v>11</v>
      </c>
      <c r="BY275">
        <f t="shared" si="18"/>
        <v>-12.587000000000003</v>
      </c>
      <c r="BZ275">
        <v>45.12</v>
      </c>
      <c r="CA275">
        <v>87.412999999999997</v>
      </c>
      <c r="CI275">
        <v>2009</v>
      </c>
      <c r="CJ275">
        <v>11</v>
      </c>
      <c r="CK275">
        <f t="shared" si="19"/>
        <v>-12.608999999999995</v>
      </c>
      <c r="CL275">
        <v>45.109000000000002</v>
      </c>
      <c r="CM275">
        <v>87.391000000000005</v>
      </c>
    </row>
    <row r="276" spans="31:91" x14ac:dyDescent="0.2">
      <c r="AE276" s="10" t="s">
        <v>162</v>
      </c>
      <c r="AF276">
        <v>18</v>
      </c>
      <c r="AG276">
        <v>2012</v>
      </c>
      <c r="AH276">
        <v>1</v>
      </c>
      <c r="AI276">
        <v>52.197000000000003</v>
      </c>
      <c r="AJ276">
        <v>2</v>
      </c>
      <c r="AK276">
        <v>30</v>
      </c>
      <c r="BU276" s="10" t="s">
        <v>162</v>
      </c>
      <c r="BV276" s="10">
        <v>101</v>
      </c>
      <c r="BW276">
        <v>2009</v>
      </c>
      <c r="BX276">
        <v>12</v>
      </c>
      <c r="BY276">
        <f t="shared" si="18"/>
        <v>-12.805999999999997</v>
      </c>
      <c r="BZ276">
        <v>45.106999999999999</v>
      </c>
      <c r="CA276">
        <v>87.194000000000003</v>
      </c>
      <c r="CI276">
        <v>2009</v>
      </c>
      <c r="CJ276">
        <v>12</v>
      </c>
      <c r="CK276">
        <f t="shared" si="19"/>
        <v>-12.826999999999998</v>
      </c>
      <c r="CL276">
        <v>45.095999999999997</v>
      </c>
      <c r="CM276">
        <v>87.173000000000002</v>
      </c>
    </row>
    <row r="277" spans="31:91" x14ac:dyDescent="0.2">
      <c r="AE277" s="10" t="s">
        <v>162</v>
      </c>
      <c r="AF277">
        <v>18</v>
      </c>
      <c r="AG277">
        <v>2012</v>
      </c>
      <c r="AH277">
        <v>2</v>
      </c>
      <c r="AI277">
        <v>50.261000000000003</v>
      </c>
      <c r="AJ277">
        <v>1</v>
      </c>
      <c r="AK277">
        <v>92</v>
      </c>
      <c r="BU277" s="10" t="s">
        <v>162</v>
      </c>
      <c r="BV277" s="10">
        <v>101</v>
      </c>
      <c r="BW277">
        <v>2010</v>
      </c>
      <c r="BX277">
        <v>1</v>
      </c>
      <c r="BY277">
        <f t="shared" si="18"/>
        <v>-2.6610000000000014</v>
      </c>
      <c r="BZ277">
        <v>42.162999999999997</v>
      </c>
      <c r="CA277">
        <v>97.338999999999999</v>
      </c>
      <c r="CI277">
        <v>2010</v>
      </c>
      <c r="CJ277">
        <v>1</v>
      </c>
      <c r="CK277">
        <f t="shared" si="19"/>
        <v>-2.7009999999999934</v>
      </c>
      <c r="CL277">
        <v>42.161000000000001</v>
      </c>
      <c r="CM277">
        <v>97.299000000000007</v>
      </c>
    </row>
    <row r="278" spans="31:91" x14ac:dyDescent="0.2">
      <c r="AE278" s="10" t="s">
        <v>162</v>
      </c>
      <c r="AF278">
        <v>18</v>
      </c>
      <c r="AG278">
        <v>2012</v>
      </c>
      <c r="AH278">
        <v>3</v>
      </c>
      <c r="AI278">
        <v>51.762</v>
      </c>
      <c r="AJ278">
        <v>2</v>
      </c>
      <c r="AK278">
        <v>107</v>
      </c>
      <c r="BU278" s="10" t="s">
        <v>162</v>
      </c>
      <c r="BV278" s="10">
        <v>101</v>
      </c>
      <c r="BW278">
        <v>2010</v>
      </c>
      <c r="BX278">
        <v>2</v>
      </c>
      <c r="BY278">
        <f t="shared" si="18"/>
        <v>-13.447999999999993</v>
      </c>
      <c r="BZ278">
        <v>42.722999999999999</v>
      </c>
      <c r="CA278">
        <v>86.552000000000007</v>
      </c>
      <c r="CI278">
        <v>2010</v>
      </c>
      <c r="CJ278">
        <v>2</v>
      </c>
      <c r="CK278">
        <f t="shared" si="19"/>
        <v>-13.463999999999999</v>
      </c>
      <c r="CL278">
        <v>42.716000000000001</v>
      </c>
      <c r="CM278">
        <v>86.536000000000001</v>
      </c>
    </row>
    <row r="279" spans="31:91" x14ac:dyDescent="0.2">
      <c r="AE279" s="10" t="s">
        <v>162</v>
      </c>
      <c r="AF279">
        <v>18</v>
      </c>
      <c r="AG279">
        <v>2012</v>
      </c>
      <c r="AH279">
        <v>4</v>
      </c>
      <c r="AI279">
        <v>54.965000000000003</v>
      </c>
      <c r="AJ279">
        <v>3</v>
      </c>
      <c r="AK279">
        <v>110</v>
      </c>
      <c r="BU279" s="10" t="s">
        <v>162</v>
      </c>
      <c r="BV279" s="10">
        <v>101</v>
      </c>
      <c r="BW279">
        <v>2010</v>
      </c>
      <c r="BX279">
        <v>3</v>
      </c>
      <c r="BY279">
        <f t="shared" si="18"/>
        <v>-15.256</v>
      </c>
      <c r="BZ279">
        <v>43.298000000000002</v>
      </c>
      <c r="CA279">
        <v>84.744</v>
      </c>
      <c r="CI279">
        <v>2010</v>
      </c>
      <c r="CJ279">
        <v>3</v>
      </c>
      <c r="CK279">
        <f t="shared" si="19"/>
        <v>-15.269999999999996</v>
      </c>
      <c r="CL279">
        <v>43.289000000000001</v>
      </c>
      <c r="CM279">
        <v>84.73</v>
      </c>
    </row>
    <row r="280" spans="31:91" x14ac:dyDescent="0.2">
      <c r="AE280" s="10" t="s">
        <v>162</v>
      </c>
      <c r="AF280">
        <v>18</v>
      </c>
      <c r="AG280">
        <v>2012</v>
      </c>
      <c r="AH280">
        <v>5</v>
      </c>
      <c r="AI280">
        <v>60.156999999999996</v>
      </c>
      <c r="AJ280">
        <v>1</v>
      </c>
      <c r="AK280">
        <v>15</v>
      </c>
      <c r="BU280" s="10" t="s">
        <v>162</v>
      </c>
      <c r="BV280" s="10">
        <v>101</v>
      </c>
      <c r="BW280">
        <v>2010</v>
      </c>
      <c r="BX280">
        <v>4</v>
      </c>
      <c r="BY280">
        <f t="shared" si="18"/>
        <v>-15.094999999999999</v>
      </c>
      <c r="BZ280">
        <v>43.417000000000002</v>
      </c>
      <c r="CA280">
        <v>84.905000000000001</v>
      </c>
      <c r="CI280">
        <v>2010</v>
      </c>
      <c r="CJ280">
        <v>4</v>
      </c>
      <c r="CK280">
        <f t="shared" si="19"/>
        <v>-15.111999999999995</v>
      </c>
      <c r="CL280">
        <v>43.406999999999996</v>
      </c>
      <c r="CM280">
        <v>84.888000000000005</v>
      </c>
    </row>
    <row r="281" spans="31:91" x14ac:dyDescent="0.2">
      <c r="AE281" s="10" t="s">
        <v>162</v>
      </c>
      <c r="AF281">
        <v>18</v>
      </c>
      <c r="AG281">
        <v>2012</v>
      </c>
      <c r="AH281">
        <v>6</v>
      </c>
      <c r="AI281">
        <v>55.298000000000002</v>
      </c>
      <c r="AJ281">
        <v>2</v>
      </c>
      <c r="AK281">
        <v>107</v>
      </c>
      <c r="BU281" s="10" t="s">
        <v>162</v>
      </c>
      <c r="BV281" s="10">
        <v>101</v>
      </c>
      <c r="BW281">
        <v>2010</v>
      </c>
      <c r="BX281">
        <v>5</v>
      </c>
      <c r="BY281">
        <f t="shared" si="18"/>
        <v>-14.242000000000004</v>
      </c>
      <c r="BZ281">
        <v>43.795999999999999</v>
      </c>
      <c r="CA281">
        <v>85.757999999999996</v>
      </c>
      <c r="CI281">
        <v>2010</v>
      </c>
      <c r="CJ281">
        <v>5</v>
      </c>
      <c r="CK281">
        <f t="shared" si="19"/>
        <v>-14.260999999999996</v>
      </c>
      <c r="CL281">
        <v>43.786000000000001</v>
      </c>
      <c r="CM281">
        <v>85.739000000000004</v>
      </c>
    </row>
    <row r="282" spans="31:91" x14ac:dyDescent="0.2">
      <c r="AE282" s="10" t="s">
        <v>162</v>
      </c>
      <c r="AF282">
        <v>18</v>
      </c>
      <c r="AG282">
        <v>2012</v>
      </c>
      <c r="AH282">
        <v>7</v>
      </c>
      <c r="AI282">
        <v>52.343000000000004</v>
      </c>
      <c r="AJ282">
        <v>1</v>
      </c>
      <c r="AK282">
        <v>92</v>
      </c>
      <c r="BU282" s="10" t="s">
        <v>162</v>
      </c>
      <c r="BV282" s="10">
        <v>101</v>
      </c>
      <c r="BW282">
        <v>2010</v>
      </c>
      <c r="BX282">
        <v>6</v>
      </c>
      <c r="BY282">
        <f t="shared" si="18"/>
        <v>-14.216999999999999</v>
      </c>
      <c r="BZ282">
        <v>43.904000000000003</v>
      </c>
      <c r="CA282">
        <v>85.783000000000001</v>
      </c>
      <c r="CI282">
        <v>2010</v>
      </c>
      <c r="CJ282">
        <v>6</v>
      </c>
      <c r="CK282">
        <f t="shared" si="19"/>
        <v>-14.236000000000004</v>
      </c>
      <c r="CL282">
        <v>43.893000000000001</v>
      </c>
      <c r="CM282">
        <v>85.763999999999996</v>
      </c>
    </row>
    <row r="283" spans="31:91" x14ac:dyDescent="0.2">
      <c r="AE283" s="10" t="s">
        <v>162</v>
      </c>
      <c r="AF283">
        <v>18</v>
      </c>
      <c r="AG283">
        <v>2012</v>
      </c>
      <c r="AH283">
        <v>8</v>
      </c>
      <c r="AI283">
        <v>51.676000000000002</v>
      </c>
      <c r="AJ283">
        <v>2</v>
      </c>
      <c r="AK283">
        <v>107</v>
      </c>
      <c r="BU283" s="10" t="s">
        <v>162</v>
      </c>
      <c r="BV283" s="10">
        <v>101</v>
      </c>
      <c r="BW283">
        <v>2010</v>
      </c>
      <c r="BX283">
        <v>7</v>
      </c>
      <c r="BY283">
        <f t="shared" si="18"/>
        <v>-16.174999999999997</v>
      </c>
      <c r="BZ283">
        <v>43.518999999999998</v>
      </c>
      <c r="CA283">
        <v>83.825000000000003</v>
      </c>
      <c r="CI283">
        <v>2010</v>
      </c>
      <c r="CJ283">
        <v>7</v>
      </c>
      <c r="CK283">
        <f t="shared" si="19"/>
        <v>-16.188000000000002</v>
      </c>
      <c r="CL283">
        <v>43.509</v>
      </c>
      <c r="CM283">
        <v>83.811999999999998</v>
      </c>
    </row>
    <row r="284" spans="31:91" x14ac:dyDescent="0.2">
      <c r="AE284" s="10" t="s">
        <v>162</v>
      </c>
      <c r="AF284">
        <v>18</v>
      </c>
      <c r="AG284">
        <v>2012</v>
      </c>
      <c r="AH284">
        <v>9</v>
      </c>
      <c r="AI284">
        <v>48.878</v>
      </c>
      <c r="AJ284">
        <v>1</v>
      </c>
      <c r="AK284">
        <v>92</v>
      </c>
      <c r="BU284" s="10" t="s">
        <v>162</v>
      </c>
      <c r="BV284" s="10">
        <v>101</v>
      </c>
      <c r="BW284">
        <v>2010</v>
      </c>
      <c r="BX284">
        <v>8</v>
      </c>
      <c r="BY284">
        <f t="shared" si="18"/>
        <v>-15.480000000000004</v>
      </c>
      <c r="BZ284">
        <v>43.454999999999998</v>
      </c>
      <c r="CA284">
        <v>84.52</v>
      </c>
      <c r="CI284">
        <v>2010</v>
      </c>
      <c r="CJ284">
        <v>8</v>
      </c>
      <c r="CK284">
        <f t="shared" si="19"/>
        <v>-15.495999999999995</v>
      </c>
      <c r="CL284">
        <v>43.445</v>
      </c>
      <c r="CM284">
        <v>84.504000000000005</v>
      </c>
    </row>
    <row r="285" spans="31:91" x14ac:dyDescent="0.2">
      <c r="AE285" s="10" t="s">
        <v>162</v>
      </c>
      <c r="AF285">
        <v>18</v>
      </c>
      <c r="AG285">
        <v>2012</v>
      </c>
      <c r="AH285">
        <v>10</v>
      </c>
      <c r="AI285">
        <v>52.216999999999999</v>
      </c>
      <c r="AJ285">
        <v>1</v>
      </c>
      <c r="AK285">
        <v>92</v>
      </c>
      <c r="BU285" s="10" t="s">
        <v>162</v>
      </c>
      <c r="BV285" s="10">
        <v>101</v>
      </c>
      <c r="BW285">
        <v>2010</v>
      </c>
      <c r="BX285">
        <v>9</v>
      </c>
      <c r="BY285">
        <f t="shared" si="18"/>
        <v>-14.593000000000004</v>
      </c>
      <c r="BZ285">
        <v>43.707000000000001</v>
      </c>
      <c r="CA285">
        <v>85.406999999999996</v>
      </c>
      <c r="CI285">
        <v>2010</v>
      </c>
      <c r="CJ285">
        <v>9</v>
      </c>
      <c r="CK285">
        <f t="shared" si="19"/>
        <v>-14.61</v>
      </c>
      <c r="CL285">
        <v>43.697000000000003</v>
      </c>
      <c r="CM285">
        <v>85.39</v>
      </c>
    </row>
    <row r="286" spans="31:91" x14ac:dyDescent="0.2">
      <c r="AE286" s="10" t="s">
        <v>162</v>
      </c>
      <c r="AF286">
        <v>18</v>
      </c>
      <c r="AG286">
        <v>2012</v>
      </c>
      <c r="AH286">
        <v>11</v>
      </c>
      <c r="AI286">
        <v>51.868000000000002</v>
      </c>
      <c r="AJ286">
        <v>1</v>
      </c>
      <c r="AK286">
        <v>15</v>
      </c>
      <c r="BU286" s="10" t="s">
        <v>162</v>
      </c>
      <c r="BV286" s="10">
        <v>101</v>
      </c>
      <c r="BW286">
        <v>2010</v>
      </c>
      <c r="BX286">
        <v>10</v>
      </c>
      <c r="BY286">
        <f t="shared" si="18"/>
        <v>-12.251000000000005</v>
      </c>
      <c r="BZ286">
        <v>44.564999999999998</v>
      </c>
      <c r="CA286">
        <v>87.748999999999995</v>
      </c>
      <c r="CI286">
        <v>2010</v>
      </c>
      <c r="CJ286">
        <v>10</v>
      </c>
      <c r="CK286">
        <f t="shared" si="19"/>
        <v>-12.269999999999996</v>
      </c>
      <c r="CL286">
        <v>44.552</v>
      </c>
      <c r="CM286">
        <v>87.73</v>
      </c>
    </row>
    <row r="287" spans="31:91" x14ac:dyDescent="0.2">
      <c r="AE287" s="10" t="s">
        <v>162</v>
      </c>
      <c r="AF287">
        <v>18</v>
      </c>
      <c r="AG287">
        <v>2012</v>
      </c>
      <c r="AH287">
        <v>12</v>
      </c>
      <c r="AI287">
        <v>51.591000000000001</v>
      </c>
      <c r="AJ287">
        <v>1</v>
      </c>
      <c r="AK287">
        <v>15</v>
      </c>
      <c r="BU287" s="10" t="s">
        <v>162</v>
      </c>
      <c r="BV287" s="10">
        <v>101</v>
      </c>
      <c r="BW287">
        <v>2010</v>
      </c>
      <c r="BX287">
        <v>11</v>
      </c>
      <c r="BY287">
        <f t="shared" si="18"/>
        <v>-13.686000000000007</v>
      </c>
      <c r="BZ287">
        <v>44.261000000000003</v>
      </c>
      <c r="CA287">
        <v>86.313999999999993</v>
      </c>
      <c r="CI287">
        <v>2010</v>
      </c>
      <c r="CJ287">
        <v>11</v>
      </c>
      <c r="CK287">
        <f t="shared" si="19"/>
        <v>-13.703999999999994</v>
      </c>
      <c r="CL287">
        <v>44.25</v>
      </c>
      <c r="CM287">
        <v>86.296000000000006</v>
      </c>
    </row>
    <row r="288" spans="31:91" x14ac:dyDescent="0.2">
      <c r="AE288" s="10" t="s">
        <v>162</v>
      </c>
      <c r="AF288">
        <v>18</v>
      </c>
      <c r="AG288">
        <v>2013</v>
      </c>
      <c r="AH288">
        <v>1</v>
      </c>
      <c r="AI288">
        <v>65.426000000000002</v>
      </c>
      <c r="AJ288">
        <v>1</v>
      </c>
      <c r="AK288">
        <v>15</v>
      </c>
      <c r="BU288" s="10" t="s">
        <v>162</v>
      </c>
      <c r="BV288" s="10">
        <v>101</v>
      </c>
      <c r="BW288">
        <v>2010</v>
      </c>
      <c r="BX288">
        <v>12</v>
      </c>
      <c r="BY288">
        <f t="shared" si="18"/>
        <v>-11.962000000000003</v>
      </c>
      <c r="BZ288">
        <v>45.235999999999997</v>
      </c>
      <c r="CA288">
        <v>88.037999999999997</v>
      </c>
      <c r="CI288">
        <v>2010</v>
      </c>
      <c r="CJ288">
        <v>12</v>
      </c>
      <c r="CK288">
        <f t="shared" si="19"/>
        <v>-11.983999999999995</v>
      </c>
      <c r="CL288">
        <v>45.222000000000001</v>
      </c>
      <c r="CM288">
        <v>88.016000000000005</v>
      </c>
    </row>
    <row r="289" spans="31:91" x14ac:dyDescent="0.2">
      <c r="AE289" s="10" t="s">
        <v>162</v>
      </c>
      <c r="AF289">
        <v>18</v>
      </c>
      <c r="AG289">
        <v>2013</v>
      </c>
      <c r="AH289">
        <v>2</v>
      </c>
      <c r="AI289">
        <v>69.259</v>
      </c>
      <c r="AJ289">
        <v>0</v>
      </c>
      <c r="AK289">
        <v>0</v>
      </c>
      <c r="BU289" s="10" t="s">
        <v>162</v>
      </c>
      <c r="BV289" s="10">
        <v>101</v>
      </c>
      <c r="BW289">
        <v>2011</v>
      </c>
      <c r="BX289">
        <v>1</v>
      </c>
      <c r="BY289">
        <f t="shared" si="18"/>
        <v>-10.662000000000006</v>
      </c>
      <c r="BZ289">
        <v>45.814999999999998</v>
      </c>
      <c r="CA289">
        <v>89.337999999999994</v>
      </c>
      <c r="CI289">
        <v>2011</v>
      </c>
      <c r="CJ289">
        <v>1</v>
      </c>
      <c r="CK289">
        <f t="shared" si="19"/>
        <v>-10.680999999999997</v>
      </c>
      <c r="CL289">
        <v>45.796999999999997</v>
      </c>
      <c r="CM289">
        <v>89.319000000000003</v>
      </c>
    </row>
    <row r="290" spans="31:91" x14ac:dyDescent="0.2">
      <c r="AE290" s="10" t="s">
        <v>162</v>
      </c>
      <c r="AF290">
        <v>18</v>
      </c>
      <c r="AG290">
        <v>2013</v>
      </c>
      <c r="AH290">
        <v>3</v>
      </c>
      <c r="AI290">
        <v>69.132000000000005</v>
      </c>
      <c r="AJ290">
        <v>1</v>
      </c>
      <c r="AK290">
        <v>4</v>
      </c>
      <c r="BU290" s="10" t="s">
        <v>162</v>
      </c>
      <c r="BV290" s="10">
        <v>101</v>
      </c>
      <c r="BW290">
        <v>2011</v>
      </c>
      <c r="BX290">
        <v>2</v>
      </c>
      <c r="BY290">
        <f t="shared" si="18"/>
        <v>-11.274000000000001</v>
      </c>
      <c r="BZ290">
        <v>45.66</v>
      </c>
      <c r="CA290">
        <v>88.725999999999999</v>
      </c>
      <c r="CI290">
        <v>2011</v>
      </c>
      <c r="CJ290">
        <v>2</v>
      </c>
      <c r="CK290">
        <f t="shared" si="19"/>
        <v>-11.289000000000001</v>
      </c>
      <c r="CL290">
        <v>45.642000000000003</v>
      </c>
      <c r="CM290">
        <v>88.710999999999999</v>
      </c>
    </row>
    <row r="291" spans="31:91" x14ac:dyDescent="0.2">
      <c r="AE291" s="10" t="s">
        <v>162</v>
      </c>
      <c r="AF291">
        <v>18</v>
      </c>
      <c r="AG291">
        <v>2013</v>
      </c>
      <c r="AH291">
        <v>4</v>
      </c>
      <c r="AI291">
        <v>61.533999999999999</v>
      </c>
      <c r="AJ291">
        <v>0</v>
      </c>
      <c r="AK291">
        <v>0</v>
      </c>
      <c r="BU291" s="10" t="s">
        <v>162</v>
      </c>
      <c r="BV291" s="10">
        <v>101</v>
      </c>
      <c r="BW291">
        <v>2011</v>
      </c>
      <c r="BX291">
        <v>3</v>
      </c>
      <c r="BY291">
        <f t="shared" si="18"/>
        <v>-13.013999999999996</v>
      </c>
      <c r="BZ291">
        <v>45.442</v>
      </c>
      <c r="CA291">
        <v>86.986000000000004</v>
      </c>
      <c r="CI291">
        <v>2011</v>
      </c>
      <c r="CJ291">
        <v>3</v>
      </c>
      <c r="CK291">
        <f t="shared" si="19"/>
        <v>-12.981999999999999</v>
      </c>
      <c r="CL291">
        <v>45.412999999999997</v>
      </c>
      <c r="CM291">
        <v>87.018000000000001</v>
      </c>
    </row>
    <row r="292" spans="31:91" x14ac:dyDescent="0.2">
      <c r="AE292" s="10" t="s">
        <v>162</v>
      </c>
      <c r="AF292">
        <v>18</v>
      </c>
      <c r="AG292">
        <v>2013</v>
      </c>
      <c r="AH292">
        <v>5</v>
      </c>
      <c r="AI292">
        <v>56.265999999999998</v>
      </c>
      <c r="AJ292">
        <v>1</v>
      </c>
      <c r="AK292">
        <v>4</v>
      </c>
      <c r="BU292" s="10" t="s">
        <v>162</v>
      </c>
      <c r="BV292" s="10">
        <v>101</v>
      </c>
      <c r="BW292">
        <v>2011</v>
      </c>
      <c r="BX292">
        <v>4</v>
      </c>
      <c r="BY292">
        <f t="shared" si="18"/>
        <v>-12.718000000000004</v>
      </c>
      <c r="BZ292">
        <v>45.213999999999999</v>
      </c>
      <c r="CA292">
        <v>87.281999999999996</v>
      </c>
      <c r="CI292">
        <v>2011</v>
      </c>
      <c r="CJ292">
        <v>4</v>
      </c>
      <c r="CK292">
        <f t="shared" si="19"/>
        <v>-12.721000000000004</v>
      </c>
      <c r="CL292">
        <v>45.194000000000003</v>
      </c>
      <c r="CM292">
        <v>87.278999999999996</v>
      </c>
    </row>
    <row r="293" spans="31:91" x14ac:dyDescent="0.2">
      <c r="BU293" s="10" t="s">
        <v>162</v>
      </c>
      <c r="BV293" s="10">
        <v>101</v>
      </c>
      <c r="BW293">
        <v>2011</v>
      </c>
      <c r="BX293">
        <v>5</v>
      </c>
      <c r="BY293">
        <f t="shared" si="18"/>
        <v>-13.597999999999999</v>
      </c>
      <c r="BZ293">
        <v>44.573999999999998</v>
      </c>
      <c r="CA293">
        <v>86.402000000000001</v>
      </c>
      <c r="CI293">
        <v>2011</v>
      </c>
      <c r="CJ293">
        <v>5</v>
      </c>
      <c r="CK293">
        <f t="shared" si="19"/>
        <v>-13.643000000000001</v>
      </c>
      <c r="CL293">
        <v>44.573999999999998</v>
      </c>
      <c r="CM293">
        <v>86.356999999999999</v>
      </c>
    </row>
    <row r="294" spans="31:91" x14ac:dyDescent="0.2">
      <c r="BU294" s="10" t="s">
        <v>162</v>
      </c>
      <c r="BV294" s="10">
        <v>101</v>
      </c>
      <c r="BW294">
        <v>2011</v>
      </c>
      <c r="BX294">
        <v>6</v>
      </c>
      <c r="BY294">
        <f t="shared" si="18"/>
        <v>-11.959000000000003</v>
      </c>
      <c r="BZ294">
        <v>45.375</v>
      </c>
      <c r="CA294">
        <v>88.040999999999997</v>
      </c>
      <c r="CI294">
        <v>2011</v>
      </c>
      <c r="CJ294">
        <v>6</v>
      </c>
      <c r="CK294">
        <f t="shared" si="19"/>
        <v>-11.989999999999995</v>
      </c>
      <c r="CL294">
        <v>45.366</v>
      </c>
      <c r="CM294">
        <v>88.01</v>
      </c>
    </row>
    <row r="295" spans="31:91" x14ac:dyDescent="0.2">
      <c r="BU295" s="10" t="s">
        <v>162</v>
      </c>
      <c r="BV295" s="10">
        <v>101</v>
      </c>
      <c r="BW295">
        <v>2011</v>
      </c>
      <c r="BX295">
        <v>7</v>
      </c>
      <c r="BY295">
        <f t="shared" si="18"/>
        <v>-12.811999999999998</v>
      </c>
      <c r="BZ295">
        <v>44.95</v>
      </c>
      <c r="CA295">
        <v>87.188000000000002</v>
      </c>
      <c r="CI295">
        <v>2011</v>
      </c>
      <c r="CJ295">
        <v>7</v>
      </c>
      <c r="CK295">
        <f t="shared" si="19"/>
        <v>-12.826999999999998</v>
      </c>
      <c r="CL295">
        <v>44.936999999999998</v>
      </c>
      <c r="CM295">
        <v>87.173000000000002</v>
      </c>
    </row>
    <row r="296" spans="31:91" x14ac:dyDescent="0.2">
      <c r="BU296" s="10" t="s">
        <v>162</v>
      </c>
      <c r="BV296" s="10">
        <v>101</v>
      </c>
      <c r="BW296">
        <v>2011</v>
      </c>
      <c r="BX296">
        <v>8</v>
      </c>
      <c r="BY296">
        <f t="shared" si="18"/>
        <v>-12.623999999999995</v>
      </c>
      <c r="BZ296">
        <v>44.851999999999997</v>
      </c>
      <c r="CA296">
        <v>87.376000000000005</v>
      </c>
      <c r="CI296">
        <v>2011</v>
      </c>
      <c r="CJ296">
        <v>8</v>
      </c>
      <c r="CK296">
        <f t="shared" si="19"/>
        <v>-12.64</v>
      </c>
      <c r="CL296">
        <v>44.837000000000003</v>
      </c>
      <c r="CM296">
        <v>87.36</v>
      </c>
    </row>
    <row r="297" spans="31:91" x14ac:dyDescent="0.2">
      <c r="BU297" s="10" t="s">
        <v>162</v>
      </c>
      <c r="BV297" s="10">
        <v>101</v>
      </c>
      <c r="BW297">
        <v>2011</v>
      </c>
      <c r="BX297">
        <v>9</v>
      </c>
      <c r="BY297">
        <f t="shared" si="18"/>
        <v>-9.757000000000005</v>
      </c>
      <c r="BZ297">
        <v>46.5</v>
      </c>
      <c r="CA297">
        <v>90.242999999999995</v>
      </c>
      <c r="CI297">
        <v>2011</v>
      </c>
      <c r="CJ297">
        <v>9</v>
      </c>
      <c r="CK297">
        <f t="shared" si="19"/>
        <v>-9.7800000000000011</v>
      </c>
      <c r="CL297">
        <v>46.48</v>
      </c>
      <c r="CM297">
        <v>90.22</v>
      </c>
    </row>
    <row r="298" spans="31:91" x14ac:dyDescent="0.2">
      <c r="BU298" s="10" t="s">
        <v>162</v>
      </c>
      <c r="BV298" s="10">
        <v>101</v>
      </c>
      <c r="BW298">
        <v>2011</v>
      </c>
      <c r="BX298">
        <v>10</v>
      </c>
      <c r="BY298">
        <f t="shared" si="18"/>
        <v>-10.560000000000002</v>
      </c>
      <c r="BZ298">
        <v>46.244999999999997</v>
      </c>
      <c r="CA298">
        <v>89.44</v>
      </c>
      <c r="CI298">
        <v>2011</v>
      </c>
      <c r="CJ298">
        <v>10</v>
      </c>
      <c r="CK298">
        <f t="shared" si="19"/>
        <v>-10.582999999999998</v>
      </c>
      <c r="CL298">
        <v>46.228999999999999</v>
      </c>
      <c r="CM298">
        <v>89.417000000000002</v>
      </c>
    </row>
    <row r="299" spans="31:91" x14ac:dyDescent="0.2">
      <c r="BU299" s="10" t="s">
        <v>162</v>
      </c>
      <c r="BV299" s="10">
        <v>101</v>
      </c>
      <c r="BW299">
        <v>2011</v>
      </c>
      <c r="BX299">
        <v>11</v>
      </c>
      <c r="BY299">
        <f t="shared" si="18"/>
        <v>-11.224999999999994</v>
      </c>
      <c r="BZ299">
        <v>45.978000000000002</v>
      </c>
      <c r="CA299">
        <v>88.775000000000006</v>
      </c>
      <c r="CI299">
        <v>2011</v>
      </c>
      <c r="CJ299">
        <v>11</v>
      </c>
      <c r="CK299">
        <f t="shared" si="19"/>
        <v>-11.245999999999995</v>
      </c>
      <c r="CL299">
        <v>45.963999999999999</v>
      </c>
      <c r="CM299">
        <v>88.754000000000005</v>
      </c>
    </row>
    <row r="300" spans="31:91" x14ac:dyDescent="0.2">
      <c r="BU300" s="10" t="s">
        <v>162</v>
      </c>
      <c r="BV300" s="10">
        <v>101</v>
      </c>
      <c r="BW300">
        <v>2011</v>
      </c>
      <c r="BX300">
        <v>12</v>
      </c>
      <c r="BY300">
        <f t="shared" si="18"/>
        <v>-10.537999999999997</v>
      </c>
      <c r="BZ300">
        <v>46.283999999999999</v>
      </c>
      <c r="CA300">
        <v>89.462000000000003</v>
      </c>
      <c r="CI300">
        <v>2011</v>
      </c>
      <c r="CJ300">
        <v>12</v>
      </c>
      <c r="CK300">
        <f t="shared" si="19"/>
        <v>-10.558999999999997</v>
      </c>
      <c r="CL300">
        <v>46.265999999999998</v>
      </c>
      <c r="CM300">
        <v>89.441000000000003</v>
      </c>
    </row>
    <row r="301" spans="31:91" x14ac:dyDescent="0.2">
      <c r="BU301" s="10" t="s">
        <v>162</v>
      </c>
      <c r="BV301" s="10">
        <v>101</v>
      </c>
      <c r="BW301">
        <v>2012</v>
      </c>
      <c r="BX301">
        <v>1</v>
      </c>
      <c r="BY301">
        <f t="shared" si="18"/>
        <v>-9.3329999999999984</v>
      </c>
      <c r="BZ301">
        <v>47.009</v>
      </c>
      <c r="CA301">
        <v>90.667000000000002</v>
      </c>
      <c r="CI301">
        <v>2012</v>
      </c>
      <c r="CJ301">
        <v>1</v>
      </c>
      <c r="CK301">
        <f t="shared" si="19"/>
        <v>-9.3310000000000031</v>
      </c>
      <c r="CL301">
        <v>46.978999999999999</v>
      </c>
      <c r="CM301">
        <v>90.668999999999997</v>
      </c>
    </row>
    <row r="302" spans="31:91" x14ac:dyDescent="0.2">
      <c r="BU302" s="10" t="s">
        <v>162</v>
      </c>
      <c r="BV302" s="10">
        <v>101</v>
      </c>
      <c r="BW302">
        <v>2012</v>
      </c>
      <c r="BX302">
        <v>2</v>
      </c>
      <c r="BY302">
        <f t="shared" si="18"/>
        <v>-9.4380000000000024</v>
      </c>
      <c r="BZ302">
        <v>46.96</v>
      </c>
      <c r="CA302">
        <v>90.561999999999998</v>
      </c>
      <c r="CI302">
        <v>2012</v>
      </c>
      <c r="CJ302">
        <v>2</v>
      </c>
      <c r="CK302">
        <f t="shared" si="19"/>
        <v>-9.4569999999999936</v>
      </c>
      <c r="CL302">
        <v>46.938000000000002</v>
      </c>
      <c r="CM302">
        <v>90.543000000000006</v>
      </c>
    </row>
    <row r="303" spans="31:91" x14ac:dyDescent="0.2">
      <c r="BU303" s="10" t="s">
        <v>162</v>
      </c>
      <c r="BV303" s="10">
        <v>101</v>
      </c>
      <c r="BW303">
        <v>2012</v>
      </c>
      <c r="BX303">
        <v>3</v>
      </c>
      <c r="BY303">
        <f t="shared" si="18"/>
        <v>-7.5930000000000035</v>
      </c>
      <c r="BZ303">
        <v>48.009</v>
      </c>
      <c r="CA303">
        <v>92.406999999999996</v>
      </c>
      <c r="CI303">
        <v>2012</v>
      </c>
      <c r="CJ303">
        <v>3</v>
      </c>
      <c r="CK303">
        <f t="shared" si="19"/>
        <v>-7.6209999999999951</v>
      </c>
      <c r="CL303">
        <v>47.985999999999997</v>
      </c>
      <c r="CM303">
        <v>92.379000000000005</v>
      </c>
    </row>
    <row r="304" spans="31:91" x14ac:dyDescent="0.2">
      <c r="BU304" s="10" t="s">
        <v>162</v>
      </c>
      <c r="BV304" s="10">
        <v>101</v>
      </c>
      <c r="BW304">
        <v>2012</v>
      </c>
      <c r="BX304">
        <v>4</v>
      </c>
      <c r="BY304">
        <f t="shared" si="18"/>
        <v>-4.8629999999999995</v>
      </c>
      <c r="BZ304">
        <v>49.677999999999997</v>
      </c>
      <c r="CA304">
        <v>95.137</v>
      </c>
      <c r="CI304">
        <v>2012</v>
      </c>
      <c r="CJ304">
        <v>4</v>
      </c>
      <c r="CK304">
        <f t="shared" si="19"/>
        <v>-4.8990000000000009</v>
      </c>
      <c r="CL304">
        <v>49.652999999999999</v>
      </c>
      <c r="CM304">
        <v>95.100999999999999</v>
      </c>
    </row>
    <row r="305" spans="73:91" x14ac:dyDescent="0.2">
      <c r="BU305" s="10" t="s">
        <v>162</v>
      </c>
      <c r="BV305" s="10">
        <v>101</v>
      </c>
      <c r="BW305">
        <v>2012</v>
      </c>
      <c r="BX305">
        <v>5</v>
      </c>
      <c r="BY305">
        <f t="shared" si="18"/>
        <v>-2.9330000000000069</v>
      </c>
      <c r="BZ305">
        <v>49.521999999999998</v>
      </c>
      <c r="CA305">
        <v>97.066999999999993</v>
      </c>
      <c r="CI305">
        <v>2012</v>
      </c>
      <c r="CJ305">
        <v>5</v>
      </c>
      <c r="CK305">
        <f t="shared" si="19"/>
        <v>-2.9959999999999951</v>
      </c>
      <c r="CL305">
        <v>49.5</v>
      </c>
      <c r="CM305">
        <v>97.004000000000005</v>
      </c>
    </row>
    <row r="306" spans="73:91" x14ac:dyDescent="0.2">
      <c r="BU306" s="10" t="s">
        <v>162</v>
      </c>
      <c r="BV306" s="10">
        <v>101</v>
      </c>
      <c r="BW306">
        <v>2012</v>
      </c>
      <c r="BX306">
        <v>6</v>
      </c>
      <c r="BY306">
        <f t="shared" si="18"/>
        <v>-5.9789999999999992</v>
      </c>
      <c r="BZ306">
        <v>49.142000000000003</v>
      </c>
      <c r="CA306">
        <v>94.021000000000001</v>
      </c>
      <c r="CI306">
        <v>2012</v>
      </c>
      <c r="CJ306">
        <v>6</v>
      </c>
      <c r="CK306">
        <f t="shared" si="19"/>
        <v>-6.0139999999999958</v>
      </c>
      <c r="CL306">
        <v>49.121000000000002</v>
      </c>
      <c r="CM306">
        <v>93.986000000000004</v>
      </c>
    </row>
    <row r="307" spans="73:91" x14ac:dyDescent="0.2">
      <c r="BU307" s="10" t="s">
        <v>162</v>
      </c>
      <c r="BV307" s="10">
        <v>101</v>
      </c>
      <c r="BW307">
        <v>2012</v>
      </c>
      <c r="BX307">
        <v>7</v>
      </c>
      <c r="BY307">
        <f t="shared" si="18"/>
        <v>-6.6979999999999933</v>
      </c>
      <c r="BZ307">
        <v>48.814999999999998</v>
      </c>
      <c r="CA307">
        <v>93.302000000000007</v>
      </c>
      <c r="CI307">
        <v>2012</v>
      </c>
      <c r="CJ307">
        <v>7</v>
      </c>
      <c r="CK307">
        <f t="shared" si="19"/>
        <v>-6.730000000000004</v>
      </c>
      <c r="CL307">
        <v>48.795999999999999</v>
      </c>
      <c r="CM307">
        <v>93.27</v>
      </c>
    </row>
    <row r="308" spans="73:91" x14ac:dyDescent="0.2">
      <c r="BU308" s="10" t="s">
        <v>162</v>
      </c>
      <c r="BV308" s="10">
        <v>101</v>
      </c>
      <c r="BW308">
        <v>2012</v>
      </c>
      <c r="BX308">
        <v>8</v>
      </c>
      <c r="BY308">
        <f t="shared" si="18"/>
        <v>-8.090999999999994</v>
      </c>
      <c r="BZ308">
        <v>48.466000000000001</v>
      </c>
      <c r="CA308">
        <v>91.909000000000006</v>
      </c>
      <c r="CI308">
        <v>2012</v>
      </c>
      <c r="CJ308">
        <v>8</v>
      </c>
      <c r="CK308">
        <f t="shared" si="19"/>
        <v>-8.1189999999999998</v>
      </c>
      <c r="CL308">
        <v>48.451000000000001</v>
      </c>
      <c r="CM308">
        <v>91.881</v>
      </c>
    </row>
    <row r="309" spans="73:91" x14ac:dyDescent="0.2">
      <c r="BU309" s="10" t="s">
        <v>162</v>
      </c>
      <c r="BV309" s="10">
        <v>101</v>
      </c>
      <c r="BW309">
        <v>2012</v>
      </c>
      <c r="BX309">
        <v>9</v>
      </c>
      <c r="BY309">
        <f t="shared" si="18"/>
        <v>-7.2039999999999935</v>
      </c>
      <c r="BZ309">
        <v>48.655000000000001</v>
      </c>
      <c r="CA309">
        <v>92.796000000000006</v>
      </c>
      <c r="CI309">
        <v>2012</v>
      </c>
      <c r="CJ309">
        <v>9</v>
      </c>
      <c r="CK309">
        <f t="shared" si="19"/>
        <v>-7.2360000000000042</v>
      </c>
      <c r="CL309">
        <v>48.637999999999998</v>
      </c>
      <c r="CM309">
        <v>92.763999999999996</v>
      </c>
    </row>
    <row r="310" spans="73:91" x14ac:dyDescent="0.2">
      <c r="BU310" s="10" t="s">
        <v>162</v>
      </c>
      <c r="BV310" s="10">
        <v>101</v>
      </c>
      <c r="BW310">
        <v>2012</v>
      </c>
      <c r="BX310">
        <v>10</v>
      </c>
      <c r="BY310">
        <f t="shared" si="18"/>
        <v>-4.902000000000001</v>
      </c>
      <c r="BZ310">
        <v>49.805999999999997</v>
      </c>
      <c r="CA310">
        <v>95.097999999999999</v>
      </c>
      <c r="CI310">
        <v>2012</v>
      </c>
      <c r="CJ310">
        <v>10</v>
      </c>
      <c r="CK310">
        <f t="shared" si="19"/>
        <v>-4.9399999999999977</v>
      </c>
      <c r="CL310">
        <v>49.784999999999997</v>
      </c>
      <c r="CM310">
        <v>95.06</v>
      </c>
    </row>
    <row r="311" spans="73:91" x14ac:dyDescent="0.2">
      <c r="BU311" s="10" t="s">
        <v>162</v>
      </c>
      <c r="BV311" s="10">
        <v>101</v>
      </c>
      <c r="BW311">
        <v>2012</v>
      </c>
      <c r="BX311">
        <v>11</v>
      </c>
      <c r="BY311">
        <f t="shared" si="18"/>
        <v>-10.227999999999994</v>
      </c>
      <c r="BZ311">
        <v>47.277999999999999</v>
      </c>
      <c r="CA311">
        <v>89.772000000000006</v>
      </c>
      <c r="CI311">
        <v>2012</v>
      </c>
      <c r="CJ311">
        <v>11</v>
      </c>
      <c r="CK311">
        <f t="shared" si="19"/>
        <v>-10.212999999999994</v>
      </c>
      <c r="CL311">
        <v>47.250999999999998</v>
      </c>
      <c r="CM311">
        <v>89.787000000000006</v>
      </c>
    </row>
    <row r="312" spans="73:91" x14ac:dyDescent="0.2">
      <c r="BU312" s="10" t="s">
        <v>162</v>
      </c>
      <c r="BV312" s="10">
        <v>101</v>
      </c>
      <c r="BW312">
        <v>2012</v>
      </c>
      <c r="BX312">
        <v>12</v>
      </c>
      <c r="BY312">
        <f t="shared" si="18"/>
        <v>-11.414000000000001</v>
      </c>
      <c r="BZ312">
        <v>45.545000000000002</v>
      </c>
      <c r="CA312">
        <v>88.585999999999999</v>
      </c>
      <c r="CI312">
        <v>2012</v>
      </c>
      <c r="CJ312">
        <v>12</v>
      </c>
      <c r="CK312">
        <f t="shared" si="19"/>
        <v>-11.39</v>
      </c>
      <c r="CL312">
        <v>45.509</v>
      </c>
      <c r="CM312">
        <v>88.61</v>
      </c>
    </row>
    <row r="313" spans="73:91" x14ac:dyDescent="0.2">
      <c r="BU313" s="10" t="s">
        <v>162</v>
      </c>
      <c r="BV313" s="10">
        <v>101</v>
      </c>
      <c r="BW313">
        <v>2013</v>
      </c>
      <c r="BX313">
        <v>1</v>
      </c>
      <c r="BY313">
        <f t="shared" si="18"/>
        <v>-3.7800000000000011</v>
      </c>
      <c r="BZ313">
        <v>49.691000000000003</v>
      </c>
      <c r="CA313">
        <v>96.22</v>
      </c>
      <c r="CI313">
        <v>2013</v>
      </c>
      <c r="CJ313">
        <v>1</v>
      </c>
      <c r="CK313">
        <f t="shared" si="19"/>
        <v>-3.8469999999999942</v>
      </c>
      <c r="CL313">
        <v>49.671999999999997</v>
      </c>
      <c r="CM313">
        <v>96.153000000000006</v>
      </c>
    </row>
    <row r="314" spans="73:91" x14ac:dyDescent="0.2">
      <c r="BU314" s="10" t="s">
        <v>162</v>
      </c>
      <c r="BV314" s="10">
        <v>101</v>
      </c>
      <c r="BW314">
        <v>2013</v>
      </c>
      <c r="BX314">
        <v>2</v>
      </c>
      <c r="BY314">
        <f t="shared" si="18"/>
        <v>-9.3649999999999949</v>
      </c>
      <c r="BZ314">
        <v>47.445999999999998</v>
      </c>
      <c r="CA314">
        <v>90.635000000000005</v>
      </c>
      <c r="CI314">
        <v>2013</v>
      </c>
      <c r="CJ314">
        <v>2</v>
      </c>
      <c r="CK314">
        <f t="shared" si="19"/>
        <v>-9.3919999999999959</v>
      </c>
      <c r="CL314">
        <v>47.43</v>
      </c>
      <c r="CM314">
        <v>90.608000000000004</v>
      </c>
    </row>
    <row r="315" spans="73:91" x14ac:dyDescent="0.2">
      <c r="BU315" s="10" t="s">
        <v>162</v>
      </c>
      <c r="BV315" s="10">
        <v>101</v>
      </c>
      <c r="BW315">
        <v>2013</v>
      </c>
      <c r="BX315">
        <v>3</v>
      </c>
      <c r="BY315">
        <f t="shared" si="18"/>
        <v>-11.373000000000005</v>
      </c>
      <c r="BZ315">
        <v>46.110999999999997</v>
      </c>
      <c r="CA315">
        <v>88.626999999999995</v>
      </c>
      <c r="CI315">
        <v>2013</v>
      </c>
      <c r="CJ315">
        <v>3</v>
      </c>
      <c r="CK315">
        <f t="shared" si="19"/>
        <v>-11.396000000000001</v>
      </c>
      <c r="CL315">
        <v>46.097999999999999</v>
      </c>
      <c r="CM315">
        <v>88.603999999999999</v>
      </c>
    </row>
    <row r="316" spans="73:91" x14ac:dyDescent="0.2">
      <c r="BU316" s="10" t="s">
        <v>162</v>
      </c>
      <c r="BV316" s="10">
        <v>101</v>
      </c>
      <c r="BW316">
        <v>2013</v>
      </c>
      <c r="BX316">
        <v>4</v>
      </c>
      <c r="BY316">
        <f t="shared" si="18"/>
        <v>-11.007999999999996</v>
      </c>
      <c r="BZ316">
        <v>46.186999999999998</v>
      </c>
      <c r="CA316">
        <v>88.992000000000004</v>
      </c>
      <c r="CI316">
        <v>2013</v>
      </c>
      <c r="CJ316">
        <v>4</v>
      </c>
      <c r="CK316">
        <f t="shared" si="19"/>
        <v>-10.835999999999999</v>
      </c>
      <c r="CL316">
        <v>46.289000000000001</v>
      </c>
      <c r="CM316">
        <v>89.164000000000001</v>
      </c>
    </row>
    <row r="317" spans="73:91" x14ac:dyDescent="0.2">
      <c r="BU317" s="10" t="s">
        <v>162</v>
      </c>
      <c r="BV317" s="10">
        <v>101</v>
      </c>
      <c r="BW317">
        <v>2013</v>
      </c>
      <c r="BX317">
        <v>5</v>
      </c>
      <c r="BY317">
        <f t="shared" si="18"/>
        <v>-11.391999999999996</v>
      </c>
      <c r="BZ317">
        <v>45.895000000000003</v>
      </c>
      <c r="CA317">
        <v>88.608000000000004</v>
      </c>
      <c r="CI317">
        <v>2013</v>
      </c>
      <c r="CJ317">
        <v>5</v>
      </c>
      <c r="CK317">
        <f t="shared" si="19"/>
        <v>-11.375</v>
      </c>
      <c r="CL317">
        <v>45.917999999999999</v>
      </c>
      <c r="CM317">
        <v>88.625</v>
      </c>
    </row>
    <row r="318" spans="73:91" x14ac:dyDescent="0.2">
      <c r="BU318" s="10" t="s">
        <v>162</v>
      </c>
      <c r="BV318" s="10">
        <v>101</v>
      </c>
      <c r="BW318">
        <v>2013</v>
      </c>
      <c r="BX318">
        <v>6</v>
      </c>
      <c r="BY318">
        <f t="shared" si="18"/>
        <v>-12</v>
      </c>
      <c r="BZ318">
        <v>45.494</v>
      </c>
      <c r="CA318">
        <v>88</v>
      </c>
      <c r="CI318">
        <v>2013</v>
      </c>
      <c r="CJ318">
        <v>6</v>
      </c>
      <c r="CK318">
        <f t="shared" si="19"/>
        <v>-12.010000000000005</v>
      </c>
      <c r="CL318">
        <v>45.497</v>
      </c>
      <c r="CM318">
        <v>87.99</v>
      </c>
    </row>
    <row r="319" spans="73:91" x14ac:dyDescent="0.2">
      <c r="BU319" s="10" t="s">
        <v>162</v>
      </c>
      <c r="BV319" s="10">
        <v>101</v>
      </c>
      <c r="BW319">
        <v>2013</v>
      </c>
      <c r="BX319">
        <v>7</v>
      </c>
      <c r="BY319">
        <f t="shared" si="18"/>
        <v>-13.284000000000006</v>
      </c>
      <c r="BZ319">
        <v>44.750999999999998</v>
      </c>
      <c r="CA319">
        <v>86.715999999999994</v>
      </c>
      <c r="CI319">
        <v>2013</v>
      </c>
      <c r="CJ319">
        <v>7</v>
      </c>
      <c r="CK319">
        <f t="shared" si="19"/>
        <v>-13.298000000000002</v>
      </c>
      <c r="CL319">
        <v>44.75</v>
      </c>
      <c r="CM319">
        <v>86.701999999999998</v>
      </c>
    </row>
    <row r="320" spans="73:91" x14ac:dyDescent="0.2">
      <c r="BU320" s="10" t="s">
        <v>162</v>
      </c>
      <c r="BV320" s="10">
        <v>101</v>
      </c>
      <c r="BW320">
        <v>2013</v>
      </c>
      <c r="BX320">
        <v>8</v>
      </c>
      <c r="BY320">
        <f t="shared" si="18"/>
        <v>-13.590999999999994</v>
      </c>
      <c r="BZ320">
        <v>44.502000000000002</v>
      </c>
      <c r="CA320">
        <v>86.409000000000006</v>
      </c>
      <c r="CI320">
        <v>2013</v>
      </c>
      <c r="CJ320">
        <v>8</v>
      </c>
      <c r="CK320">
        <f t="shared" si="19"/>
        <v>-13.605999999999995</v>
      </c>
      <c r="CL320">
        <v>44.497999999999998</v>
      </c>
      <c r="CM320">
        <v>86.394000000000005</v>
      </c>
    </row>
    <row r="321" spans="73:91" x14ac:dyDescent="0.2">
      <c r="BU321" s="10" t="s">
        <v>162</v>
      </c>
      <c r="BV321" s="10">
        <v>101</v>
      </c>
      <c r="BW321">
        <v>2013</v>
      </c>
      <c r="BX321">
        <v>9</v>
      </c>
      <c r="BY321">
        <f t="shared" si="18"/>
        <v>-15.620999999999995</v>
      </c>
      <c r="BZ321">
        <v>43.331000000000003</v>
      </c>
      <c r="CA321">
        <v>84.379000000000005</v>
      </c>
      <c r="CI321">
        <v>2013</v>
      </c>
      <c r="CJ321">
        <v>9</v>
      </c>
      <c r="CK321">
        <f t="shared" si="19"/>
        <v>-15.632999999999996</v>
      </c>
      <c r="CL321">
        <v>43.329000000000001</v>
      </c>
      <c r="CM321">
        <v>84.367000000000004</v>
      </c>
    </row>
    <row r="322" spans="73:91" x14ac:dyDescent="0.2">
      <c r="BU322" s="10" t="s">
        <v>162</v>
      </c>
      <c r="BV322" s="10">
        <v>101</v>
      </c>
      <c r="BW322">
        <v>2013</v>
      </c>
      <c r="BX322">
        <v>10</v>
      </c>
      <c r="BY322">
        <f t="shared" si="18"/>
        <v>-14.930999999999997</v>
      </c>
      <c r="BZ322">
        <v>43.500999999999998</v>
      </c>
      <c r="CA322">
        <v>85.069000000000003</v>
      </c>
      <c r="CI322">
        <v>2013</v>
      </c>
      <c r="CJ322">
        <v>10</v>
      </c>
      <c r="CK322">
        <f t="shared" si="19"/>
        <v>-14.924999999999997</v>
      </c>
      <c r="CL322">
        <v>43.509</v>
      </c>
      <c r="CM322">
        <v>85.075000000000003</v>
      </c>
    </row>
    <row r="323" spans="73:91" x14ac:dyDescent="0.2">
      <c r="BU323" s="10" t="s">
        <v>162</v>
      </c>
      <c r="BV323" s="10">
        <v>101</v>
      </c>
      <c r="BW323">
        <v>2013</v>
      </c>
      <c r="BX323">
        <v>11</v>
      </c>
      <c r="BY323">
        <f t="shared" ref="BY323:BY351" si="20">CA323-100</f>
        <v>-13.132000000000005</v>
      </c>
      <c r="BZ323">
        <v>44.542000000000002</v>
      </c>
      <c r="CA323">
        <v>86.867999999999995</v>
      </c>
      <c r="CI323">
        <v>2013</v>
      </c>
      <c r="CJ323">
        <v>11</v>
      </c>
      <c r="CK323">
        <f t="shared" ref="CK323:CK351" si="21">CM323-100</f>
        <v>-13.144999999999996</v>
      </c>
      <c r="CL323">
        <v>44.537999999999997</v>
      </c>
      <c r="CM323">
        <v>86.855000000000004</v>
      </c>
    </row>
    <row r="324" spans="73:91" x14ac:dyDescent="0.2">
      <c r="BU324" s="10" t="s">
        <v>162</v>
      </c>
      <c r="BV324" s="10">
        <v>101</v>
      </c>
      <c r="BW324">
        <v>2013</v>
      </c>
      <c r="BX324">
        <v>12</v>
      </c>
      <c r="BY324">
        <f t="shared" si="20"/>
        <v>-13.829999999999998</v>
      </c>
      <c r="BZ324">
        <v>44.250999999999998</v>
      </c>
      <c r="CA324">
        <v>86.17</v>
      </c>
      <c r="CI324">
        <v>2013</v>
      </c>
      <c r="CJ324">
        <v>12</v>
      </c>
      <c r="CK324">
        <f t="shared" si="21"/>
        <v>-13.825999999999993</v>
      </c>
      <c r="CL324">
        <v>44.256999999999998</v>
      </c>
      <c r="CM324">
        <v>86.174000000000007</v>
      </c>
    </row>
    <row r="325" spans="73:91" x14ac:dyDescent="0.2">
      <c r="BU325" s="10" t="s">
        <v>162</v>
      </c>
      <c r="BV325" s="10">
        <v>101</v>
      </c>
      <c r="BW325">
        <v>2014</v>
      </c>
      <c r="BX325">
        <v>1</v>
      </c>
      <c r="BY325">
        <f t="shared" si="20"/>
        <v>-14.433999999999997</v>
      </c>
      <c r="BZ325">
        <v>43.951999999999998</v>
      </c>
      <c r="CA325">
        <v>85.566000000000003</v>
      </c>
      <c r="CI325">
        <v>2014</v>
      </c>
      <c r="CJ325">
        <v>1</v>
      </c>
      <c r="CK325">
        <f t="shared" si="21"/>
        <v>-14.418999999999997</v>
      </c>
      <c r="CL325">
        <v>43.966000000000001</v>
      </c>
      <c r="CM325">
        <v>85.581000000000003</v>
      </c>
    </row>
    <row r="326" spans="73:91" x14ac:dyDescent="0.2">
      <c r="BU326" s="10" t="s">
        <v>162</v>
      </c>
      <c r="BV326" s="10">
        <v>101</v>
      </c>
      <c r="BW326">
        <v>2014</v>
      </c>
      <c r="BX326">
        <v>2</v>
      </c>
      <c r="BY326">
        <f t="shared" si="20"/>
        <v>-14.006</v>
      </c>
      <c r="BZ326">
        <v>44.133000000000003</v>
      </c>
      <c r="CA326">
        <v>85.994</v>
      </c>
      <c r="CI326">
        <v>2014</v>
      </c>
      <c r="CJ326">
        <v>2</v>
      </c>
      <c r="CK326">
        <f t="shared" si="21"/>
        <v>-14.018000000000001</v>
      </c>
      <c r="CL326">
        <v>44.131</v>
      </c>
      <c r="CM326">
        <v>85.981999999999999</v>
      </c>
    </row>
    <row r="327" spans="73:91" x14ac:dyDescent="0.2">
      <c r="BU327" s="10" t="s">
        <v>162</v>
      </c>
      <c r="BV327" s="10">
        <v>101</v>
      </c>
      <c r="BW327">
        <v>2014</v>
      </c>
      <c r="BX327">
        <v>3</v>
      </c>
      <c r="BY327">
        <f t="shared" si="20"/>
        <v>-16.215999999999994</v>
      </c>
      <c r="BZ327">
        <v>42.95</v>
      </c>
      <c r="CA327">
        <v>83.784000000000006</v>
      </c>
      <c r="CI327">
        <v>2014</v>
      </c>
      <c r="CJ327">
        <v>3</v>
      </c>
      <c r="CK327">
        <f t="shared" si="21"/>
        <v>-16.228999999999999</v>
      </c>
      <c r="CL327">
        <v>42.948</v>
      </c>
      <c r="CM327">
        <v>83.771000000000001</v>
      </c>
    </row>
    <row r="328" spans="73:91" x14ac:dyDescent="0.2">
      <c r="BU328" s="10" t="s">
        <v>162</v>
      </c>
      <c r="BV328" s="10">
        <v>101</v>
      </c>
      <c r="BW328">
        <v>2014</v>
      </c>
      <c r="BX328">
        <v>4</v>
      </c>
      <c r="BY328">
        <f t="shared" si="20"/>
        <v>-17.540999999999997</v>
      </c>
      <c r="BZ328">
        <v>42.134</v>
      </c>
      <c r="CA328">
        <v>82.459000000000003</v>
      </c>
      <c r="CI328">
        <v>2014</v>
      </c>
      <c r="CJ328">
        <v>4</v>
      </c>
      <c r="CK328">
        <f t="shared" si="21"/>
        <v>-17.551000000000002</v>
      </c>
      <c r="CL328">
        <v>42.133000000000003</v>
      </c>
      <c r="CM328">
        <v>82.448999999999998</v>
      </c>
    </row>
    <row r="329" spans="73:91" x14ac:dyDescent="0.2">
      <c r="BU329" s="10" t="s">
        <v>162</v>
      </c>
      <c r="BV329" s="10">
        <v>101</v>
      </c>
      <c r="BW329">
        <v>2014</v>
      </c>
      <c r="BX329">
        <v>5</v>
      </c>
      <c r="BY329">
        <f t="shared" si="20"/>
        <v>-17.268000000000001</v>
      </c>
      <c r="BZ329">
        <v>42.209000000000003</v>
      </c>
      <c r="CA329">
        <v>82.731999999999999</v>
      </c>
      <c r="CI329">
        <v>2014</v>
      </c>
      <c r="CJ329">
        <v>5</v>
      </c>
      <c r="CK329">
        <f t="shared" si="21"/>
        <v>-17.278999999999996</v>
      </c>
      <c r="CL329">
        <v>42.206000000000003</v>
      </c>
      <c r="CM329">
        <v>82.721000000000004</v>
      </c>
    </row>
    <row r="330" spans="73:91" x14ac:dyDescent="0.2">
      <c r="BU330" s="10" t="s">
        <v>162</v>
      </c>
      <c r="BV330" s="10">
        <v>101</v>
      </c>
      <c r="BW330">
        <v>2014</v>
      </c>
      <c r="BX330">
        <v>6</v>
      </c>
      <c r="BY330">
        <f t="shared" si="20"/>
        <v>-16.463999999999999</v>
      </c>
      <c r="BZ330">
        <v>42.462000000000003</v>
      </c>
      <c r="CA330">
        <v>83.536000000000001</v>
      </c>
      <c r="CI330">
        <v>2014</v>
      </c>
      <c r="CJ330">
        <v>6</v>
      </c>
      <c r="CK330">
        <f t="shared" si="21"/>
        <v>-16.465000000000003</v>
      </c>
      <c r="CL330">
        <v>42.466000000000001</v>
      </c>
      <c r="CM330">
        <v>83.534999999999997</v>
      </c>
    </row>
    <row r="331" spans="73:91" x14ac:dyDescent="0.2">
      <c r="BU331" s="10" t="s">
        <v>162</v>
      </c>
      <c r="BV331" s="10">
        <v>101</v>
      </c>
      <c r="BW331">
        <v>2014</v>
      </c>
      <c r="BX331">
        <v>7</v>
      </c>
      <c r="BY331">
        <f t="shared" si="20"/>
        <v>-18.784999999999997</v>
      </c>
      <c r="BZ331">
        <v>41.356999999999999</v>
      </c>
      <c r="CA331">
        <v>81.215000000000003</v>
      </c>
      <c r="CI331">
        <v>2014</v>
      </c>
      <c r="CJ331">
        <v>7</v>
      </c>
      <c r="CK331">
        <f t="shared" si="21"/>
        <v>-18.790999999999997</v>
      </c>
      <c r="CL331">
        <v>41.357999999999997</v>
      </c>
      <c r="CM331">
        <v>81.209000000000003</v>
      </c>
    </row>
    <row r="332" spans="73:91" x14ac:dyDescent="0.2">
      <c r="BU332" s="10" t="s">
        <v>162</v>
      </c>
      <c r="BV332" s="10">
        <v>101</v>
      </c>
      <c r="BW332">
        <v>2014</v>
      </c>
      <c r="BX332">
        <v>8</v>
      </c>
      <c r="BY332">
        <f t="shared" si="20"/>
        <v>-19.668000000000006</v>
      </c>
      <c r="BZ332">
        <v>40.71</v>
      </c>
      <c r="CA332">
        <v>80.331999999999994</v>
      </c>
      <c r="CI332">
        <v>2014</v>
      </c>
      <c r="CJ332">
        <v>8</v>
      </c>
      <c r="CK332">
        <f t="shared" si="21"/>
        <v>-19.653000000000006</v>
      </c>
      <c r="CL332">
        <v>40.723999999999997</v>
      </c>
      <c r="CM332">
        <v>80.346999999999994</v>
      </c>
    </row>
    <row r="333" spans="73:91" x14ac:dyDescent="0.2">
      <c r="BU333" s="10" t="s">
        <v>162</v>
      </c>
      <c r="BV333" s="10">
        <v>101</v>
      </c>
      <c r="BW333">
        <v>2014</v>
      </c>
      <c r="BX333">
        <v>9</v>
      </c>
      <c r="BY333">
        <f t="shared" si="20"/>
        <v>-20.981999999999999</v>
      </c>
      <c r="BZ333">
        <v>39.979999999999997</v>
      </c>
      <c r="CA333">
        <v>79.018000000000001</v>
      </c>
      <c r="CI333">
        <v>2014</v>
      </c>
      <c r="CJ333">
        <v>9</v>
      </c>
      <c r="CK333">
        <f t="shared" si="21"/>
        <v>-20.980999999999995</v>
      </c>
      <c r="CL333">
        <v>39.985999999999997</v>
      </c>
      <c r="CM333">
        <v>79.019000000000005</v>
      </c>
    </row>
    <row r="334" spans="73:91" x14ac:dyDescent="0.2">
      <c r="BU334" s="10" t="s">
        <v>162</v>
      </c>
      <c r="BV334" s="10">
        <v>101</v>
      </c>
      <c r="BW334">
        <v>2014</v>
      </c>
      <c r="BX334">
        <v>10</v>
      </c>
      <c r="BY334">
        <f t="shared" si="20"/>
        <v>-22.965000000000003</v>
      </c>
      <c r="BZ334">
        <v>38.790999999999997</v>
      </c>
      <c r="CA334">
        <v>77.034999999999997</v>
      </c>
      <c r="CI334">
        <v>2014</v>
      </c>
      <c r="CJ334">
        <v>10</v>
      </c>
      <c r="CK334">
        <f t="shared" si="21"/>
        <v>-22.963999999999999</v>
      </c>
      <c r="CL334">
        <v>38.796999999999997</v>
      </c>
      <c r="CM334">
        <v>77.036000000000001</v>
      </c>
    </row>
    <row r="335" spans="73:91" x14ac:dyDescent="0.2">
      <c r="BU335" s="10" t="s">
        <v>162</v>
      </c>
      <c r="BV335" s="10">
        <v>101</v>
      </c>
      <c r="BW335">
        <v>2014</v>
      </c>
      <c r="BX335">
        <v>11</v>
      </c>
      <c r="BY335">
        <f t="shared" si="20"/>
        <v>-23.653999999999996</v>
      </c>
      <c r="BZ335">
        <v>38.241999999999997</v>
      </c>
      <c r="CA335">
        <v>76.346000000000004</v>
      </c>
      <c r="CI335">
        <v>2014</v>
      </c>
      <c r="CJ335">
        <v>11</v>
      </c>
      <c r="CK335">
        <f t="shared" si="21"/>
        <v>-23.650999999999996</v>
      </c>
      <c r="CL335">
        <v>38.247</v>
      </c>
      <c r="CM335">
        <v>76.349000000000004</v>
      </c>
    </row>
    <row r="336" spans="73:91" x14ac:dyDescent="0.2">
      <c r="BU336" s="10" t="s">
        <v>162</v>
      </c>
      <c r="BV336" s="10">
        <v>101</v>
      </c>
      <c r="BW336">
        <v>2014</v>
      </c>
      <c r="BX336">
        <v>12</v>
      </c>
      <c r="BY336">
        <f t="shared" si="20"/>
        <v>-23.768000000000001</v>
      </c>
      <c r="BZ336">
        <v>38.063000000000002</v>
      </c>
      <c r="CA336">
        <v>76.231999999999999</v>
      </c>
      <c r="CI336">
        <v>2014</v>
      </c>
      <c r="CJ336">
        <v>12</v>
      </c>
      <c r="CK336">
        <f t="shared" si="21"/>
        <v>-23.766000000000005</v>
      </c>
      <c r="CL336">
        <v>38.067999999999998</v>
      </c>
      <c r="CM336">
        <v>76.233999999999995</v>
      </c>
    </row>
    <row r="337" spans="73:91" x14ac:dyDescent="0.2">
      <c r="BU337" s="10" t="s">
        <v>162</v>
      </c>
      <c r="BV337" s="10">
        <v>101</v>
      </c>
      <c r="BW337">
        <v>2015</v>
      </c>
      <c r="BX337">
        <v>1</v>
      </c>
      <c r="BY337">
        <f t="shared" si="20"/>
        <v>-22.653000000000006</v>
      </c>
      <c r="BZ337">
        <v>38.607999999999997</v>
      </c>
      <c r="CA337">
        <v>77.346999999999994</v>
      </c>
      <c r="CI337">
        <v>2015</v>
      </c>
      <c r="CJ337">
        <v>1</v>
      </c>
      <c r="CK337">
        <f t="shared" si="21"/>
        <v>-22.635999999999996</v>
      </c>
      <c r="CL337">
        <v>38.621000000000002</v>
      </c>
      <c r="CM337">
        <v>77.364000000000004</v>
      </c>
    </row>
    <row r="338" spans="73:91" x14ac:dyDescent="0.2">
      <c r="BU338" s="10" t="s">
        <v>162</v>
      </c>
      <c r="BV338" s="10">
        <v>101</v>
      </c>
      <c r="BW338">
        <v>2015</v>
      </c>
      <c r="BX338">
        <v>2</v>
      </c>
      <c r="BY338">
        <f t="shared" si="20"/>
        <v>-23.899000000000001</v>
      </c>
      <c r="BZ338">
        <v>38.018000000000001</v>
      </c>
      <c r="CA338">
        <v>76.100999999999999</v>
      </c>
      <c r="CI338">
        <v>2015</v>
      </c>
      <c r="CJ338">
        <v>2</v>
      </c>
      <c r="CK338">
        <f t="shared" si="21"/>
        <v>-23.894999999999996</v>
      </c>
      <c r="CL338">
        <v>38.024999999999999</v>
      </c>
      <c r="CM338">
        <v>76.105000000000004</v>
      </c>
    </row>
    <row r="339" spans="73:91" x14ac:dyDescent="0.2">
      <c r="BU339" s="10" t="s">
        <v>162</v>
      </c>
      <c r="BV339" s="10">
        <v>101</v>
      </c>
      <c r="BW339">
        <v>2015</v>
      </c>
      <c r="BX339">
        <v>3</v>
      </c>
      <c r="BY339">
        <f t="shared" si="20"/>
        <v>-20.962999999999994</v>
      </c>
      <c r="BZ339">
        <v>39.534999999999997</v>
      </c>
      <c r="CA339">
        <v>79.037000000000006</v>
      </c>
      <c r="CI339">
        <v>2015</v>
      </c>
      <c r="CJ339">
        <v>3</v>
      </c>
      <c r="CK339">
        <f t="shared" si="21"/>
        <v>-20.962999999999994</v>
      </c>
      <c r="CL339">
        <v>39.536999999999999</v>
      </c>
      <c r="CM339">
        <v>79.037000000000006</v>
      </c>
    </row>
    <row r="340" spans="73:91" x14ac:dyDescent="0.2">
      <c r="BU340" s="10" t="s">
        <v>162</v>
      </c>
      <c r="BV340" s="10">
        <v>101</v>
      </c>
      <c r="BW340">
        <v>2015</v>
      </c>
      <c r="BX340">
        <v>4</v>
      </c>
      <c r="BY340">
        <f t="shared" si="20"/>
        <v>-21.686000000000007</v>
      </c>
      <c r="BZ340">
        <v>39.357999999999997</v>
      </c>
      <c r="CA340">
        <v>78.313999999999993</v>
      </c>
      <c r="CI340">
        <v>2015</v>
      </c>
      <c r="CJ340">
        <v>4</v>
      </c>
      <c r="CK340">
        <f t="shared" si="21"/>
        <v>-21.683999999999997</v>
      </c>
      <c r="CL340">
        <v>39.362000000000002</v>
      </c>
      <c r="CM340">
        <v>78.316000000000003</v>
      </c>
    </row>
    <row r="341" spans="73:91" x14ac:dyDescent="0.2">
      <c r="BU341" s="10" t="s">
        <v>162</v>
      </c>
      <c r="BV341" s="10">
        <v>101</v>
      </c>
      <c r="BW341">
        <v>2015</v>
      </c>
      <c r="BX341">
        <v>5</v>
      </c>
      <c r="BY341">
        <f t="shared" si="20"/>
        <v>-25.209000000000003</v>
      </c>
      <c r="BZ341">
        <v>37.392000000000003</v>
      </c>
      <c r="CA341">
        <v>74.790999999999997</v>
      </c>
      <c r="CI341">
        <v>2015</v>
      </c>
      <c r="CJ341">
        <v>5</v>
      </c>
      <c r="CK341">
        <f t="shared" si="21"/>
        <v>-25.203000000000003</v>
      </c>
      <c r="CL341">
        <v>37.399000000000001</v>
      </c>
      <c r="CM341">
        <v>74.796999999999997</v>
      </c>
    </row>
    <row r="342" spans="73:91" x14ac:dyDescent="0.2">
      <c r="BU342" s="10" t="s">
        <v>162</v>
      </c>
      <c r="BV342" s="10">
        <v>101</v>
      </c>
      <c r="BW342">
        <v>2015</v>
      </c>
      <c r="BX342">
        <v>6</v>
      </c>
      <c r="BY342">
        <f t="shared" si="20"/>
        <v>-24.259</v>
      </c>
      <c r="BZ342">
        <v>37.715000000000003</v>
      </c>
      <c r="CA342">
        <v>75.741</v>
      </c>
      <c r="CI342">
        <v>2015</v>
      </c>
      <c r="CJ342">
        <v>6</v>
      </c>
      <c r="CK342">
        <f t="shared" si="21"/>
        <v>-24.241</v>
      </c>
      <c r="CL342">
        <v>37.728000000000002</v>
      </c>
      <c r="CM342">
        <v>75.759</v>
      </c>
    </row>
    <row r="343" spans="73:91" x14ac:dyDescent="0.2">
      <c r="BU343" s="10" t="s">
        <v>162</v>
      </c>
      <c r="BV343" s="10">
        <v>101</v>
      </c>
      <c r="BW343">
        <v>2015</v>
      </c>
      <c r="BX343">
        <v>7</v>
      </c>
      <c r="BY343">
        <f t="shared" si="20"/>
        <v>-24.545000000000002</v>
      </c>
      <c r="BZ343">
        <v>37.526000000000003</v>
      </c>
      <c r="CA343">
        <v>75.454999999999998</v>
      </c>
      <c r="CI343">
        <v>2015</v>
      </c>
      <c r="CJ343">
        <v>7</v>
      </c>
      <c r="CK343">
        <f t="shared" si="21"/>
        <v>-24.540999999999997</v>
      </c>
      <c r="CL343">
        <v>37.531999999999996</v>
      </c>
      <c r="CM343">
        <v>75.459000000000003</v>
      </c>
    </row>
    <row r="344" spans="73:91" x14ac:dyDescent="0.2">
      <c r="BU344" s="10" t="s">
        <v>162</v>
      </c>
      <c r="BV344" s="10">
        <v>101</v>
      </c>
      <c r="BW344">
        <v>2015</v>
      </c>
      <c r="BX344">
        <v>8</v>
      </c>
      <c r="BY344">
        <f t="shared" si="20"/>
        <v>-24.658000000000001</v>
      </c>
      <c r="BZ344">
        <v>37.439</v>
      </c>
      <c r="CA344">
        <v>75.341999999999999</v>
      </c>
      <c r="CI344">
        <v>2015</v>
      </c>
      <c r="CJ344">
        <v>8</v>
      </c>
      <c r="CK344">
        <f t="shared" si="21"/>
        <v>-24.655000000000001</v>
      </c>
      <c r="CL344">
        <v>37.442999999999998</v>
      </c>
      <c r="CM344">
        <v>75.344999999999999</v>
      </c>
    </row>
    <row r="345" spans="73:91" x14ac:dyDescent="0.2">
      <c r="BU345" s="10" t="s">
        <v>162</v>
      </c>
      <c r="BV345" s="10">
        <v>101</v>
      </c>
      <c r="BW345">
        <v>2015</v>
      </c>
      <c r="BX345">
        <v>9</v>
      </c>
      <c r="BY345">
        <f t="shared" si="20"/>
        <v>-22.953999999999994</v>
      </c>
      <c r="BZ345">
        <v>38.335999999999999</v>
      </c>
      <c r="CA345">
        <v>77.046000000000006</v>
      </c>
      <c r="CI345">
        <v>2015</v>
      </c>
      <c r="CJ345">
        <v>9</v>
      </c>
      <c r="CK345">
        <f t="shared" si="21"/>
        <v>-22.944000000000003</v>
      </c>
      <c r="CL345">
        <v>38.343000000000004</v>
      </c>
      <c r="CM345">
        <v>77.055999999999997</v>
      </c>
    </row>
    <row r="346" spans="73:91" x14ac:dyDescent="0.2">
      <c r="BU346" s="10" t="s">
        <v>162</v>
      </c>
      <c r="BV346" s="10">
        <v>101</v>
      </c>
      <c r="BW346">
        <v>2015</v>
      </c>
      <c r="BX346">
        <v>10</v>
      </c>
      <c r="BY346">
        <f t="shared" si="20"/>
        <v>-23.057000000000002</v>
      </c>
      <c r="BZ346">
        <v>38.328000000000003</v>
      </c>
      <c r="CA346">
        <v>76.942999999999998</v>
      </c>
      <c r="CI346">
        <v>2015</v>
      </c>
      <c r="CJ346">
        <v>10</v>
      </c>
      <c r="CK346">
        <f t="shared" si="21"/>
        <v>-23.046000000000006</v>
      </c>
      <c r="CL346">
        <v>38.338000000000001</v>
      </c>
      <c r="CM346">
        <v>76.953999999999994</v>
      </c>
    </row>
    <row r="347" spans="73:91" x14ac:dyDescent="0.2">
      <c r="BU347" s="10" t="s">
        <v>162</v>
      </c>
      <c r="BV347" s="10">
        <v>101</v>
      </c>
      <c r="BW347">
        <v>2015</v>
      </c>
      <c r="BX347">
        <v>11</v>
      </c>
      <c r="BY347">
        <f t="shared" si="20"/>
        <v>-25.531999999999996</v>
      </c>
      <c r="BZ347">
        <v>37.01</v>
      </c>
      <c r="CA347">
        <v>74.468000000000004</v>
      </c>
      <c r="CI347">
        <v>2015</v>
      </c>
      <c r="CJ347">
        <v>11</v>
      </c>
      <c r="CK347">
        <f t="shared" si="21"/>
        <v>-25.510000000000005</v>
      </c>
      <c r="CL347">
        <v>37.026000000000003</v>
      </c>
      <c r="CM347">
        <v>74.489999999999995</v>
      </c>
    </row>
    <row r="348" spans="73:91" x14ac:dyDescent="0.2">
      <c r="BU348" s="10" t="s">
        <v>162</v>
      </c>
      <c r="BV348" s="10">
        <v>101</v>
      </c>
      <c r="BW348">
        <v>2015</v>
      </c>
      <c r="BX348">
        <v>12</v>
      </c>
      <c r="BY348">
        <f t="shared" si="20"/>
        <v>-25.905000000000001</v>
      </c>
      <c r="BZ348">
        <v>36.677</v>
      </c>
      <c r="CA348">
        <v>74.094999999999999</v>
      </c>
      <c r="CI348">
        <v>2015</v>
      </c>
      <c r="CJ348">
        <v>12</v>
      </c>
      <c r="CK348">
        <f t="shared" si="21"/>
        <v>-25.882999999999996</v>
      </c>
      <c r="CL348">
        <v>36.694000000000003</v>
      </c>
      <c r="CM348">
        <v>74.117000000000004</v>
      </c>
    </row>
    <row r="349" spans="73:91" x14ac:dyDescent="0.2">
      <c r="BU349" s="10" t="s">
        <v>162</v>
      </c>
      <c r="BV349" s="10">
        <v>101</v>
      </c>
      <c r="BW349">
        <v>2016</v>
      </c>
      <c r="BX349">
        <v>1</v>
      </c>
      <c r="BY349">
        <f t="shared" si="20"/>
        <v>-25.968999999999994</v>
      </c>
      <c r="BZ349">
        <v>36.588000000000001</v>
      </c>
      <c r="CA349">
        <v>74.031000000000006</v>
      </c>
      <c r="CI349">
        <v>2016</v>
      </c>
      <c r="CJ349">
        <v>1</v>
      </c>
      <c r="CK349">
        <f t="shared" si="21"/>
        <v>-25.947000000000003</v>
      </c>
      <c r="CL349">
        <v>36.603999999999999</v>
      </c>
      <c r="CM349">
        <v>74.052999999999997</v>
      </c>
    </row>
    <row r="350" spans="73:91" x14ac:dyDescent="0.2">
      <c r="BU350" s="10" t="s">
        <v>162</v>
      </c>
      <c r="BV350" s="10">
        <v>101</v>
      </c>
      <c r="BW350">
        <v>2016</v>
      </c>
      <c r="BX350">
        <v>2</v>
      </c>
      <c r="BY350">
        <f t="shared" si="20"/>
        <v>-26.006</v>
      </c>
      <c r="BZ350">
        <v>36.557000000000002</v>
      </c>
      <c r="CA350">
        <v>73.994</v>
      </c>
      <c r="CI350">
        <v>2016</v>
      </c>
      <c r="CJ350">
        <v>2</v>
      </c>
      <c r="CK350">
        <f t="shared" si="21"/>
        <v>-25.983999999999995</v>
      </c>
      <c r="CL350">
        <v>36.573</v>
      </c>
      <c r="CM350">
        <v>74.016000000000005</v>
      </c>
    </row>
    <row r="351" spans="73:91" x14ac:dyDescent="0.2">
      <c r="BU351" s="10" t="s">
        <v>162</v>
      </c>
      <c r="BV351" s="10">
        <v>101</v>
      </c>
      <c r="BW351">
        <v>2016</v>
      </c>
      <c r="BX351">
        <v>3</v>
      </c>
      <c r="BY351">
        <f t="shared" si="20"/>
        <v>-27.832999999999998</v>
      </c>
      <c r="BZ351">
        <v>35.799999999999997</v>
      </c>
      <c r="CA351">
        <v>72.167000000000002</v>
      </c>
      <c r="CI351">
        <v>2016</v>
      </c>
      <c r="CJ351">
        <v>3</v>
      </c>
      <c r="CK351">
        <f t="shared" si="21"/>
        <v>-27.817999999999998</v>
      </c>
      <c r="CL351">
        <v>35.811</v>
      </c>
      <c r="CM351">
        <v>72.182000000000002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70"/>
  <sheetViews>
    <sheetView workbookViewId="0">
      <selection activeCell="H2" sqref="H2"/>
    </sheetView>
  </sheetViews>
  <sheetFormatPr defaultColWidth="8.7109375" defaultRowHeight="12.75" x14ac:dyDescent="0.2"/>
  <cols>
    <col min="2" max="2" width="10.140625" bestFit="1" customWidth="1"/>
  </cols>
  <sheetData>
    <row r="1" spans="1:17" x14ac:dyDescent="0.2">
      <c r="A1" t="s">
        <v>200</v>
      </c>
      <c r="B1" t="s">
        <v>201</v>
      </c>
      <c r="C1" s="10" t="s">
        <v>202</v>
      </c>
      <c r="D1" s="10" t="s">
        <v>203</v>
      </c>
      <c r="E1" s="10" t="s">
        <v>118</v>
      </c>
      <c r="F1" s="10" t="s">
        <v>204</v>
      </c>
      <c r="G1" s="10" t="s">
        <v>205</v>
      </c>
      <c r="H1" s="10" t="s">
        <v>208</v>
      </c>
      <c r="I1" t="s">
        <v>86</v>
      </c>
    </row>
    <row r="2" spans="1:17" x14ac:dyDescent="0.2">
      <c r="A2" t="s">
        <v>85</v>
      </c>
      <c r="B2" s="1">
        <v>32523</v>
      </c>
      <c r="C2">
        <v>70</v>
      </c>
      <c r="D2">
        <v>30</v>
      </c>
      <c r="E2">
        <v>1500</v>
      </c>
      <c r="F2">
        <f>C2-D2</f>
        <v>40</v>
      </c>
      <c r="G2">
        <f>(C2/(C2+D2))*100</f>
        <v>70</v>
      </c>
      <c r="I2" s="16" t="s">
        <v>84</v>
      </c>
      <c r="J2" t="s">
        <v>175</v>
      </c>
      <c r="M2" t="s">
        <v>175</v>
      </c>
      <c r="N2" t="s">
        <v>175</v>
      </c>
      <c r="O2" t="s">
        <v>146</v>
      </c>
      <c r="P2" t="s">
        <v>185</v>
      </c>
      <c r="Q2" t="s">
        <v>186</v>
      </c>
    </row>
    <row r="3" spans="1:17" x14ac:dyDescent="0.2">
      <c r="A3" t="s">
        <v>85</v>
      </c>
      <c r="B3" s="1">
        <v>32568</v>
      </c>
      <c r="C3">
        <v>46</v>
      </c>
      <c r="E3">
        <v>1500</v>
      </c>
      <c r="J3" t="s">
        <v>87</v>
      </c>
      <c r="L3" s="9" t="s">
        <v>146</v>
      </c>
    </row>
    <row r="4" spans="1:17" x14ac:dyDescent="0.2">
      <c r="A4" t="s">
        <v>85</v>
      </c>
      <c r="B4" s="1">
        <v>32660</v>
      </c>
      <c r="C4">
        <v>47</v>
      </c>
      <c r="E4">
        <v>1500</v>
      </c>
      <c r="I4" s="3"/>
      <c r="L4" s="10" t="s">
        <v>57</v>
      </c>
    </row>
    <row r="5" spans="1:17" x14ac:dyDescent="0.2">
      <c r="A5" t="s">
        <v>85</v>
      </c>
      <c r="B5" s="1">
        <v>32752</v>
      </c>
      <c r="C5">
        <v>44</v>
      </c>
      <c r="E5">
        <v>1500</v>
      </c>
      <c r="I5" s="3"/>
    </row>
    <row r="6" spans="1:17" x14ac:dyDescent="0.2">
      <c r="A6" t="s">
        <v>85</v>
      </c>
      <c r="B6" s="1">
        <v>32843</v>
      </c>
      <c r="C6">
        <v>46</v>
      </c>
      <c r="E6">
        <v>1500</v>
      </c>
      <c r="I6" s="3"/>
    </row>
    <row r="7" spans="1:17" x14ac:dyDescent="0.2">
      <c r="A7" t="s">
        <v>85</v>
      </c>
      <c r="B7" s="1">
        <v>32933</v>
      </c>
      <c r="C7">
        <v>44</v>
      </c>
      <c r="E7">
        <v>1500</v>
      </c>
      <c r="I7" s="3"/>
    </row>
    <row r="8" spans="1:17" x14ac:dyDescent="0.2">
      <c r="A8" t="s">
        <v>85</v>
      </c>
      <c r="B8" s="1">
        <v>33025</v>
      </c>
      <c r="C8">
        <v>35</v>
      </c>
      <c r="E8">
        <v>1500</v>
      </c>
      <c r="I8" s="3"/>
    </row>
    <row r="9" spans="1:17" x14ac:dyDescent="0.2">
      <c r="A9" t="s">
        <v>85</v>
      </c>
      <c r="B9" s="1">
        <v>33117</v>
      </c>
      <c r="C9">
        <v>37</v>
      </c>
      <c r="E9">
        <v>1500</v>
      </c>
      <c r="I9" s="3"/>
    </row>
    <row r="10" spans="1:17" x14ac:dyDescent="0.2">
      <c r="A10" t="s">
        <v>85</v>
      </c>
      <c r="B10" s="1">
        <v>33208</v>
      </c>
      <c r="C10">
        <v>41</v>
      </c>
      <c r="E10">
        <v>1500</v>
      </c>
      <c r="I10" s="3"/>
    </row>
    <row r="11" spans="1:17" x14ac:dyDescent="0.2">
      <c r="A11" t="s">
        <v>85</v>
      </c>
      <c r="B11" s="1">
        <v>33298</v>
      </c>
      <c r="C11">
        <v>45</v>
      </c>
      <c r="E11">
        <v>1500</v>
      </c>
      <c r="I11" s="3"/>
    </row>
    <row r="12" spans="1:17" x14ac:dyDescent="0.2">
      <c r="A12" t="s">
        <v>85</v>
      </c>
      <c r="B12" s="1">
        <v>33390</v>
      </c>
      <c r="C12">
        <v>44</v>
      </c>
      <c r="E12">
        <v>1500</v>
      </c>
      <c r="I12" s="3"/>
    </row>
    <row r="13" spans="1:17" x14ac:dyDescent="0.2">
      <c r="A13" t="s">
        <v>85</v>
      </c>
      <c r="B13" s="1">
        <v>33482</v>
      </c>
      <c r="C13">
        <v>37</v>
      </c>
      <c r="E13">
        <v>1500</v>
      </c>
      <c r="I13" s="3"/>
    </row>
    <row r="14" spans="1:17" x14ac:dyDescent="0.2">
      <c r="A14" t="s">
        <v>85</v>
      </c>
      <c r="B14" s="1">
        <v>33573</v>
      </c>
      <c r="C14">
        <v>36</v>
      </c>
      <c r="E14">
        <v>1500</v>
      </c>
      <c r="I14" s="3"/>
    </row>
    <row r="15" spans="1:17" x14ac:dyDescent="0.2">
      <c r="A15" t="s">
        <v>85</v>
      </c>
      <c r="B15" s="1">
        <v>33664</v>
      </c>
      <c r="C15">
        <v>27</v>
      </c>
      <c r="E15">
        <v>1500</v>
      </c>
      <c r="I15" s="3"/>
    </row>
    <row r="16" spans="1:17" x14ac:dyDescent="0.2">
      <c r="A16" t="s">
        <v>85</v>
      </c>
      <c r="B16" s="1">
        <v>33756</v>
      </c>
      <c r="C16">
        <v>21</v>
      </c>
      <c r="E16">
        <v>1500</v>
      </c>
      <c r="I16" s="3"/>
    </row>
    <row r="17" spans="1:9" x14ac:dyDescent="0.2">
      <c r="A17" t="s">
        <v>85</v>
      </c>
      <c r="B17" s="1">
        <v>33848</v>
      </c>
      <c r="C17">
        <v>21</v>
      </c>
      <c r="E17">
        <v>1500</v>
      </c>
      <c r="I17" s="3"/>
    </row>
    <row r="18" spans="1:9" x14ac:dyDescent="0.2">
      <c r="A18" s="10" t="s">
        <v>85</v>
      </c>
      <c r="B18" s="1">
        <v>33939</v>
      </c>
      <c r="C18">
        <v>20</v>
      </c>
      <c r="D18">
        <v>80</v>
      </c>
      <c r="E18">
        <v>1500</v>
      </c>
      <c r="F18">
        <f>C18-D18</f>
        <v>-60</v>
      </c>
      <c r="G18">
        <f>(C18/(C18+D18))*100</f>
        <v>20</v>
      </c>
      <c r="I18" s="3"/>
    </row>
    <row r="19" spans="1:9" x14ac:dyDescent="0.2">
      <c r="A19" s="10" t="s">
        <v>85</v>
      </c>
      <c r="B19" s="1">
        <v>34029</v>
      </c>
      <c r="C19">
        <v>19</v>
      </c>
      <c r="D19">
        <v>81</v>
      </c>
      <c r="E19">
        <v>1500</v>
      </c>
      <c r="F19">
        <f>C19-D19</f>
        <v>-62</v>
      </c>
      <c r="G19">
        <f>(C19/(C19+D19))*100</f>
        <v>19</v>
      </c>
      <c r="I19" s="3"/>
    </row>
    <row r="20" spans="1:9" x14ac:dyDescent="0.2">
      <c r="A20" t="s">
        <v>85</v>
      </c>
      <c r="B20" s="1">
        <v>34121</v>
      </c>
      <c r="C20">
        <v>60</v>
      </c>
      <c r="E20">
        <v>1500</v>
      </c>
      <c r="I20" s="3"/>
    </row>
    <row r="21" spans="1:9" x14ac:dyDescent="0.2">
      <c r="A21" t="s">
        <v>85</v>
      </c>
      <c r="B21" s="1">
        <v>34213</v>
      </c>
      <c r="C21">
        <v>42</v>
      </c>
      <c r="E21">
        <v>1500</v>
      </c>
      <c r="I21" s="3"/>
    </row>
    <row r="22" spans="1:9" x14ac:dyDescent="0.2">
      <c r="A22" t="s">
        <v>85</v>
      </c>
      <c r="B22" s="1">
        <v>34394</v>
      </c>
      <c r="C22">
        <v>71</v>
      </c>
      <c r="E22">
        <v>1500</v>
      </c>
      <c r="I22" s="3"/>
    </row>
    <row r="23" spans="1:9" x14ac:dyDescent="0.2">
      <c r="A23" t="s">
        <v>85</v>
      </c>
      <c r="B23" s="1">
        <v>34486</v>
      </c>
      <c r="C23">
        <v>59</v>
      </c>
      <c r="E23">
        <v>1500</v>
      </c>
      <c r="I23" s="3"/>
    </row>
    <row r="24" spans="1:9" x14ac:dyDescent="0.2">
      <c r="A24" t="s">
        <v>85</v>
      </c>
      <c r="B24" s="1">
        <v>34943</v>
      </c>
      <c r="C24">
        <v>51</v>
      </c>
      <c r="E24">
        <v>1500</v>
      </c>
      <c r="I24" s="3"/>
    </row>
    <row r="25" spans="1:9" x14ac:dyDescent="0.2">
      <c r="A25" t="s">
        <v>85</v>
      </c>
      <c r="B25" s="1">
        <v>35034</v>
      </c>
      <c r="C25">
        <v>47</v>
      </c>
      <c r="E25">
        <v>1500</v>
      </c>
      <c r="I25" s="3"/>
    </row>
    <row r="26" spans="1:9" x14ac:dyDescent="0.2">
      <c r="A26" t="s">
        <v>85</v>
      </c>
      <c r="B26" s="1">
        <v>35125</v>
      </c>
      <c r="C26">
        <v>33</v>
      </c>
      <c r="E26">
        <v>1500</v>
      </c>
      <c r="I26" s="3"/>
    </row>
    <row r="27" spans="1:9" x14ac:dyDescent="0.2">
      <c r="A27" t="s">
        <v>85</v>
      </c>
      <c r="B27" s="1">
        <v>35217</v>
      </c>
      <c r="C27">
        <v>25</v>
      </c>
      <c r="E27">
        <v>1500</v>
      </c>
      <c r="I27" s="3"/>
    </row>
    <row r="28" spans="1:9" x14ac:dyDescent="0.2">
      <c r="A28" t="s">
        <v>85</v>
      </c>
      <c r="B28" s="1">
        <v>35309</v>
      </c>
      <c r="C28">
        <v>26</v>
      </c>
      <c r="E28">
        <v>1500</v>
      </c>
      <c r="I28" s="3"/>
    </row>
    <row r="29" spans="1:9" x14ac:dyDescent="0.2">
      <c r="A29" t="s">
        <v>85</v>
      </c>
      <c r="B29" s="1">
        <v>35400</v>
      </c>
      <c r="C29">
        <v>26</v>
      </c>
      <c r="E29">
        <v>1500</v>
      </c>
      <c r="I29" s="3"/>
    </row>
    <row r="30" spans="1:9" x14ac:dyDescent="0.2">
      <c r="A30" t="s">
        <v>85</v>
      </c>
      <c r="B30" s="1">
        <v>35674</v>
      </c>
      <c r="C30">
        <v>26</v>
      </c>
      <c r="E30">
        <v>1500</v>
      </c>
      <c r="I30" s="3"/>
    </row>
    <row r="31" spans="1:9" x14ac:dyDescent="0.2">
      <c r="A31" t="s">
        <v>85</v>
      </c>
      <c r="B31" s="1">
        <v>35855</v>
      </c>
      <c r="C31">
        <v>23</v>
      </c>
      <c r="E31">
        <v>1500</v>
      </c>
      <c r="I31" s="3"/>
    </row>
    <row r="32" spans="1:9" x14ac:dyDescent="0.2">
      <c r="A32" t="s">
        <v>85</v>
      </c>
      <c r="B32" s="1">
        <v>35947</v>
      </c>
      <c r="C32">
        <v>15</v>
      </c>
      <c r="E32">
        <v>1500</v>
      </c>
      <c r="I32" s="3"/>
    </row>
    <row r="33" spans="1:12" x14ac:dyDescent="0.2">
      <c r="A33" t="s">
        <v>85</v>
      </c>
      <c r="B33" s="2">
        <v>36220</v>
      </c>
      <c r="C33">
        <v>80</v>
      </c>
      <c r="E33">
        <v>1500</v>
      </c>
      <c r="I33" s="3"/>
    </row>
    <row r="34" spans="1:12" x14ac:dyDescent="0.2">
      <c r="A34" t="s">
        <v>85</v>
      </c>
      <c r="B34" s="2">
        <v>36312</v>
      </c>
      <c r="C34">
        <v>76</v>
      </c>
      <c r="E34">
        <v>1500</v>
      </c>
      <c r="I34" s="3"/>
      <c r="L34" s="4"/>
    </row>
    <row r="35" spans="1:12" x14ac:dyDescent="0.2">
      <c r="A35" t="s">
        <v>85</v>
      </c>
      <c r="B35" s="2">
        <v>36404</v>
      </c>
      <c r="C35">
        <v>80</v>
      </c>
      <c r="E35">
        <v>1500</v>
      </c>
      <c r="I35" s="3"/>
      <c r="L35" s="4"/>
    </row>
    <row r="36" spans="1:12" x14ac:dyDescent="0.2">
      <c r="A36" t="s">
        <v>85</v>
      </c>
      <c r="B36" s="2">
        <v>36526</v>
      </c>
      <c r="C36">
        <v>75</v>
      </c>
      <c r="E36">
        <v>1500</v>
      </c>
      <c r="I36" s="3"/>
      <c r="L36" s="4"/>
    </row>
    <row r="37" spans="1:12" x14ac:dyDescent="0.2">
      <c r="A37" t="s">
        <v>85</v>
      </c>
      <c r="B37" s="2">
        <v>36586</v>
      </c>
      <c r="C37">
        <v>62</v>
      </c>
      <c r="E37">
        <v>1500</v>
      </c>
      <c r="I37" s="3"/>
      <c r="L37" s="4"/>
    </row>
    <row r="38" spans="1:12" x14ac:dyDescent="0.2">
      <c r="A38" t="s">
        <v>85</v>
      </c>
      <c r="B38" s="2">
        <v>36678</v>
      </c>
      <c r="C38">
        <v>59</v>
      </c>
      <c r="E38">
        <v>1500</v>
      </c>
      <c r="I38" s="3"/>
      <c r="L38" s="4"/>
    </row>
    <row r="39" spans="1:12" x14ac:dyDescent="0.2">
      <c r="A39" t="s">
        <v>85</v>
      </c>
      <c r="B39" s="2">
        <v>36770</v>
      </c>
      <c r="C39">
        <v>69</v>
      </c>
      <c r="E39">
        <v>1500</v>
      </c>
      <c r="I39" s="3"/>
      <c r="L39" s="4"/>
    </row>
    <row r="40" spans="1:12" x14ac:dyDescent="0.2">
      <c r="A40" t="s">
        <v>85</v>
      </c>
      <c r="B40" s="2">
        <v>36923</v>
      </c>
      <c r="C40">
        <v>63</v>
      </c>
      <c r="E40">
        <v>1500</v>
      </c>
      <c r="I40" s="3"/>
      <c r="L40" s="4"/>
    </row>
    <row r="41" spans="1:12" x14ac:dyDescent="0.2">
      <c r="A41" t="s">
        <v>85</v>
      </c>
      <c r="B41" s="2">
        <v>36982</v>
      </c>
      <c r="C41">
        <v>59</v>
      </c>
      <c r="E41">
        <v>1500</v>
      </c>
      <c r="I41" s="3"/>
      <c r="L41" s="4"/>
    </row>
    <row r="42" spans="1:12" x14ac:dyDescent="0.2">
      <c r="A42" t="s">
        <v>85</v>
      </c>
      <c r="B42" s="2">
        <v>37104</v>
      </c>
      <c r="C42">
        <v>51</v>
      </c>
      <c r="E42">
        <v>1500</v>
      </c>
    </row>
    <row r="43" spans="1:12" x14ac:dyDescent="0.2">
      <c r="A43" t="s">
        <v>85</v>
      </c>
      <c r="B43" s="2">
        <v>37196</v>
      </c>
      <c r="C43">
        <v>47</v>
      </c>
      <c r="E43">
        <v>1500</v>
      </c>
    </row>
    <row r="44" spans="1:12" x14ac:dyDescent="0.2">
      <c r="A44" t="s">
        <v>85</v>
      </c>
      <c r="B44" s="2">
        <v>37288</v>
      </c>
      <c r="C44">
        <v>38</v>
      </c>
      <c r="E44">
        <v>1500</v>
      </c>
    </row>
    <row r="45" spans="1:12" x14ac:dyDescent="0.2">
      <c r="A45" t="s">
        <v>85</v>
      </c>
      <c r="B45" s="2">
        <v>37347</v>
      </c>
      <c r="C45">
        <v>50</v>
      </c>
      <c r="E45">
        <v>1500</v>
      </c>
    </row>
    <row r="46" spans="1:12" x14ac:dyDescent="0.2">
      <c r="A46" t="s">
        <v>85</v>
      </c>
      <c r="B46" s="2">
        <v>37438</v>
      </c>
      <c r="C46">
        <v>40</v>
      </c>
      <c r="E46">
        <v>1500</v>
      </c>
    </row>
    <row r="47" spans="1:12" x14ac:dyDescent="0.2">
      <c r="A47" t="s">
        <v>85</v>
      </c>
      <c r="B47" s="2">
        <v>37561</v>
      </c>
      <c r="C47">
        <v>40</v>
      </c>
      <c r="E47">
        <v>1500</v>
      </c>
    </row>
    <row r="48" spans="1:12" x14ac:dyDescent="0.2">
      <c r="A48" t="s">
        <v>85</v>
      </c>
      <c r="B48" s="2">
        <v>37712</v>
      </c>
      <c r="C48">
        <v>39</v>
      </c>
      <c r="E48">
        <v>1500</v>
      </c>
    </row>
    <row r="49" spans="1:18" x14ac:dyDescent="0.2">
      <c r="A49" t="s">
        <v>85</v>
      </c>
      <c r="B49" s="2">
        <v>37825</v>
      </c>
      <c r="C49">
        <v>36</v>
      </c>
      <c r="E49">
        <v>1500</v>
      </c>
    </row>
    <row r="50" spans="1:18" x14ac:dyDescent="0.2">
      <c r="A50" t="s">
        <v>85</v>
      </c>
      <c r="B50" s="2">
        <v>37865</v>
      </c>
      <c r="C50">
        <v>37</v>
      </c>
      <c r="E50">
        <v>1500</v>
      </c>
    </row>
    <row r="51" spans="1:18" x14ac:dyDescent="0.2">
      <c r="A51" t="s">
        <v>85</v>
      </c>
      <c r="B51" s="2">
        <v>37956</v>
      </c>
      <c r="C51">
        <v>45</v>
      </c>
      <c r="E51">
        <v>1500</v>
      </c>
    </row>
    <row r="52" spans="1:18" x14ac:dyDescent="0.2">
      <c r="A52" t="s">
        <v>85</v>
      </c>
      <c r="B52" s="2">
        <v>38047</v>
      </c>
      <c r="C52">
        <v>44</v>
      </c>
      <c r="E52">
        <v>1500</v>
      </c>
    </row>
    <row r="53" spans="1:18" x14ac:dyDescent="0.2">
      <c r="A53" t="s">
        <v>85</v>
      </c>
      <c r="B53" s="2">
        <v>38139</v>
      </c>
      <c r="C53">
        <v>48</v>
      </c>
      <c r="E53">
        <v>1500</v>
      </c>
    </row>
    <row r="54" spans="1:18" x14ac:dyDescent="0.2">
      <c r="A54" t="s">
        <v>85</v>
      </c>
      <c r="B54" s="2">
        <v>38261</v>
      </c>
      <c r="C54">
        <v>57</v>
      </c>
      <c r="E54">
        <v>1500</v>
      </c>
    </row>
    <row r="55" spans="1:18" x14ac:dyDescent="0.2">
      <c r="A55" t="s">
        <v>85</v>
      </c>
      <c r="B55" s="2">
        <v>38353</v>
      </c>
      <c r="C55">
        <v>55</v>
      </c>
      <c r="E55">
        <v>1500</v>
      </c>
    </row>
    <row r="56" spans="1:18" x14ac:dyDescent="0.2">
      <c r="A56" t="s">
        <v>85</v>
      </c>
      <c r="B56" s="2">
        <v>38473</v>
      </c>
      <c r="C56">
        <v>57</v>
      </c>
      <c r="E56">
        <v>1500</v>
      </c>
    </row>
    <row r="57" spans="1:18" x14ac:dyDescent="0.2">
      <c r="A57" t="s">
        <v>85</v>
      </c>
      <c r="B57" s="2">
        <v>38534</v>
      </c>
      <c r="C57">
        <v>60</v>
      </c>
      <c r="E57">
        <v>1500</v>
      </c>
    </row>
    <row r="58" spans="1:18" x14ac:dyDescent="0.2">
      <c r="A58" t="s">
        <v>85</v>
      </c>
      <c r="B58" s="2">
        <v>38596</v>
      </c>
      <c r="C58">
        <v>57</v>
      </c>
      <c r="E58">
        <v>1500</v>
      </c>
    </row>
    <row r="59" spans="1:18" x14ac:dyDescent="0.2">
      <c r="A59" t="s">
        <v>85</v>
      </c>
      <c r="B59" s="2">
        <v>38749</v>
      </c>
      <c r="C59">
        <v>55</v>
      </c>
      <c r="E59">
        <v>1500</v>
      </c>
    </row>
    <row r="60" spans="1:18" x14ac:dyDescent="0.2">
      <c r="A60" t="s">
        <v>85</v>
      </c>
      <c r="B60" s="2">
        <v>38808</v>
      </c>
      <c r="C60">
        <v>58</v>
      </c>
      <c r="E60">
        <v>1500</v>
      </c>
    </row>
    <row r="61" spans="1:18" x14ac:dyDescent="0.2">
      <c r="A61" s="10" t="s">
        <v>85</v>
      </c>
      <c r="B61" s="2">
        <v>38899</v>
      </c>
      <c r="C61">
        <v>54</v>
      </c>
      <c r="E61">
        <v>1500</v>
      </c>
    </row>
    <row r="62" spans="1:18" x14ac:dyDescent="0.2">
      <c r="A62" s="10" t="s">
        <v>85</v>
      </c>
      <c r="B62" s="1">
        <v>40224</v>
      </c>
      <c r="C62">
        <v>46</v>
      </c>
      <c r="D62">
        <v>54</v>
      </c>
      <c r="E62">
        <v>1500</v>
      </c>
      <c r="F62">
        <f>C62-D62</f>
        <v>-8</v>
      </c>
      <c r="G62">
        <f>(C62/(C62+D62))*100</f>
        <v>46</v>
      </c>
      <c r="H62" t="s">
        <v>59</v>
      </c>
    </row>
    <row r="63" spans="1:18" x14ac:dyDescent="0.2">
      <c r="A63" s="10" t="s">
        <v>85</v>
      </c>
      <c r="B63" s="1">
        <v>40405</v>
      </c>
      <c r="C63">
        <v>37</v>
      </c>
      <c r="D63">
        <v>63</v>
      </c>
      <c r="H63" t="s">
        <v>168</v>
      </c>
    </row>
    <row r="64" spans="1:18" x14ac:dyDescent="0.2">
      <c r="A64" s="10" t="s">
        <v>85</v>
      </c>
      <c r="B64" s="1">
        <v>40428</v>
      </c>
      <c r="C64">
        <v>45</v>
      </c>
      <c r="D64">
        <v>54</v>
      </c>
      <c r="E64">
        <v>2000</v>
      </c>
      <c r="F64">
        <f t="shared" ref="F64:F70" si="0">C64-D64</f>
        <v>-9</v>
      </c>
      <c r="G64" s="24">
        <f t="shared" ref="G64:G70" si="1">(C64/(C64+D64))*100</f>
        <v>45.454545454545453</v>
      </c>
      <c r="H64" t="s">
        <v>59</v>
      </c>
      <c r="R64" t="s">
        <v>60</v>
      </c>
    </row>
    <row r="65" spans="1:15" x14ac:dyDescent="0.2">
      <c r="A65" s="10" t="s">
        <v>85</v>
      </c>
      <c r="B65" s="1">
        <v>40518</v>
      </c>
      <c r="C65">
        <v>43.2</v>
      </c>
      <c r="D65">
        <v>56.5</v>
      </c>
      <c r="E65">
        <v>1500</v>
      </c>
      <c r="F65">
        <f t="shared" si="0"/>
        <v>-13.299999999999997</v>
      </c>
      <c r="G65" s="24">
        <f t="shared" si="1"/>
        <v>43.329989969909732</v>
      </c>
      <c r="H65" t="s">
        <v>58</v>
      </c>
      <c r="O65" t="s">
        <v>59</v>
      </c>
    </row>
    <row r="66" spans="1:15" x14ac:dyDescent="0.2">
      <c r="A66" s="18" t="s">
        <v>85</v>
      </c>
      <c r="B66" s="1">
        <v>40627</v>
      </c>
      <c r="C66">
        <v>47</v>
      </c>
      <c r="D66">
        <v>53</v>
      </c>
      <c r="E66">
        <v>2000</v>
      </c>
      <c r="F66">
        <f t="shared" si="0"/>
        <v>-6</v>
      </c>
      <c r="G66" s="24">
        <f t="shared" si="1"/>
        <v>47</v>
      </c>
      <c r="H66" t="s">
        <v>64</v>
      </c>
    </row>
    <row r="67" spans="1:15" x14ac:dyDescent="0.2">
      <c r="A67" s="18" t="s">
        <v>85</v>
      </c>
      <c r="B67" s="1">
        <v>40821</v>
      </c>
      <c r="C67">
        <v>56</v>
      </c>
      <c r="D67">
        <v>40</v>
      </c>
      <c r="E67">
        <v>1288</v>
      </c>
      <c r="F67">
        <f t="shared" si="0"/>
        <v>16</v>
      </c>
      <c r="G67" s="24">
        <f t="shared" si="1"/>
        <v>58.333333333333336</v>
      </c>
      <c r="H67" t="s">
        <v>169</v>
      </c>
    </row>
    <row r="68" spans="1:15" x14ac:dyDescent="0.2">
      <c r="A68" s="18" t="s">
        <v>85</v>
      </c>
      <c r="B68" s="1">
        <v>41455</v>
      </c>
      <c r="C68">
        <v>45.8</v>
      </c>
      <c r="D68">
        <v>53.4</v>
      </c>
      <c r="E68">
        <v>2000</v>
      </c>
      <c r="F68">
        <f t="shared" si="0"/>
        <v>-7.6000000000000014</v>
      </c>
      <c r="G68" s="24">
        <f t="shared" si="1"/>
        <v>46.16935483870968</v>
      </c>
      <c r="H68" t="s">
        <v>260</v>
      </c>
    </row>
    <row r="69" spans="1:15" x14ac:dyDescent="0.2">
      <c r="A69" s="18" t="s">
        <v>85</v>
      </c>
      <c r="B69" s="1">
        <v>41812</v>
      </c>
      <c r="C69">
        <v>41.4</v>
      </c>
      <c r="D69">
        <v>58.4</v>
      </c>
      <c r="E69">
        <v>2000</v>
      </c>
      <c r="F69">
        <f t="shared" si="0"/>
        <v>-17</v>
      </c>
      <c r="G69" s="24">
        <f t="shared" si="1"/>
        <v>41.482965931863724</v>
      </c>
      <c r="H69" t="s">
        <v>240</v>
      </c>
    </row>
    <row r="70" spans="1:15" x14ac:dyDescent="0.2">
      <c r="A70" s="18" t="s">
        <v>85</v>
      </c>
      <c r="B70" s="1">
        <v>42267</v>
      </c>
      <c r="C70">
        <v>33</v>
      </c>
      <c r="D70">
        <v>66</v>
      </c>
      <c r="E70">
        <v>2000</v>
      </c>
      <c r="F70">
        <f t="shared" si="0"/>
        <v>-33</v>
      </c>
      <c r="G70" s="24">
        <f t="shared" si="1"/>
        <v>33.333333333333329</v>
      </c>
      <c r="H70" t="s">
        <v>232</v>
      </c>
    </row>
  </sheetData>
  <phoneticPr fontId="1" type="noConversion"/>
  <pageMargins left="0.75" right="0.7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0"/>
  <sheetViews>
    <sheetView workbookViewId="0">
      <selection activeCell="J3" sqref="J3"/>
    </sheetView>
  </sheetViews>
  <sheetFormatPr defaultColWidth="8.7109375" defaultRowHeight="12.75" x14ac:dyDescent="0.2"/>
  <cols>
    <col min="2" max="2" width="10.42578125" style="1" customWidth="1"/>
  </cols>
  <sheetData>
    <row r="1" spans="1:16" x14ac:dyDescent="0.2">
      <c r="A1" s="10" t="s">
        <v>200</v>
      </c>
      <c r="B1" s="11" t="s">
        <v>201</v>
      </c>
      <c r="C1" s="10" t="s">
        <v>202</v>
      </c>
      <c r="D1" t="s">
        <v>143</v>
      </c>
      <c r="E1" s="10" t="s">
        <v>203</v>
      </c>
      <c r="F1" s="10" t="s">
        <v>118</v>
      </c>
      <c r="G1" s="10" t="s">
        <v>204</v>
      </c>
      <c r="H1" s="10" t="s">
        <v>205</v>
      </c>
      <c r="K1" s="16" t="s">
        <v>180</v>
      </c>
      <c r="L1" s="16" t="s">
        <v>159</v>
      </c>
      <c r="M1" s="16" t="s">
        <v>181</v>
      </c>
    </row>
    <row r="2" spans="1:16" x14ac:dyDescent="0.2">
      <c r="A2" s="10" t="s">
        <v>193</v>
      </c>
      <c r="B2" s="1">
        <v>31824</v>
      </c>
      <c r="C2" s="24">
        <v>15.56666667</v>
      </c>
      <c r="D2" s="24">
        <v>32.200000000000003</v>
      </c>
      <c r="E2" s="24">
        <v>46.366666670000001</v>
      </c>
      <c r="F2">
        <v>3000</v>
      </c>
      <c r="G2" s="24">
        <f>C2-E2</f>
        <v>-30.8</v>
      </c>
      <c r="H2" s="24">
        <f>(C2/(C2+E2))*100</f>
        <v>25.13455328577669</v>
      </c>
      <c r="I2" t="s">
        <v>178</v>
      </c>
      <c r="J2" t="s">
        <v>179</v>
      </c>
      <c r="L2" t="s">
        <v>162</v>
      </c>
      <c r="M2" t="s">
        <v>174</v>
      </c>
      <c r="N2" t="s">
        <v>176</v>
      </c>
      <c r="P2" t="s">
        <v>177</v>
      </c>
    </row>
    <row r="3" spans="1:16" x14ac:dyDescent="0.2">
      <c r="A3" s="10" t="s">
        <v>193</v>
      </c>
      <c r="B3" s="1">
        <v>32066</v>
      </c>
      <c r="C3" s="24">
        <v>15.70523508</v>
      </c>
      <c r="D3" s="24">
        <v>26.9</v>
      </c>
      <c r="E3" s="24">
        <v>41.013671219999999</v>
      </c>
      <c r="F3">
        <v>2999</v>
      </c>
      <c r="G3" s="24">
        <f t="shared" ref="G3:G40" si="0">C3-E3</f>
        <v>-25.308436139999998</v>
      </c>
      <c r="H3" s="24">
        <f t="shared" ref="H3:H40" si="1">(C3/(C3+E3))*100</f>
        <v>27.689594360178976</v>
      </c>
      <c r="I3" t="s">
        <v>178</v>
      </c>
      <c r="J3" t="s">
        <v>179</v>
      </c>
      <c r="L3" t="s">
        <v>162</v>
      </c>
      <c r="M3" t="s">
        <v>174</v>
      </c>
      <c r="N3" t="s">
        <v>176</v>
      </c>
      <c r="P3" t="s">
        <v>177</v>
      </c>
    </row>
    <row r="4" spans="1:16" x14ac:dyDescent="0.2">
      <c r="A4" s="10" t="s">
        <v>193</v>
      </c>
      <c r="B4" s="1">
        <v>32127</v>
      </c>
      <c r="C4" s="24">
        <v>16.93333333</v>
      </c>
      <c r="D4" s="24">
        <v>30.2</v>
      </c>
      <c r="E4" s="24">
        <v>40.533333329999998</v>
      </c>
      <c r="F4">
        <v>3000</v>
      </c>
      <c r="G4" s="24">
        <f t="shared" si="0"/>
        <v>-23.599999999999998</v>
      </c>
      <c r="H4" s="24">
        <f t="shared" si="1"/>
        <v>29.466357306202596</v>
      </c>
      <c r="I4" t="s">
        <v>182</v>
      </c>
      <c r="J4" t="s">
        <v>179</v>
      </c>
      <c r="L4" t="s">
        <v>162</v>
      </c>
      <c r="M4" t="s">
        <v>174</v>
      </c>
      <c r="N4" t="s">
        <v>176</v>
      </c>
      <c r="P4" t="s">
        <v>177</v>
      </c>
    </row>
    <row r="5" spans="1:16" x14ac:dyDescent="0.2">
      <c r="A5" s="10" t="s">
        <v>193</v>
      </c>
      <c r="B5" s="1">
        <v>32218</v>
      </c>
      <c r="C5" s="24">
        <v>27.579056510000001</v>
      </c>
      <c r="D5" s="24">
        <v>37.4</v>
      </c>
      <c r="E5" s="24">
        <v>45.775012959999998</v>
      </c>
      <c r="F5">
        <v>1929</v>
      </c>
      <c r="G5" s="24">
        <f t="shared" si="0"/>
        <v>-18.195956449999997</v>
      </c>
      <c r="H5" s="24">
        <f t="shared" si="1"/>
        <v>37.597173148354301</v>
      </c>
      <c r="I5" t="s">
        <v>183</v>
      </c>
      <c r="J5" t="s">
        <v>179</v>
      </c>
      <c r="L5" t="s">
        <v>162</v>
      </c>
      <c r="M5" t="s">
        <v>174</v>
      </c>
      <c r="N5" t="s">
        <v>176</v>
      </c>
      <c r="P5" t="s">
        <v>177</v>
      </c>
    </row>
    <row r="6" spans="1:16" x14ac:dyDescent="0.2">
      <c r="A6" s="10" t="s">
        <v>193</v>
      </c>
      <c r="B6" s="1">
        <v>32310</v>
      </c>
      <c r="C6" s="24">
        <v>41.803278689999999</v>
      </c>
      <c r="D6" s="24">
        <v>33.6</v>
      </c>
      <c r="E6" s="24">
        <v>46.721311479999997</v>
      </c>
      <c r="F6">
        <v>340</v>
      </c>
      <c r="G6" s="24">
        <f t="shared" si="0"/>
        <v>-4.918032789999998</v>
      </c>
      <c r="H6" s="24">
        <f t="shared" si="1"/>
        <v>47.222222220653293</v>
      </c>
      <c r="I6" t="s">
        <v>178</v>
      </c>
      <c r="J6" t="s">
        <v>179</v>
      </c>
      <c r="L6" t="s">
        <v>162</v>
      </c>
      <c r="M6" t="s">
        <v>174</v>
      </c>
      <c r="N6" t="s">
        <v>176</v>
      </c>
      <c r="P6" t="s">
        <v>184</v>
      </c>
    </row>
    <row r="7" spans="1:16" x14ac:dyDescent="0.2">
      <c r="A7" s="10" t="s">
        <v>193</v>
      </c>
      <c r="B7" s="1">
        <v>32371</v>
      </c>
      <c r="C7" s="24">
        <v>23.05</v>
      </c>
      <c r="D7" s="24">
        <v>36.1</v>
      </c>
      <c r="E7" s="24">
        <v>45.8</v>
      </c>
      <c r="F7">
        <v>2000</v>
      </c>
      <c r="G7" s="24">
        <f t="shared" si="0"/>
        <v>-22.749999999999996</v>
      </c>
      <c r="H7" s="24">
        <f t="shared" si="1"/>
        <v>33.478576615831521</v>
      </c>
      <c r="I7" t="s">
        <v>178</v>
      </c>
      <c r="J7" t="s">
        <v>179</v>
      </c>
      <c r="L7" t="s">
        <v>162</v>
      </c>
      <c r="M7" t="s">
        <v>174</v>
      </c>
      <c r="N7" t="s">
        <v>176</v>
      </c>
      <c r="P7" t="s">
        <v>177</v>
      </c>
    </row>
    <row r="8" spans="1:16" x14ac:dyDescent="0.2">
      <c r="A8" s="10" t="s">
        <v>193</v>
      </c>
      <c r="B8" s="1">
        <v>32463</v>
      </c>
      <c r="C8" s="24">
        <v>21.697639379999998</v>
      </c>
      <c r="D8" s="24">
        <v>34.1</v>
      </c>
      <c r="E8" s="24">
        <v>45.203415370000002</v>
      </c>
      <c r="F8">
        <v>1991</v>
      </c>
      <c r="G8" s="24">
        <f t="shared" si="0"/>
        <v>-23.505775990000004</v>
      </c>
      <c r="H8" s="24">
        <f t="shared" si="1"/>
        <v>32.432432434856338</v>
      </c>
      <c r="I8" t="s">
        <v>178</v>
      </c>
      <c r="J8" t="s">
        <v>179</v>
      </c>
      <c r="L8" t="s">
        <v>162</v>
      </c>
      <c r="M8" t="s">
        <v>174</v>
      </c>
      <c r="N8" t="s">
        <v>176</v>
      </c>
      <c r="P8" t="s">
        <v>177</v>
      </c>
    </row>
    <row r="9" spans="1:16" x14ac:dyDescent="0.2">
      <c r="A9" s="10" t="s">
        <v>193</v>
      </c>
      <c r="B9" s="1">
        <v>32524</v>
      </c>
      <c r="C9" s="24">
        <v>25.2</v>
      </c>
      <c r="D9" s="24">
        <v>36.4</v>
      </c>
      <c r="E9" s="24">
        <v>46.5</v>
      </c>
      <c r="F9">
        <v>2000</v>
      </c>
      <c r="G9" s="24">
        <f t="shared" si="0"/>
        <v>-21.3</v>
      </c>
      <c r="H9" s="24">
        <f t="shared" si="1"/>
        <v>35.146443514644346</v>
      </c>
      <c r="I9" t="s">
        <v>178</v>
      </c>
      <c r="J9" t="s">
        <v>179</v>
      </c>
      <c r="L9" t="s">
        <v>162</v>
      </c>
      <c r="M9" t="s">
        <v>174</v>
      </c>
      <c r="N9" t="s">
        <v>176</v>
      </c>
      <c r="P9" t="s">
        <v>177</v>
      </c>
    </row>
    <row r="10" spans="1:16" x14ac:dyDescent="0.2">
      <c r="A10" s="10" t="s">
        <v>193</v>
      </c>
      <c r="B10" s="1">
        <v>32614</v>
      </c>
      <c r="C10" s="24">
        <v>23.6</v>
      </c>
      <c r="D10" s="24">
        <v>31.6</v>
      </c>
      <c r="E10" s="24">
        <v>43.95</v>
      </c>
      <c r="F10">
        <v>2000</v>
      </c>
      <c r="G10" s="24">
        <f t="shared" si="0"/>
        <v>-20.350000000000001</v>
      </c>
      <c r="H10" s="24">
        <f t="shared" si="1"/>
        <v>34.937083641746852</v>
      </c>
      <c r="I10" t="s">
        <v>178</v>
      </c>
      <c r="J10" t="s">
        <v>179</v>
      </c>
      <c r="L10" t="s">
        <v>162</v>
      </c>
      <c r="M10" t="s">
        <v>187</v>
      </c>
      <c r="N10" t="s">
        <v>176</v>
      </c>
      <c r="P10" t="s">
        <v>177</v>
      </c>
    </row>
    <row r="11" spans="1:16" x14ac:dyDescent="0.2">
      <c r="A11" s="10" t="s">
        <v>193</v>
      </c>
      <c r="B11" s="1">
        <v>32828</v>
      </c>
      <c r="C11" s="24">
        <v>18.2</v>
      </c>
      <c r="D11" s="24">
        <v>37.200000000000003</v>
      </c>
      <c r="E11" s="24">
        <v>48.8</v>
      </c>
      <c r="F11">
        <v>2000</v>
      </c>
      <c r="G11" s="24">
        <f t="shared" si="0"/>
        <v>-30.599999999999998</v>
      </c>
      <c r="H11" s="24">
        <f t="shared" si="1"/>
        <v>27.164179104477608</v>
      </c>
      <c r="I11" t="s">
        <v>178</v>
      </c>
      <c r="J11" t="s">
        <v>179</v>
      </c>
      <c r="L11" t="s">
        <v>162</v>
      </c>
      <c r="M11" t="s">
        <v>187</v>
      </c>
      <c r="N11" t="s">
        <v>176</v>
      </c>
      <c r="P11" t="s">
        <v>177</v>
      </c>
    </row>
    <row r="12" spans="1:16" x14ac:dyDescent="0.2">
      <c r="A12" s="10" t="s">
        <v>193</v>
      </c>
      <c r="B12" s="1">
        <v>33009</v>
      </c>
      <c r="C12" s="24">
        <v>19.55</v>
      </c>
      <c r="D12" s="24">
        <v>32.4</v>
      </c>
      <c r="E12" s="24">
        <v>45.4</v>
      </c>
      <c r="F12">
        <v>2000</v>
      </c>
      <c r="G12" s="24">
        <f t="shared" si="0"/>
        <v>-25.849999999999998</v>
      </c>
      <c r="H12" s="24">
        <f t="shared" si="1"/>
        <v>30.100076982294073</v>
      </c>
      <c r="I12" t="s">
        <v>178</v>
      </c>
      <c r="J12" t="s">
        <v>179</v>
      </c>
      <c r="L12" t="s">
        <v>162</v>
      </c>
      <c r="M12" t="s">
        <v>187</v>
      </c>
      <c r="N12" t="s">
        <v>176</v>
      </c>
      <c r="P12" t="s">
        <v>177</v>
      </c>
    </row>
    <row r="13" spans="1:16" x14ac:dyDescent="0.2">
      <c r="A13" s="10" t="s">
        <v>193</v>
      </c>
      <c r="B13" s="1">
        <v>33101</v>
      </c>
      <c r="C13" s="24">
        <v>20.399999999999999</v>
      </c>
      <c r="D13" s="24">
        <v>33</v>
      </c>
      <c r="E13" s="24">
        <v>49.2</v>
      </c>
      <c r="F13">
        <v>2000</v>
      </c>
      <c r="G13" s="24">
        <f t="shared" si="0"/>
        <v>-28.800000000000004</v>
      </c>
      <c r="H13" s="24">
        <f t="shared" si="1"/>
        <v>29.31034482758621</v>
      </c>
      <c r="I13" t="s">
        <v>178</v>
      </c>
      <c r="J13" t="s">
        <v>179</v>
      </c>
      <c r="L13" t="s">
        <v>162</v>
      </c>
      <c r="M13" t="s">
        <v>187</v>
      </c>
      <c r="N13" t="s">
        <v>176</v>
      </c>
      <c r="P13" t="s">
        <v>177</v>
      </c>
    </row>
    <row r="14" spans="1:16" x14ac:dyDescent="0.2">
      <c r="A14" s="10" t="s">
        <v>193</v>
      </c>
      <c r="B14" s="1">
        <v>33162</v>
      </c>
      <c r="C14" s="24">
        <v>19.899999999999999</v>
      </c>
      <c r="D14" s="24">
        <v>33.4</v>
      </c>
      <c r="E14" s="24">
        <v>46.85</v>
      </c>
      <c r="F14">
        <v>2000</v>
      </c>
      <c r="G14" s="24">
        <f t="shared" si="0"/>
        <v>-26.950000000000003</v>
      </c>
      <c r="H14" s="24">
        <f t="shared" si="1"/>
        <v>29.812734082397004</v>
      </c>
      <c r="I14" t="s">
        <v>178</v>
      </c>
      <c r="J14" t="s">
        <v>179</v>
      </c>
      <c r="L14" t="s">
        <v>162</v>
      </c>
      <c r="M14" t="s">
        <v>187</v>
      </c>
      <c r="N14" t="s">
        <v>176</v>
      </c>
      <c r="P14" t="s">
        <v>177</v>
      </c>
    </row>
    <row r="15" spans="1:16" x14ac:dyDescent="0.2">
      <c r="A15" s="10" t="s">
        <v>193</v>
      </c>
      <c r="B15" s="1">
        <v>33313</v>
      </c>
      <c r="C15" s="24">
        <v>25.8</v>
      </c>
      <c r="D15" s="24">
        <v>31.2</v>
      </c>
      <c r="E15" s="24">
        <v>42.8</v>
      </c>
      <c r="F15">
        <v>2000</v>
      </c>
      <c r="G15" s="24">
        <f t="shared" si="0"/>
        <v>-16.999999999999996</v>
      </c>
      <c r="H15" s="24">
        <f t="shared" si="1"/>
        <v>37.609329446064145</v>
      </c>
      <c r="I15" t="s">
        <v>178</v>
      </c>
      <c r="J15" t="s">
        <v>179</v>
      </c>
      <c r="L15" t="s">
        <v>162</v>
      </c>
      <c r="M15" t="s">
        <v>187</v>
      </c>
      <c r="N15" t="s">
        <v>176</v>
      </c>
      <c r="P15" t="s">
        <v>177</v>
      </c>
    </row>
    <row r="16" spans="1:16" x14ac:dyDescent="0.2">
      <c r="A16" s="10" t="s">
        <v>193</v>
      </c>
      <c r="B16" s="1">
        <v>33466</v>
      </c>
      <c r="C16" s="24">
        <v>20.399999999999999</v>
      </c>
      <c r="D16" s="24">
        <v>33</v>
      </c>
      <c r="E16" s="24">
        <v>49.2</v>
      </c>
      <c r="F16">
        <v>2000</v>
      </c>
      <c r="G16" s="24">
        <f t="shared" si="0"/>
        <v>-28.800000000000004</v>
      </c>
      <c r="H16" s="24">
        <f t="shared" si="1"/>
        <v>29.31034482758621</v>
      </c>
      <c r="I16" t="s">
        <v>178</v>
      </c>
      <c r="J16" t="s">
        <v>179</v>
      </c>
      <c r="L16" t="s">
        <v>162</v>
      </c>
      <c r="M16" t="s">
        <v>187</v>
      </c>
      <c r="N16" t="s">
        <v>176</v>
      </c>
      <c r="P16" t="s">
        <v>177</v>
      </c>
    </row>
    <row r="17" spans="1:16" x14ac:dyDescent="0.2">
      <c r="A17" s="10" t="s">
        <v>193</v>
      </c>
      <c r="B17" s="1">
        <v>33558</v>
      </c>
      <c r="C17" s="24">
        <v>26.55</v>
      </c>
      <c r="D17" s="24">
        <v>33.4</v>
      </c>
      <c r="E17" s="24">
        <v>43.55</v>
      </c>
      <c r="F17">
        <v>2000</v>
      </c>
      <c r="G17" s="24">
        <f t="shared" si="0"/>
        <v>-16.999999999999996</v>
      </c>
      <c r="H17" s="24">
        <f t="shared" si="1"/>
        <v>37.874465049928681</v>
      </c>
      <c r="I17" t="s">
        <v>178</v>
      </c>
      <c r="J17" t="s">
        <v>179</v>
      </c>
      <c r="L17" t="s">
        <v>162</v>
      </c>
      <c r="M17" t="s">
        <v>187</v>
      </c>
      <c r="N17" t="s">
        <v>176</v>
      </c>
      <c r="P17" t="s">
        <v>177</v>
      </c>
    </row>
    <row r="18" spans="1:16" x14ac:dyDescent="0.2">
      <c r="A18" s="10" t="s">
        <v>193</v>
      </c>
      <c r="B18" s="1">
        <v>33650</v>
      </c>
      <c r="C18" s="24">
        <v>32.549999999999997</v>
      </c>
      <c r="D18" s="24">
        <v>35.5</v>
      </c>
      <c r="E18" s="24">
        <v>43.95</v>
      </c>
      <c r="F18">
        <v>2000</v>
      </c>
      <c r="G18" s="24">
        <f t="shared" si="0"/>
        <v>-11.400000000000006</v>
      </c>
      <c r="H18" s="24">
        <f t="shared" si="1"/>
        <v>42.549019607843135</v>
      </c>
      <c r="I18" t="s">
        <v>178</v>
      </c>
      <c r="J18" t="s">
        <v>179</v>
      </c>
      <c r="L18" t="s">
        <v>162</v>
      </c>
      <c r="M18" t="s">
        <v>187</v>
      </c>
      <c r="N18" t="s">
        <v>176</v>
      </c>
      <c r="P18" t="s">
        <v>177</v>
      </c>
    </row>
    <row r="19" spans="1:16" x14ac:dyDescent="0.2">
      <c r="A19" s="10" t="s">
        <v>193</v>
      </c>
      <c r="B19" s="1">
        <v>33740</v>
      </c>
      <c r="C19" s="24">
        <v>30.8</v>
      </c>
      <c r="D19" s="24">
        <v>36.1</v>
      </c>
      <c r="E19" s="24">
        <v>45.3</v>
      </c>
      <c r="F19">
        <v>2000</v>
      </c>
      <c r="G19" s="24">
        <f t="shared" si="0"/>
        <v>-14.499999999999996</v>
      </c>
      <c r="H19" s="24">
        <f t="shared" si="1"/>
        <v>40.473061760840999</v>
      </c>
      <c r="I19" t="s">
        <v>178</v>
      </c>
      <c r="J19" t="s">
        <v>179</v>
      </c>
      <c r="L19" t="s">
        <v>162</v>
      </c>
      <c r="M19" t="s">
        <v>187</v>
      </c>
      <c r="N19" t="s">
        <v>176</v>
      </c>
      <c r="P19" t="s">
        <v>177</v>
      </c>
    </row>
    <row r="20" spans="1:16" x14ac:dyDescent="0.2">
      <c r="A20" s="10" t="s">
        <v>193</v>
      </c>
      <c r="B20" s="1">
        <v>33801</v>
      </c>
      <c r="C20" s="24">
        <v>30.2</v>
      </c>
      <c r="D20" s="24">
        <v>35.799999999999997</v>
      </c>
      <c r="E20" s="24">
        <v>48.85</v>
      </c>
      <c r="F20">
        <v>2000</v>
      </c>
      <c r="G20" s="24">
        <f t="shared" si="0"/>
        <v>-18.650000000000002</v>
      </c>
      <c r="H20" s="24">
        <f t="shared" si="1"/>
        <v>38.203668564199873</v>
      </c>
      <c r="I20" t="s">
        <v>178</v>
      </c>
      <c r="J20" t="s">
        <v>179</v>
      </c>
      <c r="L20" t="s">
        <v>162</v>
      </c>
      <c r="M20" t="s">
        <v>187</v>
      </c>
      <c r="N20" t="s">
        <v>176</v>
      </c>
      <c r="P20" t="s">
        <v>177</v>
      </c>
    </row>
    <row r="21" spans="1:16" x14ac:dyDescent="0.2">
      <c r="A21" s="10" t="s">
        <v>193</v>
      </c>
      <c r="B21" s="1">
        <v>33893</v>
      </c>
      <c r="C21" s="24">
        <v>36.35</v>
      </c>
      <c r="D21" s="24">
        <v>34.200000000000003</v>
      </c>
      <c r="E21" s="24">
        <v>44.25</v>
      </c>
      <c r="F21">
        <v>2000</v>
      </c>
      <c r="G21" s="24">
        <f t="shared" si="0"/>
        <v>-7.8999999999999986</v>
      </c>
      <c r="H21" s="24">
        <f t="shared" si="1"/>
        <v>45.099255583126556</v>
      </c>
      <c r="I21" t="s">
        <v>178</v>
      </c>
      <c r="J21" t="s">
        <v>179</v>
      </c>
      <c r="L21" t="s">
        <v>162</v>
      </c>
      <c r="M21" t="s">
        <v>187</v>
      </c>
      <c r="N21" t="s">
        <v>176</v>
      </c>
      <c r="P21" t="s">
        <v>177</v>
      </c>
    </row>
    <row r="22" spans="1:16" x14ac:dyDescent="0.2">
      <c r="A22" s="10" t="s">
        <v>193</v>
      </c>
      <c r="B22" s="1">
        <v>34136</v>
      </c>
      <c r="C22" s="24">
        <v>22.1</v>
      </c>
      <c r="D22" s="24">
        <v>29.5</v>
      </c>
      <c r="E22" s="24">
        <v>44.45</v>
      </c>
      <c r="F22">
        <v>2001</v>
      </c>
      <c r="G22" s="24">
        <f t="shared" si="0"/>
        <v>-22.35</v>
      </c>
      <c r="H22" s="24">
        <f t="shared" si="1"/>
        <v>33.208114199849732</v>
      </c>
      <c r="I22" t="s">
        <v>178</v>
      </c>
      <c r="J22" t="s">
        <v>179</v>
      </c>
      <c r="L22" t="s">
        <v>162</v>
      </c>
      <c r="M22" t="s">
        <v>190</v>
      </c>
      <c r="N22" t="s">
        <v>176</v>
      </c>
      <c r="P22" t="s">
        <v>177</v>
      </c>
    </row>
    <row r="23" spans="1:16" x14ac:dyDescent="0.2">
      <c r="A23" s="10" t="s">
        <v>193</v>
      </c>
      <c r="B23" s="1">
        <v>34197</v>
      </c>
      <c r="C23" s="24">
        <v>19.25</v>
      </c>
      <c r="D23" s="24">
        <v>33.200000000000003</v>
      </c>
      <c r="E23" s="24">
        <v>47.7</v>
      </c>
      <c r="F23">
        <v>2000</v>
      </c>
      <c r="G23" s="24">
        <f t="shared" si="0"/>
        <v>-28.450000000000003</v>
      </c>
      <c r="H23" s="24">
        <f t="shared" si="1"/>
        <v>28.752800597460791</v>
      </c>
      <c r="I23" t="s">
        <v>178</v>
      </c>
      <c r="J23" t="s">
        <v>179</v>
      </c>
      <c r="L23" t="s">
        <v>162</v>
      </c>
      <c r="M23" t="s">
        <v>190</v>
      </c>
      <c r="N23" t="s">
        <v>176</v>
      </c>
      <c r="P23" t="s">
        <v>177</v>
      </c>
    </row>
    <row r="24" spans="1:16" x14ac:dyDescent="0.2">
      <c r="A24" s="10" t="s">
        <v>193</v>
      </c>
      <c r="B24" s="1">
        <v>34258</v>
      </c>
      <c r="C24" s="24">
        <v>14.45</v>
      </c>
      <c r="D24" s="24">
        <v>27.9</v>
      </c>
      <c r="E24" s="24">
        <v>44.65</v>
      </c>
      <c r="F24">
        <v>2000</v>
      </c>
      <c r="G24" s="24">
        <f t="shared" si="0"/>
        <v>-30.2</v>
      </c>
      <c r="H24" s="24">
        <f t="shared" si="1"/>
        <v>24.450084602368868</v>
      </c>
      <c r="I24" t="s">
        <v>178</v>
      </c>
      <c r="J24" t="s">
        <v>179</v>
      </c>
      <c r="L24" t="s">
        <v>162</v>
      </c>
      <c r="M24" t="s">
        <v>190</v>
      </c>
      <c r="N24" t="s">
        <v>176</v>
      </c>
      <c r="P24" t="s">
        <v>177</v>
      </c>
    </row>
    <row r="25" spans="1:16" x14ac:dyDescent="0.2">
      <c r="A25" s="10" t="s">
        <v>193</v>
      </c>
      <c r="B25" s="1">
        <v>34381</v>
      </c>
      <c r="C25" s="24">
        <v>25</v>
      </c>
      <c r="D25" s="24">
        <v>29.2</v>
      </c>
      <c r="E25" s="24">
        <v>43.7</v>
      </c>
      <c r="F25">
        <v>2000</v>
      </c>
      <c r="G25" s="24">
        <f t="shared" si="0"/>
        <v>-18.700000000000003</v>
      </c>
      <c r="H25" s="24">
        <f t="shared" si="1"/>
        <v>36.390101892285301</v>
      </c>
      <c r="I25" t="s">
        <v>178</v>
      </c>
      <c r="J25" t="s">
        <v>179</v>
      </c>
      <c r="L25" t="s">
        <v>162</v>
      </c>
      <c r="M25" t="s">
        <v>191</v>
      </c>
      <c r="N25" t="s">
        <v>176</v>
      </c>
      <c r="P25" t="s">
        <v>177</v>
      </c>
    </row>
    <row r="26" spans="1:16" x14ac:dyDescent="0.2">
      <c r="A26" s="10" t="s">
        <v>193</v>
      </c>
      <c r="B26" s="1">
        <v>34501</v>
      </c>
      <c r="C26" s="24">
        <v>17.3</v>
      </c>
      <c r="D26" s="24">
        <v>28.3</v>
      </c>
      <c r="E26" s="24">
        <v>46.2</v>
      </c>
      <c r="F26">
        <v>2000</v>
      </c>
      <c r="G26" s="24">
        <f t="shared" si="0"/>
        <v>-28.900000000000002</v>
      </c>
      <c r="H26" s="24">
        <f t="shared" si="1"/>
        <v>27.244094488188981</v>
      </c>
      <c r="I26" t="s">
        <v>178</v>
      </c>
      <c r="J26" t="s">
        <v>179</v>
      </c>
      <c r="L26" t="s">
        <v>162</v>
      </c>
      <c r="M26" t="s">
        <v>191</v>
      </c>
      <c r="N26" t="s">
        <v>176</v>
      </c>
      <c r="P26" t="s">
        <v>177</v>
      </c>
    </row>
    <row r="27" spans="1:16" x14ac:dyDescent="0.2">
      <c r="A27" s="10" t="s">
        <v>193</v>
      </c>
      <c r="B27" s="1">
        <v>34623</v>
      </c>
      <c r="C27" s="24">
        <v>22.15</v>
      </c>
      <c r="D27" s="24">
        <v>27.7</v>
      </c>
      <c r="E27" s="24">
        <v>44.95</v>
      </c>
      <c r="F27">
        <v>2000</v>
      </c>
      <c r="G27" s="24">
        <f t="shared" si="0"/>
        <v>-22.800000000000004</v>
      </c>
      <c r="H27" s="24">
        <f t="shared" si="1"/>
        <v>33.010432190760056</v>
      </c>
      <c r="I27" t="s">
        <v>178</v>
      </c>
      <c r="J27" t="s">
        <v>179</v>
      </c>
      <c r="L27" t="s">
        <v>162</v>
      </c>
      <c r="M27" t="s">
        <v>191</v>
      </c>
      <c r="N27" t="s">
        <v>176</v>
      </c>
      <c r="P27" t="s">
        <v>177</v>
      </c>
    </row>
    <row r="28" spans="1:16" x14ac:dyDescent="0.2">
      <c r="A28" s="10" t="s">
        <v>193</v>
      </c>
      <c r="B28" s="1">
        <v>34749</v>
      </c>
      <c r="C28" s="24">
        <v>24</v>
      </c>
      <c r="D28" s="24">
        <v>30.3</v>
      </c>
      <c r="E28" s="24">
        <v>41.55</v>
      </c>
      <c r="F28">
        <v>2000</v>
      </c>
      <c r="G28" s="24">
        <f t="shared" si="0"/>
        <v>-17.549999999999997</v>
      </c>
      <c r="H28" s="24">
        <f t="shared" si="1"/>
        <v>36.613272311212818</v>
      </c>
      <c r="I28" t="s">
        <v>178</v>
      </c>
      <c r="J28" t="s">
        <v>179</v>
      </c>
      <c r="L28" t="s">
        <v>162</v>
      </c>
      <c r="M28" t="s">
        <v>191</v>
      </c>
      <c r="N28" t="s">
        <v>176</v>
      </c>
      <c r="P28" t="s">
        <v>177</v>
      </c>
    </row>
    <row r="29" spans="1:16" x14ac:dyDescent="0.2">
      <c r="A29" s="10" t="s">
        <v>193</v>
      </c>
      <c r="B29" s="1">
        <v>34878</v>
      </c>
      <c r="C29" s="24">
        <v>20.350000000000001</v>
      </c>
      <c r="D29" s="24">
        <v>30</v>
      </c>
      <c r="E29" s="24">
        <v>49.4</v>
      </c>
      <c r="F29">
        <v>2000</v>
      </c>
      <c r="G29" s="24">
        <f t="shared" si="0"/>
        <v>-29.049999999999997</v>
      </c>
      <c r="H29" s="24">
        <f t="shared" si="1"/>
        <v>29.17562724014337</v>
      </c>
      <c r="I29" t="s">
        <v>178</v>
      </c>
      <c r="J29" t="s">
        <v>179</v>
      </c>
      <c r="L29" t="s">
        <v>162</v>
      </c>
      <c r="M29" t="s">
        <v>191</v>
      </c>
      <c r="N29" t="s">
        <v>176</v>
      </c>
      <c r="P29" t="s">
        <v>177</v>
      </c>
    </row>
    <row r="30" spans="1:16" x14ac:dyDescent="0.2">
      <c r="A30" s="10" t="s">
        <v>193</v>
      </c>
      <c r="B30" s="1">
        <v>35142</v>
      </c>
      <c r="C30" s="24">
        <v>14.15</v>
      </c>
      <c r="D30" s="24">
        <v>24.7</v>
      </c>
      <c r="E30" s="24">
        <v>46.3</v>
      </c>
      <c r="F30">
        <v>2000</v>
      </c>
      <c r="G30" s="24">
        <f t="shared" si="0"/>
        <v>-32.15</v>
      </c>
      <c r="H30" s="24">
        <f t="shared" si="1"/>
        <v>23.407775020678248</v>
      </c>
      <c r="I30" t="s">
        <v>178</v>
      </c>
      <c r="J30" t="s">
        <v>179</v>
      </c>
      <c r="L30" t="s">
        <v>162</v>
      </c>
      <c r="M30" t="s">
        <v>191</v>
      </c>
      <c r="N30" t="s">
        <v>176</v>
      </c>
      <c r="P30" t="s">
        <v>177</v>
      </c>
    </row>
    <row r="31" spans="1:16" x14ac:dyDescent="0.2">
      <c r="A31" s="10" t="s">
        <v>193</v>
      </c>
      <c r="B31" s="1">
        <v>35306</v>
      </c>
      <c r="C31" s="24">
        <v>12.6</v>
      </c>
      <c r="D31" s="24">
        <v>24.8</v>
      </c>
      <c r="E31" s="24">
        <v>45.7</v>
      </c>
      <c r="F31">
        <v>2000</v>
      </c>
      <c r="G31" s="24">
        <f t="shared" si="0"/>
        <v>-33.1</v>
      </c>
      <c r="H31" s="24">
        <f t="shared" si="1"/>
        <v>21.612349914236702</v>
      </c>
      <c r="I31" t="s">
        <v>178</v>
      </c>
      <c r="J31" t="s">
        <v>179</v>
      </c>
      <c r="L31" t="s">
        <v>162</v>
      </c>
      <c r="M31" t="s">
        <v>191</v>
      </c>
      <c r="N31" t="s">
        <v>176</v>
      </c>
      <c r="P31" t="s">
        <v>177</v>
      </c>
    </row>
    <row r="32" spans="1:16" x14ac:dyDescent="0.2">
      <c r="A32" s="10" t="s">
        <v>193</v>
      </c>
      <c r="B32" s="1">
        <v>35473</v>
      </c>
      <c r="C32" s="24">
        <v>17.25</v>
      </c>
      <c r="D32" s="24">
        <v>23.1</v>
      </c>
      <c r="E32" s="24">
        <v>42.9</v>
      </c>
      <c r="F32">
        <v>2000</v>
      </c>
      <c r="G32" s="24">
        <f t="shared" si="0"/>
        <v>-25.65</v>
      </c>
      <c r="H32" s="24">
        <f t="shared" si="1"/>
        <v>28.678304239401498</v>
      </c>
      <c r="I32" t="s">
        <v>178</v>
      </c>
      <c r="J32" t="s">
        <v>179</v>
      </c>
      <c r="L32" t="s">
        <v>162</v>
      </c>
      <c r="M32" t="s">
        <v>191</v>
      </c>
      <c r="N32" t="s">
        <v>176</v>
      </c>
      <c r="P32" t="s">
        <v>177</v>
      </c>
    </row>
    <row r="33" spans="1:16" x14ac:dyDescent="0.2">
      <c r="A33" s="10" t="s">
        <v>193</v>
      </c>
      <c r="B33" s="1">
        <v>35668</v>
      </c>
      <c r="C33" s="24">
        <v>18.068068069999999</v>
      </c>
      <c r="D33" s="24">
        <v>29</v>
      </c>
      <c r="E33" s="24">
        <v>47.197197199999998</v>
      </c>
      <c r="F33">
        <v>2000</v>
      </c>
      <c r="G33" s="24">
        <f t="shared" si="0"/>
        <v>-29.129129129999999</v>
      </c>
      <c r="H33" s="24">
        <f t="shared" si="1"/>
        <v>27.684049080706352</v>
      </c>
      <c r="I33" t="s">
        <v>178</v>
      </c>
      <c r="J33" t="s">
        <v>179</v>
      </c>
      <c r="L33" t="s">
        <v>162</v>
      </c>
      <c r="M33" t="s">
        <v>191</v>
      </c>
      <c r="N33" t="s">
        <v>176</v>
      </c>
      <c r="P33" t="s">
        <v>177</v>
      </c>
    </row>
    <row r="34" spans="1:16" x14ac:dyDescent="0.2">
      <c r="A34" s="10" t="s">
        <v>193</v>
      </c>
      <c r="B34" s="1">
        <v>35731</v>
      </c>
      <c r="C34" s="24">
        <v>15.215215219999999</v>
      </c>
      <c r="D34" s="24">
        <v>27.4</v>
      </c>
      <c r="E34" s="24">
        <v>46.796796800000003</v>
      </c>
      <c r="F34">
        <v>2000</v>
      </c>
      <c r="G34" s="24">
        <f t="shared" si="0"/>
        <v>-31.581581580000005</v>
      </c>
      <c r="H34" s="24">
        <f t="shared" si="1"/>
        <v>24.53591606589513</v>
      </c>
      <c r="I34" t="s">
        <v>178</v>
      </c>
      <c r="J34" t="s">
        <v>179</v>
      </c>
      <c r="L34" t="s">
        <v>162</v>
      </c>
      <c r="M34" t="s">
        <v>191</v>
      </c>
      <c r="N34" t="s">
        <v>176</v>
      </c>
      <c r="P34" t="s">
        <v>177</v>
      </c>
    </row>
    <row r="35" spans="1:16" x14ac:dyDescent="0.2">
      <c r="A35" s="10" t="s">
        <v>193</v>
      </c>
      <c r="B35" s="1">
        <v>35907</v>
      </c>
      <c r="C35" s="24">
        <v>30.35</v>
      </c>
      <c r="D35" s="24">
        <v>37.700000000000003</v>
      </c>
      <c r="E35" s="24">
        <v>50.55</v>
      </c>
      <c r="F35">
        <v>2000</v>
      </c>
      <c r="G35" s="24">
        <f t="shared" si="0"/>
        <v>-20.199999999999996</v>
      </c>
      <c r="H35" s="24">
        <f t="shared" si="1"/>
        <v>37.515451174289247</v>
      </c>
      <c r="I35" t="s">
        <v>178</v>
      </c>
      <c r="J35" t="s">
        <v>179</v>
      </c>
      <c r="L35" t="s">
        <v>162</v>
      </c>
      <c r="M35" t="s">
        <v>191</v>
      </c>
      <c r="N35" t="s">
        <v>176</v>
      </c>
      <c r="P35" t="s">
        <v>177</v>
      </c>
    </row>
    <row r="36" spans="1:16" x14ac:dyDescent="0.2">
      <c r="A36" s="10" t="s">
        <v>193</v>
      </c>
      <c r="B36" s="1">
        <v>36023</v>
      </c>
      <c r="C36" s="24">
        <v>29.279279280000001</v>
      </c>
      <c r="D36" s="24">
        <v>33.1</v>
      </c>
      <c r="E36" s="24">
        <v>50.150150150000002</v>
      </c>
      <c r="F36">
        <v>2000</v>
      </c>
      <c r="G36" s="24">
        <f t="shared" si="0"/>
        <v>-20.870870870000001</v>
      </c>
      <c r="H36" s="24">
        <f t="shared" si="1"/>
        <v>36.862003781360919</v>
      </c>
      <c r="I36" t="s">
        <v>178</v>
      </c>
      <c r="J36" t="s">
        <v>179</v>
      </c>
      <c r="L36" t="s">
        <v>162</v>
      </c>
      <c r="M36" t="s">
        <v>191</v>
      </c>
      <c r="N36" t="s">
        <v>176</v>
      </c>
      <c r="P36" t="s">
        <v>177</v>
      </c>
    </row>
    <row r="37" spans="1:16" x14ac:dyDescent="0.2">
      <c r="A37" s="10" t="s">
        <v>193</v>
      </c>
      <c r="B37" s="1">
        <v>36101</v>
      </c>
      <c r="C37" s="24">
        <v>21.403508769999998</v>
      </c>
      <c r="D37" s="24">
        <v>35</v>
      </c>
      <c r="E37" s="24">
        <v>52.481203010000002</v>
      </c>
      <c r="F37">
        <v>2000</v>
      </c>
      <c r="G37" s="24">
        <f t="shared" si="0"/>
        <v>-31.077694240000003</v>
      </c>
      <c r="H37" s="24">
        <f t="shared" si="1"/>
        <v>28.96879239880009</v>
      </c>
      <c r="I37" t="s">
        <v>178</v>
      </c>
      <c r="J37" t="s">
        <v>179</v>
      </c>
      <c r="L37" t="s">
        <v>162</v>
      </c>
      <c r="M37" t="s">
        <v>191</v>
      </c>
      <c r="N37" t="s">
        <v>176</v>
      </c>
      <c r="P37" t="s">
        <v>177</v>
      </c>
    </row>
    <row r="38" spans="1:16" x14ac:dyDescent="0.2">
      <c r="A38" s="10" t="s">
        <v>193</v>
      </c>
      <c r="B38" s="1">
        <v>36226</v>
      </c>
      <c r="C38" s="24">
        <v>21.66083042</v>
      </c>
      <c r="D38" s="24">
        <v>35.700000000000003</v>
      </c>
      <c r="E38" s="24">
        <v>56.628314160000002</v>
      </c>
      <c r="F38">
        <v>2000</v>
      </c>
      <c r="G38" s="24">
        <f t="shared" si="0"/>
        <v>-34.967483740000006</v>
      </c>
      <c r="H38" s="24">
        <f t="shared" si="1"/>
        <v>27.667731632788268</v>
      </c>
      <c r="I38" t="s">
        <v>178</v>
      </c>
      <c r="J38" t="s">
        <v>179</v>
      </c>
      <c r="L38" t="s">
        <v>162</v>
      </c>
      <c r="M38" t="s">
        <v>192</v>
      </c>
      <c r="N38" t="s">
        <v>176</v>
      </c>
      <c r="P38" t="s">
        <v>177</v>
      </c>
    </row>
    <row r="39" spans="1:16" x14ac:dyDescent="0.2">
      <c r="A39" s="10" t="s">
        <v>193</v>
      </c>
      <c r="B39" s="1">
        <v>36410</v>
      </c>
      <c r="C39" s="24">
        <v>11.58475426</v>
      </c>
      <c r="D39" s="24">
        <v>34.6</v>
      </c>
      <c r="E39" s="24">
        <v>58.876629889999997</v>
      </c>
      <c r="F39">
        <v>2000</v>
      </c>
      <c r="G39" s="24">
        <f t="shared" si="0"/>
        <v>-47.291875629999993</v>
      </c>
      <c r="H39" s="24">
        <f t="shared" si="1"/>
        <v>16.44128113540614</v>
      </c>
      <c r="I39" t="s">
        <v>178</v>
      </c>
      <c r="J39" t="s">
        <v>179</v>
      </c>
      <c r="L39" t="s">
        <v>162</v>
      </c>
      <c r="M39" t="s">
        <v>192</v>
      </c>
      <c r="N39" t="s">
        <v>176</v>
      </c>
      <c r="P39" t="s">
        <v>177</v>
      </c>
    </row>
    <row r="40" spans="1:16" x14ac:dyDescent="0.2">
      <c r="A40" s="10" t="s">
        <v>193</v>
      </c>
      <c r="B40" s="1">
        <v>36487</v>
      </c>
      <c r="C40" s="24">
        <v>12.925851700000001</v>
      </c>
      <c r="D40" s="24">
        <v>32.700000000000003</v>
      </c>
      <c r="E40" s="24">
        <v>57.36472946</v>
      </c>
      <c r="F40">
        <v>2000</v>
      </c>
      <c r="G40" s="24">
        <f t="shared" si="0"/>
        <v>-44.438877759999997</v>
      </c>
      <c r="H40" s="24">
        <f t="shared" si="1"/>
        <v>18.389166068462764</v>
      </c>
      <c r="I40" t="s">
        <v>178</v>
      </c>
      <c r="J40" t="s">
        <v>179</v>
      </c>
      <c r="L40" t="s">
        <v>162</v>
      </c>
      <c r="M40" t="s">
        <v>192</v>
      </c>
      <c r="N40" t="s">
        <v>176</v>
      </c>
      <c r="P40" t="s">
        <v>177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5"/>
  <sheetViews>
    <sheetView workbookViewId="0">
      <selection activeCell="E1" sqref="E1"/>
    </sheetView>
  </sheetViews>
  <sheetFormatPr defaultRowHeight="12.75" x14ac:dyDescent="0.2"/>
  <cols>
    <col min="2" max="2" width="9.140625" bestFit="1" customWidth="1"/>
  </cols>
  <sheetData>
    <row r="1" spans="1:8" x14ac:dyDescent="0.2">
      <c r="A1" s="10" t="s">
        <v>200</v>
      </c>
      <c r="B1" s="11" t="s">
        <v>201</v>
      </c>
      <c r="C1" s="10" t="s">
        <v>202</v>
      </c>
      <c r="D1" s="10" t="s">
        <v>143</v>
      </c>
      <c r="E1" s="10" t="s">
        <v>203</v>
      </c>
      <c r="F1" s="10" t="s">
        <v>118</v>
      </c>
      <c r="G1" s="10" t="s">
        <v>204</v>
      </c>
      <c r="H1" s="10" t="s">
        <v>205</v>
      </c>
    </row>
    <row r="2" spans="1:8" x14ac:dyDescent="0.2">
      <c r="A2" s="10" t="s">
        <v>279</v>
      </c>
      <c r="B2" s="1">
        <v>39473</v>
      </c>
      <c r="C2">
        <v>37.880000000000003</v>
      </c>
      <c r="D2">
        <v>36.22</v>
      </c>
      <c r="E2">
        <v>25.9</v>
      </c>
      <c r="F2">
        <v>1444</v>
      </c>
      <c r="G2">
        <f>C2-E2</f>
        <v>11.980000000000004</v>
      </c>
      <c r="H2" s="24">
        <f>(C2/(C2+E2))*100</f>
        <v>59.391658827218563</v>
      </c>
    </row>
    <row r="3" spans="1:8" x14ac:dyDescent="0.2">
      <c r="A3" s="10" t="s">
        <v>279</v>
      </c>
      <c r="B3" s="1">
        <v>40223</v>
      </c>
      <c r="C3">
        <v>28.12</v>
      </c>
      <c r="D3">
        <v>43.02</v>
      </c>
      <c r="E3">
        <v>28.86</v>
      </c>
      <c r="F3">
        <v>1476</v>
      </c>
      <c r="G3">
        <f>C3-E3</f>
        <v>-0.73999999999999844</v>
      </c>
      <c r="H3" s="24">
        <f>(C3/(C3+E3))*100</f>
        <v>49.350649350649348</v>
      </c>
    </row>
    <row r="4" spans="1:8" x14ac:dyDescent="0.2">
      <c r="A4" s="10" t="s">
        <v>279</v>
      </c>
      <c r="B4" s="1">
        <v>40997</v>
      </c>
      <c r="C4">
        <v>48.61</v>
      </c>
      <c r="D4">
        <v>32.770000000000003</v>
      </c>
      <c r="E4">
        <v>18.62</v>
      </c>
      <c r="F4">
        <v>1477</v>
      </c>
      <c r="G4">
        <f>C4-E4</f>
        <v>29.99</v>
      </c>
      <c r="H4" s="24">
        <f>(C4/(C4+E4))*100</f>
        <v>72.304030938569085</v>
      </c>
    </row>
    <row r="5" spans="1:8" x14ac:dyDescent="0.2">
      <c r="A5" s="10" t="s">
        <v>279</v>
      </c>
      <c r="B5" s="1">
        <v>41755</v>
      </c>
      <c r="C5">
        <v>18.8</v>
      </c>
      <c r="D5">
        <v>27.61</v>
      </c>
      <c r="E5">
        <v>53.59</v>
      </c>
      <c r="F5">
        <v>1463</v>
      </c>
      <c r="G5">
        <f>C5-E5</f>
        <v>-34.790000000000006</v>
      </c>
      <c r="H5" s="24">
        <f>(C5/(C5+E5))*100</f>
        <v>25.970437905788092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3"/>
  <sheetViews>
    <sheetView topLeftCell="A2" workbookViewId="0">
      <selection activeCell="G13" sqref="G2:G13"/>
    </sheetView>
  </sheetViews>
  <sheetFormatPr defaultColWidth="8.7109375" defaultRowHeight="12.75" x14ac:dyDescent="0.2"/>
  <cols>
    <col min="2" max="2" width="13.7109375" customWidth="1"/>
  </cols>
  <sheetData>
    <row r="1" spans="1:10" x14ac:dyDescent="0.2">
      <c r="A1" s="10" t="s">
        <v>200</v>
      </c>
      <c r="B1" t="s">
        <v>201</v>
      </c>
      <c r="C1" t="s">
        <v>202</v>
      </c>
      <c r="D1" t="s">
        <v>203</v>
      </c>
      <c r="E1" s="10" t="s">
        <v>12</v>
      </c>
      <c r="F1" s="10" t="s">
        <v>239</v>
      </c>
      <c r="G1" s="10" t="s">
        <v>283</v>
      </c>
      <c r="H1" t="s">
        <v>118</v>
      </c>
      <c r="I1" t="s">
        <v>204</v>
      </c>
      <c r="J1" s="33" t="s">
        <v>205</v>
      </c>
    </row>
    <row r="2" spans="1:10" x14ac:dyDescent="0.2">
      <c r="A2" t="s">
        <v>71</v>
      </c>
      <c r="B2" s="1">
        <v>37408</v>
      </c>
      <c r="C2" s="31">
        <v>51</v>
      </c>
      <c r="D2" s="31">
        <v>39</v>
      </c>
      <c r="E2" s="31">
        <v>10</v>
      </c>
      <c r="F2" s="31">
        <v>0</v>
      </c>
      <c r="G2" s="31">
        <f>SUM(E2:F2)</f>
        <v>10</v>
      </c>
      <c r="H2" s="32">
        <v>1200</v>
      </c>
      <c r="I2">
        <f>C2-D2</f>
        <v>12</v>
      </c>
      <c r="J2" s="33">
        <f>(C2/(C2+D2))*100</f>
        <v>56.666666666666664</v>
      </c>
    </row>
    <row r="3" spans="1:10" x14ac:dyDescent="0.2">
      <c r="A3" t="s">
        <v>71</v>
      </c>
      <c r="B3" s="1">
        <v>37861</v>
      </c>
      <c r="C3" s="31">
        <v>35</v>
      </c>
      <c r="D3" s="31">
        <v>60</v>
      </c>
      <c r="E3" s="31">
        <v>4</v>
      </c>
      <c r="F3" s="31">
        <v>0</v>
      </c>
      <c r="G3" s="31">
        <f t="shared" ref="G3:G13" si="0">SUM(E3:F3)</f>
        <v>4</v>
      </c>
      <c r="H3" s="32">
        <v>1200</v>
      </c>
      <c r="I3">
        <f t="shared" ref="I3:I13" si="1">C3-D3</f>
        <v>-25</v>
      </c>
      <c r="J3" s="33">
        <f t="shared" ref="J3:J13" si="2">(C3/(C3+D3))*100</f>
        <v>36.84210526315789</v>
      </c>
    </row>
    <row r="4" spans="1:10" x14ac:dyDescent="0.2">
      <c r="A4" t="s">
        <v>71</v>
      </c>
      <c r="B4" s="1">
        <v>38167</v>
      </c>
      <c r="C4" s="31">
        <v>43</v>
      </c>
      <c r="D4" s="31">
        <v>44</v>
      </c>
      <c r="E4" s="31">
        <v>13</v>
      </c>
      <c r="F4" s="31">
        <v>0</v>
      </c>
      <c r="G4" s="31">
        <f t="shared" si="0"/>
        <v>13</v>
      </c>
      <c r="H4" s="32">
        <v>1200</v>
      </c>
      <c r="I4">
        <f t="shared" si="1"/>
        <v>-1</v>
      </c>
      <c r="J4" s="33">
        <f t="shared" si="2"/>
        <v>49.425287356321839</v>
      </c>
    </row>
    <row r="5" spans="1:10" x14ac:dyDescent="0.2">
      <c r="A5" t="s">
        <v>71</v>
      </c>
      <c r="B5" s="1">
        <v>38604</v>
      </c>
      <c r="C5" s="31">
        <v>65</v>
      </c>
      <c r="D5" s="31">
        <v>27</v>
      </c>
      <c r="E5" s="31">
        <v>9</v>
      </c>
      <c r="F5" s="31">
        <v>0</v>
      </c>
      <c r="G5" s="31">
        <f t="shared" si="0"/>
        <v>9</v>
      </c>
      <c r="H5" s="32">
        <v>1200</v>
      </c>
      <c r="I5">
        <f t="shared" si="1"/>
        <v>38</v>
      </c>
      <c r="J5" s="33">
        <f t="shared" si="2"/>
        <v>70.652173913043484</v>
      </c>
    </row>
    <row r="6" spans="1:10" x14ac:dyDescent="0.2">
      <c r="A6" t="s">
        <v>71</v>
      </c>
      <c r="B6" s="1">
        <v>39036</v>
      </c>
      <c r="C6" s="31">
        <v>65</v>
      </c>
      <c r="D6" s="31">
        <v>25</v>
      </c>
      <c r="E6" s="31">
        <v>10</v>
      </c>
      <c r="F6" s="31">
        <v>0</v>
      </c>
      <c r="G6" s="31">
        <f t="shared" si="0"/>
        <v>10</v>
      </c>
      <c r="H6" s="32">
        <v>1200</v>
      </c>
      <c r="I6">
        <f t="shared" si="1"/>
        <v>40</v>
      </c>
      <c r="J6" s="33">
        <f t="shared" si="2"/>
        <v>72.222222222222214</v>
      </c>
    </row>
    <row r="7" spans="1:10" x14ac:dyDescent="0.2">
      <c r="A7" t="s">
        <v>71</v>
      </c>
      <c r="B7" s="1">
        <v>39364</v>
      </c>
      <c r="C7" s="31">
        <v>61</v>
      </c>
      <c r="D7" s="31">
        <v>33</v>
      </c>
      <c r="E7" s="31">
        <v>6</v>
      </c>
      <c r="F7" s="31">
        <v>0</v>
      </c>
      <c r="G7" s="31">
        <f t="shared" si="0"/>
        <v>6</v>
      </c>
      <c r="H7" s="32">
        <v>1200</v>
      </c>
      <c r="I7">
        <f t="shared" si="1"/>
        <v>28</v>
      </c>
      <c r="J7" s="33">
        <f t="shared" si="2"/>
        <v>64.893617021276597</v>
      </c>
    </row>
    <row r="8" spans="1:10" x14ac:dyDescent="0.2">
      <c r="A8" s="10" t="s">
        <v>71</v>
      </c>
      <c r="B8" s="1">
        <v>39732</v>
      </c>
      <c r="C8" s="31">
        <v>48</v>
      </c>
      <c r="D8" s="31">
        <v>45</v>
      </c>
      <c r="E8" s="31">
        <v>6</v>
      </c>
      <c r="F8" s="31">
        <v>0</v>
      </c>
      <c r="G8" s="31">
        <f t="shared" si="0"/>
        <v>6</v>
      </c>
      <c r="H8" s="32">
        <v>1200</v>
      </c>
      <c r="I8">
        <f t="shared" si="1"/>
        <v>3</v>
      </c>
      <c r="J8" s="33">
        <f t="shared" si="2"/>
        <v>51.612903225806448</v>
      </c>
    </row>
    <row r="9" spans="1:10" x14ac:dyDescent="0.2">
      <c r="A9" s="10" t="s">
        <v>71</v>
      </c>
      <c r="B9" s="11">
        <v>40112</v>
      </c>
      <c r="C9" s="31">
        <v>45</v>
      </c>
      <c r="D9" s="31">
        <v>44</v>
      </c>
      <c r="E9" s="31">
        <v>11</v>
      </c>
      <c r="F9" s="31">
        <v>0</v>
      </c>
      <c r="G9" s="31">
        <f t="shared" si="0"/>
        <v>11</v>
      </c>
      <c r="H9" s="32">
        <v>1200</v>
      </c>
      <c r="I9">
        <f t="shared" si="1"/>
        <v>1</v>
      </c>
      <c r="J9" s="33">
        <f t="shared" si="2"/>
        <v>50.561797752808992</v>
      </c>
    </row>
    <row r="10" spans="1:10" x14ac:dyDescent="0.2">
      <c r="A10" s="10" t="s">
        <v>71</v>
      </c>
      <c r="B10" s="1">
        <v>40457</v>
      </c>
      <c r="C10" s="31">
        <v>47</v>
      </c>
      <c r="D10" s="31">
        <v>44</v>
      </c>
      <c r="E10" s="31">
        <v>9</v>
      </c>
      <c r="F10" s="31">
        <v>0</v>
      </c>
      <c r="G10" s="31">
        <f t="shared" si="0"/>
        <v>9</v>
      </c>
      <c r="H10" s="32">
        <v>1200</v>
      </c>
      <c r="I10">
        <f t="shared" si="1"/>
        <v>3</v>
      </c>
      <c r="J10" s="33">
        <f t="shared" si="2"/>
        <v>51.648351648351657</v>
      </c>
    </row>
    <row r="11" spans="1:10" x14ac:dyDescent="0.2">
      <c r="A11" s="10" t="s">
        <v>3</v>
      </c>
      <c r="B11" s="1">
        <v>40771</v>
      </c>
      <c r="C11" s="31">
        <v>49</v>
      </c>
      <c r="D11" s="31">
        <v>39</v>
      </c>
      <c r="E11" s="31">
        <v>0</v>
      </c>
      <c r="F11" s="31">
        <v>12</v>
      </c>
      <c r="G11" s="31">
        <f t="shared" si="0"/>
        <v>12</v>
      </c>
      <c r="H11" s="32">
        <v>1200</v>
      </c>
      <c r="I11">
        <f t="shared" si="1"/>
        <v>10</v>
      </c>
      <c r="J11" s="33">
        <f t="shared" si="2"/>
        <v>55.68181818181818</v>
      </c>
    </row>
    <row r="12" spans="1:10" x14ac:dyDescent="0.2">
      <c r="A12" s="10" t="s">
        <v>3</v>
      </c>
      <c r="B12" s="1">
        <v>41455</v>
      </c>
      <c r="C12" s="31">
        <v>47</v>
      </c>
      <c r="D12" s="31">
        <v>46</v>
      </c>
      <c r="E12" s="31">
        <v>7</v>
      </c>
      <c r="F12" s="31">
        <v>0</v>
      </c>
      <c r="G12" s="31">
        <f t="shared" si="0"/>
        <v>7</v>
      </c>
      <c r="H12" s="32">
        <v>1200</v>
      </c>
      <c r="I12">
        <f t="shared" si="1"/>
        <v>1</v>
      </c>
      <c r="J12" s="33">
        <f t="shared" si="2"/>
        <v>50.537634408602152</v>
      </c>
    </row>
    <row r="13" spans="1:10" x14ac:dyDescent="0.2">
      <c r="A13" s="18" t="s">
        <v>71</v>
      </c>
      <c r="B13" s="1">
        <v>42050</v>
      </c>
      <c r="C13" s="31">
        <v>30</v>
      </c>
      <c r="D13" s="31">
        <v>64</v>
      </c>
      <c r="E13" s="31">
        <v>0</v>
      </c>
      <c r="F13" s="31">
        <v>6</v>
      </c>
      <c r="G13" s="31">
        <f t="shared" si="0"/>
        <v>6</v>
      </c>
      <c r="H13" s="32">
        <v>1200</v>
      </c>
      <c r="I13">
        <f t="shared" si="1"/>
        <v>-34</v>
      </c>
      <c r="J13" s="33">
        <f t="shared" si="2"/>
        <v>31.914893617021278</v>
      </c>
    </row>
  </sheetData>
  <phoneticPr fontId="0" type="noConversion"/>
  <pageMargins left="0.75" right="0.75" top="1" bottom="1" header="0.5" footer="0.5"/>
  <pageSetup paperSize="0" orientation="portrait" horizontalDpi="4294967292" verticalDpi="4294967292"/>
  <headerFooter alignWithMargins="0"/>
  <ignoredErrors>
    <ignoredError sqref="G2:G13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27"/>
  <sheetViews>
    <sheetView topLeftCell="A25" workbookViewId="0">
      <selection activeCell="D25" sqref="D25"/>
    </sheetView>
  </sheetViews>
  <sheetFormatPr defaultColWidth="8.7109375" defaultRowHeight="12.75" x14ac:dyDescent="0.2"/>
  <cols>
    <col min="1" max="1" width="9.140625" bestFit="1" customWidth="1"/>
    <col min="2" max="2" width="10.140625" bestFit="1" customWidth="1"/>
    <col min="4" max="4" width="17.28515625" customWidth="1"/>
  </cols>
  <sheetData>
    <row r="1" spans="1:15" x14ac:dyDescent="0.2">
      <c r="A1" s="10" t="s">
        <v>200</v>
      </c>
      <c r="B1" s="10" t="s">
        <v>201</v>
      </c>
      <c r="C1" s="10" t="s">
        <v>202</v>
      </c>
      <c r="D1" s="10" t="s">
        <v>143</v>
      </c>
      <c r="E1" s="10" t="s">
        <v>203</v>
      </c>
      <c r="F1" t="s">
        <v>283</v>
      </c>
      <c r="G1" t="s">
        <v>118</v>
      </c>
      <c r="H1" s="10" t="s">
        <v>204</v>
      </c>
      <c r="I1" s="10" t="s">
        <v>205</v>
      </c>
      <c r="J1" s="10" t="s">
        <v>208</v>
      </c>
      <c r="K1" s="16" t="s">
        <v>140</v>
      </c>
      <c r="L1" s="16" t="s">
        <v>144</v>
      </c>
      <c r="M1" s="16" t="s">
        <v>141</v>
      </c>
      <c r="N1" s="16" t="s">
        <v>253</v>
      </c>
      <c r="O1" s="8" t="s">
        <v>103</v>
      </c>
    </row>
    <row r="2" spans="1:15" x14ac:dyDescent="0.2">
      <c r="A2" s="10" t="s">
        <v>284</v>
      </c>
      <c r="B2" s="1">
        <v>38793</v>
      </c>
      <c r="C2">
        <v>60.2</v>
      </c>
      <c r="D2">
        <v>28.6</v>
      </c>
      <c r="E2">
        <v>10.1</v>
      </c>
      <c r="G2">
        <v>1200</v>
      </c>
      <c r="H2" s="24">
        <f>C2-E2</f>
        <v>50.1</v>
      </c>
      <c r="I2" s="24">
        <f>(C2/(C2+E2))*100</f>
        <v>85.633001422475118</v>
      </c>
      <c r="J2" t="s">
        <v>47</v>
      </c>
    </row>
    <row r="3" spans="1:15" x14ac:dyDescent="0.2">
      <c r="A3" s="10" t="s">
        <v>284</v>
      </c>
      <c r="B3" s="1">
        <v>39399</v>
      </c>
      <c r="C3">
        <v>43.5</v>
      </c>
      <c r="D3">
        <v>39.799999999999997</v>
      </c>
      <c r="E3">
        <v>14.4</v>
      </c>
      <c r="G3">
        <v>600</v>
      </c>
      <c r="H3" s="24">
        <f t="shared" ref="H3:H7" si="0">C3-E3</f>
        <v>29.1</v>
      </c>
      <c r="I3" s="24">
        <f>(C3/(C3+E3))*100</f>
        <v>75.129533678756474</v>
      </c>
    </row>
    <row r="4" spans="1:15" x14ac:dyDescent="0.2">
      <c r="A4" s="10" t="s">
        <v>284</v>
      </c>
      <c r="B4" s="1">
        <v>39540</v>
      </c>
      <c r="C4">
        <v>44.1</v>
      </c>
      <c r="D4">
        <v>33.200000000000003</v>
      </c>
      <c r="E4">
        <v>20.2</v>
      </c>
      <c r="F4">
        <v>2.5</v>
      </c>
      <c r="G4">
        <v>1200</v>
      </c>
      <c r="H4" s="24">
        <f t="shared" si="0"/>
        <v>23.900000000000002</v>
      </c>
      <c r="I4" s="24">
        <f>(C4/(C4+E4))*100</f>
        <v>68.584758942457242</v>
      </c>
    </row>
    <row r="5" spans="1:15" x14ac:dyDescent="0.2">
      <c r="A5" s="10" t="s">
        <v>284</v>
      </c>
      <c r="B5" s="11">
        <v>40085</v>
      </c>
      <c r="C5">
        <v>62.4</v>
      </c>
      <c r="J5" t="s">
        <v>154</v>
      </c>
    </row>
    <row r="6" spans="1:15" x14ac:dyDescent="0.2">
      <c r="A6" s="10" t="s">
        <v>284</v>
      </c>
      <c r="B6" s="1">
        <v>40193</v>
      </c>
      <c r="C6" s="10">
        <v>60.3</v>
      </c>
      <c r="E6" s="10">
        <v>38.700000000000003</v>
      </c>
      <c r="G6">
        <v>1200</v>
      </c>
      <c r="H6" s="24">
        <f>C5-E5</f>
        <v>62.4</v>
      </c>
      <c r="I6" s="24">
        <f>(C6/(C6+E6))*100</f>
        <v>60.909090909090899</v>
      </c>
    </row>
    <row r="7" spans="1:15" x14ac:dyDescent="0.2">
      <c r="A7" s="10" t="s">
        <v>284</v>
      </c>
      <c r="B7" s="1">
        <v>40875</v>
      </c>
      <c r="C7" s="18">
        <v>71.5</v>
      </c>
      <c r="E7">
        <v>25.5</v>
      </c>
      <c r="F7">
        <v>3</v>
      </c>
      <c r="H7" s="24">
        <f t="shared" si="0"/>
        <v>46</v>
      </c>
      <c r="I7" s="24">
        <f>(C7/(C7+E7))*100</f>
        <v>73.711340206185568</v>
      </c>
    </row>
    <row r="8" spans="1:15" x14ac:dyDescent="0.2">
      <c r="A8" s="10" t="s">
        <v>284</v>
      </c>
      <c r="B8" s="1">
        <v>41320</v>
      </c>
      <c r="C8" s="18">
        <v>84</v>
      </c>
      <c r="H8" s="24"/>
      <c r="I8" s="24"/>
      <c r="J8" t="s">
        <v>170</v>
      </c>
    </row>
    <row r="9" spans="1:15" x14ac:dyDescent="0.2">
      <c r="A9" s="12"/>
    </row>
    <row r="11" spans="1:15" x14ac:dyDescent="0.2">
      <c r="A11" s="10" t="s">
        <v>200</v>
      </c>
      <c r="B11" s="10" t="s">
        <v>201</v>
      </c>
      <c r="C11" s="10" t="s">
        <v>202</v>
      </c>
      <c r="D11" s="10" t="s">
        <v>143</v>
      </c>
      <c r="E11" s="10" t="s">
        <v>203</v>
      </c>
      <c r="F11" t="s">
        <v>283</v>
      </c>
      <c r="G11" t="s">
        <v>118</v>
      </c>
      <c r="H11" s="10" t="s">
        <v>204</v>
      </c>
      <c r="I11" s="10" t="s">
        <v>205</v>
      </c>
      <c r="J11" s="10" t="s">
        <v>208</v>
      </c>
    </row>
    <row r="12" spans="1:15" x14ac:dyDescent="0.2">
      <c r="A12" s="10" t="s">
        <v>243</v>
      </c>
      <c r="B12" s="1">
        <v>41336</v>
      </c>
      <c r="C12">
        <v>56.7</v>
      </c>
      <c r="E12">
        <v>34.4</v>
      </c>
      <c r="F12">
        <v>9</v>
      </c>
      <c r="H12" s="24">
        <f t="shared" ref="H12:H19" si="1">C12-E12</f>
        <v>22.300000000000004</v>
      </c>
      <c r="I12" s="24">
        <f t="shared" ref="I12:I19" si="2">(C12/(C12+E12))*100</f>
        <v>62.239297475301868</v>
      </c>
      <c r="J12" t="s">
        <v>244</v>
      </c>
    </row>
    <row r="13" spans="1:15" x14ac:dyDescent="0.2">
      <c r="A13" s="10" t="s">
        <v>243</v>
      </c>
      <c r="B13" s="1">
        <v>41379</v>
      </c>
      <c r="C13">
        <v>47.2</v>
      </c>
      <c r="E13">
        <v>51.6</v>
      </c>
      <c r="H13" s="24">
        <f t="shared" ref="H13" si="3">C13-E13</f>
        <v>-4.3999999999999986</v>
      </c>
      <c r="I13" s="24">
        <f t="shared" ref="I13" si="4">(C13/(C13+E13))*100</f>
        <v>47.773279352226716</v>
      </c>
      <c r="J13" t="s">
        <v>235</v>
      </c>
    </row>
    <row r="14" spans="1:15" x14ac:dyDescent="0.2">
      <c r="A14" s="10" t="s">
        <v>243</v>
      </c>
      <c r="B14" s="1">
        <v>41409</v>
      </c>
      <c r="C14">
        <v>51.3</v>
      </c>
      <c r="E14">
        <v>46.7</v>
      </c>
      <c r="F14">
        <v>2</v>
      </c>
      <c r="H14" s="24">
        <f t="shared" si="1"/>
        <v>4.5999999999999943</v>
      </c>
      <c r="I14" s="24">
        <f t="shared" si="2"/>
        <v>52.346938775510196</v>
      </c>
      <c r="J14" t="s">
        <v>244</v>
      </c>
    </row>
    <row r="15" spans="1:15" x14ac:dyDescent="0.2">
      <c r="A15" s="10" t="s">
        <v>243</v>
      </c>
      <c r="B15" s="1">
        <v>41440</v>
      </c>
      <c r="C15">
        <v>54.2</v>
      </c>
      <c r="E15">
        <v>43</v>
      </c>
      <c r="F15">
        <v>2.9</v>
      </c>
      <c r="H15" s="24">
        <f t="shared" si="1"/>
        <v>11.200000000000003</v>
      </c>
      <c r="I15" s="24">
        <f t="shared" si="2"/>
        <v>55.761316872427983</v>
      </c>
      <c r="J15" t="s">
        <v>244</v>
      </c>
    </row>
    <row r="16" spans="1:15" x14ac:dyDescent="0.2">
      <c r="A16" s="10" t="s">
        <v>243</v>
      </c>
      <c r="B16" s="1">
        <v>41481</v>
      </c>
      <c r="C16">
        <v>46.5</v>
      </c>
      <c r="E16">
        <v>50.4</v>
      </c>
      <c r="F16">
        <v>3.1</v>
      </c>
      <c r="H16" s="24">
        <f t="shared" si="1"/>
        <v>-3.8999999999999986</v>
      </c>
      <c r="I16" s="24">
        <f t="shared" si="2"/>
        <v>47.987616099071204</v>
      </c>
      <c r="J16" t="s">
        <v>259</v>
      </c>
    </row>
    <row r="17" spans="1:12" x14ac:dyDescent="0.2">
      <c r="A17" s="10" t="s">
        <v>243</v>
      </c>
      <c r="B17" s="1">
        <v>41514</v>
      </c>
      <c r="C17">
        <v>49</v>
      </c>
      <c r="E17">
        <v>47.2</v>
      </c>
      <c r="F17">
        <v>3.7</v>
      </c>
      <c r="H17" s="24">
        <f t="shared" si="1"/>
        <v>1.7999999999999972</v>
      </c>
      <c r="I17" s="24">
        <f t="shared" si="2"/>
        <v>50.935550935550935</v>
      </c>
      <c r="J17" t="s">
        <v>244</v>
      </c>
      <c r="L17" t="s">
        <v>245</v>
      </c>
    </row>
    <row r="18" spans="1:12" x14ac:dyDescent="0.2">
      <c r="A18" s="10" t="s">
        <v>243</v>
      </c>
      <c r="B18" s="1">
        <v>41532</v>
      </c>
      <c r="C18">
        <v>50</v>
      </c>
      <c r="E18">
        <v>47.2</v>
      </c>
      <c r="F18">
        <v>2.9</v>
      </c>
      <c r="H18" s="24">
        <f t="shared" si="1"/>
        <v>2.7999999999999972</v>
      </c>
      <c r="I18" s="24">
        <f t="shared" si="2"/>
        <v>51.440329218106996</v>
      </c>
      <c r="J18" t="s">
        <v>244</v>
      </c>
    </row>
    <row r="19" spans="1:12" x14ac:dyDescent="0.2">
      <c r="A19" s="10" t="s">
        <v>243</v>
      </c>
      <c r="B19" s="1">
        <v>41562</v>
      </c>
      <c r="C19">
        <v>50</v>
      </c>
      <c r="E19">
        <v>46.2</v>
      </c>
      <c r="H19" s="24">
        <f t="shared" si="1"/>
        <v>3.7999999999999972</v>
      </c>
      <c r="I19" s="24">
        <f t="shared" si="2"/>
        <v>51.975051975051976</v>
      </c>
      <c r="J19" t="s">
        <v>235</v>
      </c>
    </row>
    <row r="20" spans="1:12" x14ac:dyDescent="0.2">
      <c r="A20" s="10" t="s">
        <v>243</v>
      </c>
      <c r="B20" s="1">
        <v>41589</v>
      </c>
      <c r="C20">
        <v>44.7</v>
      </c>
      <c r="E20">
        <v>53.1</v>
      </c>
      <c r="F20">
        <v>2.2999999999999998</v>
      </c>
      <c r="G20">
        <v>1200</v>
      </c>
      <c r="H20" s="24">
        <f t="shared" ref="H20:H27" si="5">C20-E20</f>
        <v>-8.3999999999999986</v>
      </c>
      <c r="I20" s="24">
        <f t="shared" ref="I20:I27" si="6">(C20/(C20+E20))*100</f>
        <v>45.705521472392633</v>
      </c>
      <c r="J20" t="s">
        <v>244</v>
      </c>
    </row>
    <row r="21" spans="1:12" x14ac:dyDescent="0.2">
      <c r="A21" s="10" t="s">
        <v>243</v>
      </c>
      <c r="B21" s="1">
        <v>41623</v>
      </c>
      <c r="C21">
        <v>49.9</v>
      </c>
      <c r="E21">
        <v>48.8</v>
      </c>
      <c r="H21" s="24">
        <f t="shared" si="5"/>
        <v>1.1000000000000014</v>
      </c>
      <c r="I21" s="24">
        <f t="shared" si="6"/>
        <v>50.557244174265456</v>
      </c>
      <c r="J21" t="s">
        <v>235</v>
      </c>
    </row>
    <row r="22" spans="1:12" x14ac:dyDescent="0.2">
      <c r="A22" s="10" t="s">
        <v>243</v>
      </c>
      <c r="B22" s="11">
        <v>41713</v>
      </c>
      <c r="C22">
        <v>44.3</v>
      </c>
      <c r="E22">
        <v>55.2</v>
      </c>
      <c r="G22">
        <v>800</v>
      </c>
      <c r="H22" s="24">
        <f t="shared" si="5"/>
        <v>-10.900000000000006</v>
      </c>
      <c r="I22" s="24">
        <f t="shared" si="6"/>
        <v>44.522613065326631</v>
      </c>
      <c r="J22" t="s">
        <v>235</v>
      </c>
    </row>
    <row r="23" spans="1:12" x14ac:dyDescent="0.2">
      <c r="A23" s="10" t="s">
        <v>243</v>
      </c>
      <c r="B23" s="1">
        <v>41723</v>
      </c>
      <c r="C23">
        <v>42.4</v>
      </c>
      <c r="E23">
        <v>57.5</v>
      </c>
      <c r="F23">
        <v>1.6</v>
      </c>
      <c r="G23">
        <v>800</v>
      </c>
      <c r="H23" s="24">
        <f t="shared" si="5"/>
        <v>-15.100000000000001</v>
      </c>
      <c r="I23" s="24">
        <f t="shared" si="6"/>
        <v>42.442442442442442</v>
      </c>
      <c r="J23" t="s">
        <v>235</v>
      </c>
    </row>
    <row r="24" spans="1:12" x14ac:dyDescent="0.2">
      <c r="A24" s="10" t="s">
        <v>243</v>
      </c>
      <c r="B24" s="1">
        <v>41728</v>
      </c>
      <c r="C24">
        <v>42.1</v>
      </c>
      <c r="E24">
        <v>57.2</v>
      </c>
      <c r="F24">
        <v>1.7</v>
      </c>
      <c r="G24">
        <v>1200</v>
      </c>
      <c r="H24" s="24">
        <f t="shared" si="5"/>
        <v>-15.100000000000001</v>
      </c>
      <c r="I24" s="24">
        <f t="shared" si="6"/>
        <v>42.39677744209466</v>
      </c>
      <c r="J24" t="s">
        <v>236</v>
      </c>
    </row>
    <row r="25" spans="1:12" x14ac:dyDescent="0.2">
      <c r="A25" s="10" t="s">
        <v>243</v>
      </c>
      <c r="B25" s="1">
        <v>41911</v>
      </c>
      <c r="C25">
        <v>34.6</v>
      </c>
      <c r="E25">
        <v>65</v>
      </c>
      <c r="F25">
        <v>0.5</v>
      </c>
      <c r="H25" s="24">
        <f t="shared" si="5"/>
        <v>-30.4</v>
      </c>
      <c r="I25" s="24">
        <f t="shared" si="6"/>
        <v>34.738955823293175</v>
      </c>
      <c r="J25" t="s">
        <v>256</v>
      </c>
    </row>
    <row r="26" spans="1:12" x14ac:dyDescent="0.2">
      <c r="A26" s="10" t="s">
        <v>243</v>
      </c>
      <c r="B26" s="1">
        <v>41929</v>
      </c>
      <c r="C26">
        <v>36.700000000000003</v>
      </c>
      <c r="E26">
        <v>62.2</v>
      </c>
      <c r="F26">
        <v>0.1</v>
      </c>
      <c r="G26">
        <v>1200</v>
      </c>
      <c r="H26" s="24">
        <f t="shared" si="5"/>
        <v>-25.5</v>
      </c>
      <c r="I26" s="24">
        <f t="shared" si="6"/>
        <v>37.108190091001013</v>
      </c>
      <c r="J26" t="s">
        <v>250</v>
      </c>
    </row>
    <row r="27" spans="1:12" x14ac:dyDescent="0.2">
      <c r="A27" s="10" t="s">
        <v>243</v>
      </c>
      <c r="B27" s="1">
        <v>42436</v>
      </c>
      <c r="C27">
        <v>27.9</v>
      </c>
      <c r="E27">
        <v>69.8</v>
      </c>
      <c r="F27">
        <v>2.2000000000000002</v>
      </c>
      <c r="H27" s="24">
        <f t="shared" si="5"/>
        <v>-41.9</v>
      </c>
      <c r="I27" s="24">
        <f t="shared" si="6"/>
        <v>28.556806550665303</v>
      </c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39"/>
  <sheetViews>
    <sheetView topLeftCell="A121" workbookViewId="0">
      <selection activeCell="H122" sqref="H122"/>
    </sheetView>
  </sheetViews>
  <sheetFormatPr defaultColWidth="8.7109375" defaultRowHeight="12.75" x14ac:dyDescent="0.2"/>
  <cols>
    <col min="1" max="1" width="20.42578125" customWidth="1"/>
    <col min="2" max="2" width="10.140625" bestFit="1" customWidth="1"/>
    <col min="3" max="5" width="8.7109375" customWidth="1"/>
    <col min="6" max="6" width="11.7109375" customWidth="1"/>
    <col min="7" max="7" width="10.42578125" customWidth="1"/>
    <col min="8" max="8" width="10.7109375" customWidth="1"/>
    <col min="9" max="9" width="13.42578125" customWidth="1"/>
  </cols>
  <sheetData>
    <row r="1" spans="1:16" x14ac:dyDescent="0.2">
      <c r="A1" s="10" t="s">
        <v>200</v>
      </c>
      <c r="B1" s="10" t="s">
        <v>201</v>
      </c>
      <c r="C1" s="25" t="s">
        <v>202</v>
      </c>
      <c r="D1" s="10" t="s">
        <v>203</v>
      </c>
      <c r="E1" s="10" t="s">
        <v>118</v>
      </c>
      <c r="F1" t="s">
        <v>128</v>
      </c>
      <c r="G1" t="s">
        <v>129</v>
      </c>
      <c r="H1" t="s">
        <v>208</v>
      </c>
      <c r="I1" s="16" t="s">
        <v>54</v>
      </c>
      <c r="O1" s="16" t="s">
        <v>73</v>
      </c>
      <c r="P1" s="16" t="s">
        <v>88</v>
      </c>
    </row>
    <row r="2" spans="1:16" x14ac:dyDescent="0.2">
      <c r="A2" t="s">
        <v>72</v>
      </c>
      <c r="B2" s="5">
        <v>36206</v>
      </c>
      <c r="C2" s="25">
        <v>91.9</v>
      </c>
      <c r="D2">
        <v>5.2</v>
      </c>
      <c r="E2">
        <v>1000</v>
      </c>
      <c r="F2">
        <f>C2-D2</f>
        <v>86.7</v>
      </c>
      <c r="G2" s="22">
        <f>(C2/(C2+D2))*100</f>
        <v>94.644696189495363</v>
      </c>
      <c r="H2" s="10" t="s">
        <v>138</v>
      </c>
      <c r="I2" s="16" t="s">
        <v>53</v>
      </c>
      <c r="N2" s="10" t="s">
        <v>52</v>
      </c>
    </row>
    <row r="3" spans="1:16" x14ac:dyDescent="0.2">
      <c r="A3" t="s">
        <v>72</v>
      </c>
      <c r="B3" s="11">
        <v>36571</v>
      </c>
      <c r="C3" s="25">
        <v>76.8</v>
      </c>
      <c r="D3">
        <v>21.8</v>
      </c>
      <c r="E3">
        <v>1000</v>
      </c>
      <c r="F3">
        <f t="shared" ref="F3:F62" si="0">C3-D3</f>
        <v>55</v>
      </c>
      <c r="G3" s="22">
        <f t="shared" ref="G3:G62" si="1">(C3/(C3+D3))*100</f>
        <v>77.890466531440154</v>
      </c>
      <c r="H3" s="10" t="s">
        <v>138</v>
      </c>
      <c r="I3" s="16"/>
      <c r="N3" s="10"/>
    </row>
    <row r="4" spans="1:16" x14ac:dyDescent="0.2">
      <c r="A4" t="s">
        <v>72</v>
      </c>
      <c r="B4" s="11">
        <v>36631</v>
      </c>
      <c r="C4" s="25">
        <v>61</v>
      </c>
      <c r="D4">
        <v>38.200000000000003</v>
      </c>
      <c r="E4">
        <v>1000</v>
      </c>
      <c r="F4">
        <f t="shared" ref="F4" si="2">C4-D4</f>
        <v>22.799999999999997</v>
      </c>
      <c r="G4" s="24">
        <f t="shared" ref="G4" si="3">(C4/(C4+D4))*100</f>
        <v>61.491935483870961</v>
      </c>
      <c r="H4" s="10" t="s">
        <v>194</v>
      </c>
      <c r="I4" s="16"/>
      <c r="N4" s="10"/>
    </row>
    <row r="5" spans="1:16" x14ac:dyDescent="0.2">
      <c r="A5" t="s">
        <v>72</v>
      </c>
      <c r="B5" s="11">
        <v>36661</v>
      </c>
      <c r="C5" s="25">
        <v>55.9</v>
      </c>
      <c r="D5">
        <v>43.5</v>
      </c>
      <c r="E5">
        <v>1000</v>
      </c>
      <c r="F5">
        <f t="shared" si="0"/>
        <v>12.399999999999999</v>
      </c>
      <c r="G5" s="22">
        <f t="shared" si="1"/>
        <v>56.237424547283702</v>
      </c>
      <c r="H5" s="10" t="s">
        <v>138</v>
      </c>
      <c r="I5" s="16"/>
      <c r="N5" s="10"/>
    </row>
    <row r="6" spans="1:16" x14ac:dyDescent="0.2">
      <c r="A6" t="s">
        <v>72</v>
      </c>
      <c r="B6" s="11">
        <v>36692</v>
      </c>
      <c r="C6" s="25">
        <v>60.6</v>
      </c>
      <c r="D6">
        <v>38.1</v>
      </c>
      <c r="E6">
        <v>1000</v>
      </c>
      <c r="F6">
        <f t="shared" si="0"/>
        <v>22.5</v>
      </c>
      <c r="G6" s="22">
        <f t="shared" si="1"/>
        <v>61.39817629179332</v>
      </c>
      <c r="H6" s="10" t="s">
        <v>138</v>
      </c>
      <c r="I6" s="16"/>
      <c r="N6" s="10"/>
    </row>
    <row r="7" spans="1:16" x14ac:dyDescent="0.2">
      <c r="A7" t="s">
        <v>72</v>
      </c>
      <c r="B7" s="11">
        <v>36937</v>
      </c>
      <c r="C7" s="25">
        <v>62.7</v>
      </c>
      <c r="D7">
        <v>36.1</v>
      </c>
      <c r="E7">
        <v>1000</v>
      </c>
      <c r="F7">
        <f t="shared" si="0"/>
        <v>26.6</v>
      </c>
      <c r="G7" s="22">
        <f t="shared" si="1"/>
        <v>63.46153846153846</v>
      </c>
      <c r="H7" s="10" t="s">
        <v>138</v>
      </c>
      <c r="I7" s="16"/>
      <c r="N7" s="10"/>
    </row>
    <row r="8" spans="1:16" x14ac:dyDescent="0.2">
      <c r="A8" t="s">
        <v>72</v>
      </c>
      <c r="B8" s="11">
        <v>37087</v>
      </c>
      <c r="C8" s="25">
        <v>55.8</v>
      </c>
      <c r="D8">
        <v>42.8</v>
      </c>
      <c r="E8">
        <v>1000</v>
      </c>
      <c r="F8">
        <f t="shared" si="0"/>
        <v>13</v>
      </c>
      <c r="G8" s="22">
        <f t="shared" si="1"/>
        <v>56.592292089249497</v>
      </c>
      <c r="H8" s="10" t="s">
        <v>138</v>
      </c>
      <c r="I8" s="16"/>
      <c r="N8" s="10"/>
    </row>
    <row r="9" spans="1:16" x14ac:dyDescent="0.2">
      <c r="A9" t="s">
        <v>72</v>
      </c>
      <c r="B9" s="1">
        <v>37240</v>
      </c>
      <c r="C9" s="25">
        <v>35.5</v>
      </c>
      <c r="D9">
        <v>58.4</v>
      </c>
      <c r="E9">
        <v>1000</v>
      </c>
      <c r="F9">
        <f t="shared" si="0"/>
        <v>-22.9</v>
      </c>
      <c r="G9" s="22">
        <f t="shared" si="1"/>
        <v>37.80617678381256</v>
      </c>
      <c r="H9" s="10" t="s">
        <v>138</v>
      </c>
    </row>
    <row r="10" spans="1:16" x14ac:dyDescent="0.2">
      <c r="A10" t="s">
        <v>72</v>
      </c>
      <c r="B10" s="1">
        <v>37302</v>
      </c>
      <c r="C10" s="25">
        <v>34.4</v>
      </c>
      <c r="D10">
        <v>63.2</v>
      </c>
      <c r="E10">
        <v>1000</v>
      </c>
      <c r="F10">
        <f t="shared" si="0"/>
        <v>-28.800000000000004</v>
      </c>
      <c r="G10" s="22">
        <f t="shared" si="1"/>
        <v>35.245901639344261</v>
      </c>
      <c r="H10" s="10" t="s">
        <v>138</v>
      </c>
    </row>
    <row r="11" spans="1:16" x14ac:dyDescent="0.2">
      <c r="A11" t="s">
        <v>72</v>
      </c>
      <c r="B11" s="1">
        <v>37361</v>
      </c>
      <c r="C11" s="25">
        <v>44.7</v>
      </c>
      <c r="D11">
        <v>54.5</v>
      </c>
      <c r="E11">
        <v>1000</v>
      </c>
      <c r="F11">
        <f t="shared" si="0"/>
        <v>-9.7999999999999972</v>
      </c>
      <c r="G11" s="22">
        <f t="shared" si="1"/>
        <v>45.060483870967744</v>
      </c>
      <c r="H11" s="10" t="s">
        <v>138</v>
      </c>
    </row>
    <row r="12" spans="1:16" x14ac:dyDescent="0.2">
      <c r="A12" t="s">
        <v>72</v>
      </c>
      <c r="B12" s="1">
        <v>37422</v>
      </c>
      <c r="C12" s="25">
        <v>32.299999999999997</v>
      </c>
      <c r="D12">
        <v>67.099999999999994</v>
      </c>
      <c r="E12">
        <v>1000</v>
      </c>
      <c r="F12">
        <f t="shared" si="0"/>
        <v>-34.799999999999997</v>
      </c>
      <c r="G12" s="22">
        <f t="shared" si="1"/>
        <v>32.494969818913482</v>
      </c>
      <c r="H12" s="10" t="s">
        <v>138</v>
      </c>
    </row>
    <row r="13" spans="1:16" x14ac:dyDescent="0.2">
      <c r="A13" t="s">
        <v>72</v>
      </c>
      <c r="B13" s="1">
        <v>37575</v>
      </c>
      <c r="C13" s="25">
        <v>32.6</v>
      </c>
      <c r="D13">
        <v>66.099999999999994</v>
      </c>
      <c r="E13">
        <v>1000</v>
      </c>
      <c r="F13">
        <f t="shared" si="0"/>
        <v>-33.499999999999993</v>
      </c>
      <c r="G13" s="22">
        <f t="shared" si="1"/>
        <v>33.029381965552183</v>
      </c>
      <c r="H13" s="10" t="s">
        <v>138</v>
      </c>
    </row>
    <row r="14" spans="1:16" x14ac:dyDescent="0.2">
      <c r="A14" t="s">
        <v>72</v>
      </c>
      <c r="B14" s="1">
        <v>37667</v>
      </c>
      <c r="C14" s="25">
        <v>35.1</v>
      </c>
      <c r="D14">
        <v>63.8</v>
      </c>
      <c r="E14">
        <v>1000</v>
      </c>
      <c r="F14">
        <f t="shared" si="0"/>
        <v>-28.699999999999996</v>
      </c>
      <c r="G14" s="22">
        <f t="shared" si="1"/>
        <v>35.490394337714868</v>
      </c>
      <c r="H14" s="10" t="s">
        <v>138</v>
      </c>
    </row>
    <row r="15" spans="1:16" x14ac:dyDescent="0.2">
      <c r="A15" t="s">
        <v>72</v>
      </c>
      <c r="B15" s="1">
        <v>37756</v>
      </c>
      <c r="C15" s="25">
        <v>36.799999999999997</v>
      </c>
      <c r="D15">
        <v>62.8</v>
      </c>
      <c r="E15">
        <v>1000</v>
      </c>
      <c r="F15">
        <f t="shared" si="0"/>
        <v>-26</v>
      </c>
      <c r="G15" s="22">
        <f t="shared" si="1"/>
        <v>36.947791164658632</v>
      </c>
      <c r="H15" s="10" t="s">
        <v>138</v>
      </c>
    </row>
    <row r="16" spans="1:16" x14ac:dyDescent="0.2">
      <c r="A16" t="s">
        <v>72</v>
      </c>
      <c r="B16" s="11">
        <v>37817</v>
      </c>
      <c r="C16" s="25">
        <v>30.8</v>
      </c>
      <c r="D16">
        <v>67.5</v>
      </c>
      <c r="E16">
        <v>1000</v>
      </c>
      <c r="F16">
        <f t="shared" si="0"/>
        <v>-36.700000000000003</v>
      </c>
      <c r="G16" s="22">
        <f t="shared" si="1"/>
        <v>31.33265513733469</v>
      </c>
      <c r="H16" s="10" t="s">
        <v>138</v>
      </c>
    </row>
    <row r="17" spans="1:9" x14ac:dyDescent="0.2">
      <c r="A17" t="s">
        <v>72</v>
      </c>
      <c r="B17" s="1">
        <v>37880</v>
      </c>
      <c r="C17" s="25">
        <v>36.1</v>
      </c>
      <c r="D17">
        <v>62.8</v>
      </c>
      <c r="E17">
        <v>1300</v>
      </c>
      <c r="F17">
        <f t="shared" si="0"/>
        <v>-26.699999999999996</v>
      </c>
      <c r="G17" s="22">
        <f t="shared" si="1"/>
        <v>36.501516683518702</v>
      </c>
      <c r="H17" s="10" t="s">
        <v>138</v>
      </c>
      <c r="I17" s="14" t="s">
        <v>139</v>
      </c>
    </row>
    <row r="18" spans="1:9" x14ac:dyDescent="0.2">
      <c r="A18" t="s">
        <v>72</v>
      </c>
      <c r="B18" s="1">
        <v>37940</v>
      </c>
      <c r="C18" s="25">
        <v>41.5</v>
      </c>
      <c r="D18">
        <v>57.2</v>
      </c>
      <c r="E18">
        <v>1300</v>
      </c>
      <c r="F18">
        <f t="shared" si="0"/>
        <v>-15.700000000000003</v>
      </c>
      <c r="G18" s="22">
        <f t="shared" si="1"/>
        <v>42.046605876393109</v>
      </c>
      <c r="H18" s="10" t="s">
        <v>138</v>
      </c>
    </row>
    <row r="19" spans="1:9" x14ac:dyDescent="0.2">
      <c r="A19" t="s">
        <v>72</v>
      </c>
      <c r="B19" s="1">
        <v>37970</v>
      </c>
      <c r="C19" s="25">
        <v>41.7</v>
      </c>
      <c r="D19">
        <v>56.2</v>
      </c>
      <c r="E19">
        <v>1300</v>
      </c>
      <c r="F19">
        <f t="shared" si="0"/>
        <v>-14.5</v>
      </c>
      <c r="G19" s="22">
        <f t="shared" si="1"/>
        <v>42.594484167517876</v>
      </c>
      <c r="H19" s="10" t="s">
        <v>138</v>
      </c>
    </row>
    <row r="20" spans="1:9" x14ac:dyDescent="0.2">
      <c r="A20" t="s">
        <v>72</v>
      </c>
      <c r="B20" s="1">
        <v>38032</v>
      </c>
      <c r="C20" s="25">
        <v>41.4</v>
      </c>
      <c r="D20">
        <v>54.6</v>
      </c>
      <c r="E20">
        <v>1300</v>
      </c>
      <c r="F20">
        <f t="shared" si="0"/>
        <v>-13.200000000000003</v>
      </c>
      <c r="G20" s="22">
        <f t="shared" si="1"/>
        <v>43.125</v>
      </c>
      <c r="H20" s="10" t="s">
        <v>56</v>
      </c>
    </row>
    <row r="21" spans="1:9" x14ac:dyDescent="0.2">
      <c r="A21" t="s">
        <v>72</v>
      </c>
      <c r="B21" s="1">
        <v>38122</v>
      </c>
      <c r="C21" s="25">
        <v>43.3</v>
      </c>
      <c r="D21">
        <v>55.2</v>
      </c>
      <c r="E21">
        <v>1300</v>
      </c>
      <c r="F21">
        <f t="shared" si="0"/>
        <v>-11.900000000000006</v>
      </c>
      <c r="G21" s="22">
        <f t="shared" si="1"/>
        <v>43.959390862944161</v>
      </c>
      <c r="H21" s="10" t="s">
        <v>56</v>
      </c>
    </row>
    <row r="22" spans="1:9" x14ac:dyDescent="0.2">
      <c r="A22" t="s">
        <v>72</v>
      </c>
      <c r="B22" s="1">
        <v>38183</v>
      </c>
      <c r="C22" s="25">
        <v>50.8</v>
      </c>
      <c r="D22">
        <v>48.8</v>
      </c>
      <c r="E22">
        <v>1300</v>
      </c>
      <c r="F22">
        <f t="shared" si="0"/>
        <v>2</v>
      </c>
      <c r="G22" s="22">
        <f t="shared" si="1"/>
        <v>51.00401606425703</v>
      </c>
      <c r="H22" s="10" t="s">
        <v>56</v>
      </c>
    </row>
    <row r="23" spans="1:9" x14ac:dyDescent="0.2">
      <c r="A23" t="s">
        <v>72</v>
      </c>
      <c r="B23" s="1">
        <v>38571</v>
      </c>
      <c r="C23" s="25">
        <v>48</v>
      </c>
      <c r="D23">
        <v>44.8</v>
      </c>
      <c r="E23">
        <v>1300</v>
      </c>
      <c r="F23">
        <f t="shared" si="0"/>
        <v>3.2000000000000028</v>
      </c>
      <c r="G23" s="22">
        <f t="shared" si="1"/>
        <v>51.724137931034484</v>
      </c>
      <c r="H23" s="10" t="s">
        <v>56</v>
      </c>
    </row>
    <row r="24" spans="1:9" x14ac:dyDescent="0.2">
      <c r="A24" t="s">
        <v>72</v>
      </c>
      <c r="B24" s="1">
        <v>38585</v>
      </c>
      <c r="C24" s="25">
        <v>59.2</v>
      </c>
      <c r="D24">
        <v>37.200000000000003</v>
      </c>
      <c r="E24">
        <v>1300</v>
      </c>
      <c r="F24">
        <f t="shared" si="0"/>
        <v>22</v>
      </c>
      <c r="G24" s="22">
        <f t="shared" si="1"/>
        <v>61.410788381742741</v>
      </c>
      <c r="H24" s="10" t="s">
        <v>56</v>
      </c>
    </row>
    <row r="25" spans="1:9" x14ac:dyDescent="0.2">
      <c r="A25" t="s">
        <v>72</v>
      </c>
      <c r="B25" s="1">
        <v>38275</v>
      </c>
      <c r="C25" s="25">
        <v>53.7</v>
      </c>
      <c r="D25">
        <v>41.6</v>
      </c>
      <c r="E25">
        <v>1300</v>
      </c>
      <c r="F25">
        <f t="shared" si="0"/>
        <v>12.100000000000001</v>
      </c>
      <c r="G25" s="22">
        <f t="shared" si="1"/>
        <v>56.348373557187827</v>
      </c>
      <c r="H25" s="10" t="s">
        <v>56</v>
      </c>
    </row>
    <row r="26" spans="1:9" x14ac:dyDescent="0.2">
      <c r="A26" t="s">
        <v>72</v>
      </c>
      <c r="B26" s="1">
        <v>38306</v>
      </c>
      <c r="C26" s="25">
        <v>64.5</v>
      </c>
      <c r="D26">
        <v>31.3</v>
      </c>
      <c r="E26">
        <v>1300</v>
      </c>
      <c r="F26">
        <f t="shared" si="0"/>
        <v>33.200000000000003</v>
      </c>
      <c r="G26" s="22">
        <f t="shared" si="1"/>
        <v>67.327766179540717</v>
      </c>
      <c r="H26" s="10" t="s">
        <v>56</v>
      </c>
    </row>
    <row r="27" spans="1:9" x14ac:dyDescent="0.2">
      <c r="A27" t="s">
        <v>72</v>
      </c>
      <c r="B27" s="1">
        <v>38367</v>
      </c>
      <c r="C27" s="25">
        <v>64.2</v>
      </c>
      <c r="D27">
        <v>32</v>
      </c>
      <c r="E27">
        <v>1300</v>
      </c>
      <c r="F27">
        <f t="shared" si="0"/>
        <v>32.200000000000003</v>
      </c>
      <c r="G27" s="22">
        <f t="shared" si="1"/>
        <v>66.735966735966741</v>
      </c>
      <c r="H27" s="10" t="s">
        <v>56</v>
      </c>
    </row>
    <row r="28" spans="1:9" x14ac:dyDescent="0.2">
      <c r="A28" t="s">
        <v>72</v>
      </c>
      <c r="B28" s="1">
        <v>38426</v>
      </c>
      <c r="C28" s="25">
        <v>70.5</v>
      </c>
      <c r="D28">
        <v>27</v>
      </c>
      <c r="E28">
        <v>1300</v>
      </c>
      <c r="F28">
        <f t="shared" si="0"/>
        <v>43.5</v>
      </c>
      <c r="G28" s="22">
        <f t="shared" si="1"/>
        <v>72.307692307692307</v>
      </c>
      <c r="H28" s="10" t="s">
        <v>56</v>
      </c>
    </row>
    <row r="29" spans="1:9" x14ac:dyDescent="0.2">
      <c r="A29" t="s">
        <v>72</v>
      </c>
      <c r="B29" s="1">
        <v>38457</v>
      </c>
      <c r="C29" s="25">
        <v>67.2</v>
      </c>
      <c r="D29">
        <v>29.8</v>
      </c>
      <c r="E29">
        <v>1300</v>
      </c>
      <c r="F29">
        <f t="shared" si="0"/>
        <v>37.400000000000006</v>
      </c>
      <c r="G29" s="22">
        <f t="shared" si="1"/>
        <v>69.278350515463913</v>
      </c>
      <c r="H29" s="10" t="s">
        <v>56</v>
      </c>
    </row>
    <row r="30" spans="1:9" x14ac:dyDescent="0.2">
      <c r="A30" t="s">
        <v>72</v>
      </c>
      <c r="B30" s="1">
        <v>38487</v>
      </c>
      <c r="C30" s="25">
        <v>71.2</v>
      </c>
      <c r="D30">
        <v>22.9</v>
      </c>
      <c r="E30">
        <v>1300</v>
      </c>
      <c r="F30">
        <f t="shared" si="0"/>
        <v>48.300000000000004</v>
      </c>
      <c r="G30" s="22">
        <f t="shared" si="1"/>
        <v>75.664187035069091</v>
      </c>
      <c r="H30" s="10" t="s">
        <v>56</v>
      </c>
    </row>
    <row r="31" spans="1:9" x14ac:dyDescent="0.2">
      <c r="A31" t="s">
        <v>72</v>
      </c>
      <c r="B31" s="1">
        <v>38518</v>
      </c>
      <c r="C31" s="25">
        <v>71.8</v>
      </c>
      <c r="D31">
        <v>24.8</v>
      </c>
      <c r="E31">
        <v>1300</v>
      </c>
      <c r="F31">
        <f t="shared" si="0"/>
        <v>47</v>
      </c>
      <c r="G31" s="22">
        <f t="shared" si="1"/>
        <v>74.327122153209118</v>
      </c>
      <c r="H31" s="10" t="s">
        <v>56</v>
      </c>
    </row>
    <row r="32" spans="1:9" x14ac:dyDescent="0.2">
      <c r="A32" t="s">
        <v>72</v>
      </c>
      <c r="B32" s="1">
        <v>38640</v>
      </c>
      <c r="C32" s="25">
        <v>67.599999999999994</v>
      </c>
      <c r="D32">
        <v>26.3</v>
      </c>
      <c r="E32">
        <v>1300</v>
      </c>
      <c r="F32">
        <f t="shared" si="0"/>
        <v>41.3</v>
      </c>
      <c r="G32" s="22">
        <f t="shared" si="1"/>
        <v>71.991480298189558</v>
      </c>
      <c r="H32" s="10" t="s">
        <v>56</v>
      </c>
    </row>
    <row r="33" spans="1:9" x14ac:dyDescent="0.2">
      <c r="A33" t="s">
        <v>72</v>
      </c>
      <c r="B33" s="1">
        <v>38701</v>
      </c>
      <c r="C33" s="25">
        <v>62.5</v>
      </c>
      <c r="D33">
        <v>30</v>
      </c>
      <c r="E33">
        <v>1300</v>
      </c>
      <c r="F33">
        <f t="shared" si="0"/>
        <v>32.5</v>
      </c>
      <c r="G33" s="22">
        <f t="shared" si="1"/>
        <v>67.567567567567565</v>
      </c>
      <c r="H33" s="10" t="s">
        <v>56</v>
      </c>
    </row>
    <row r="34" spans="1:9" x14ac:dyDescent="0.2">
      <c r="A34" t="s">
        <v>72</v>
      </c>
      <c r="B34" s="1">
        <v>38763</v>
      </c>
      <c r="C34" s="25">
        <v>73.599999999999994</v>
      </c>
      <c r="D34">
        <v>21.9</v>
      </c>
      <c r="E34">
        <v>1300</v>
      </c>
      <c r="F34">
        <f t="shared" si="0"/>
        <v>51.699999999999996</v>
      </c>
      <c r="G34" s="22">
        <f t="shared" si="1"/>
        <v>77.06806282722512</v>
      </c>
      <c r="H34" s="10" t="s">
        <v>56</v>
      </c>
    </row>
    <row r="35" spans="1:9" x14ac:dyDescent="0.2">
      <c r="A35" t="s">
        <v>72</v>
      </c>
      <c r="B35" s="1">
        <v>38791</v>
      </c>
      <c r="C35" s="25">
        <v>73.099999999999994</v>
      </c>
      <c r="D35">
        <v>23.4</v>
      </c>
      <c r="E35">
        <v>1300</v>
      </c>
      <c r="F35">
        <f t="shared" si="0"/>
        <v>49.699999999999996</v>
      </c>
      <c r="G35" s="22">
        <f t="shared" si="1"/>
        <v>75.751295336787564</v>
      </c>
      <c r="H35" s="10" t="s">
        <v>56</v>
      </c>
    </row>
    <row r="36" spans="1:9" x14ac:dyDescent="0.2">
      <c r="A36" t="s">
        <v>72</v>
      </c>
      <c r="B36" s="1">
        <v>38822</v>
      </c>
      <c r="C36" s="25">
        <v>74.2</v>
      </c>
      <c r="D36">
        <v>21.1</v>
      </c>
      <c r="E36">
        <v>1300</v>
      </c>
      <c r="F36">
        <f t="shared" si="0"/>
        <v>53.1</v>
      </c>
      <c r="G36" s="22">
        <f t="shared" si="1"/>
        <v>77.859391395592866</v>
      </c>
      <c r="H36" s="10" t="s">
        <v>56</v>
      </c>
    </row>
    <row r="37" spans="1:9" x14ac:dyDescent="0.2">
      <c r="A37" t="s">
        <v>72</v>
      </c>
      <c r="B37" s="1">
        <v>38852</v>
      </c>
      <c r="C37" s="25">
        <v>75.400000000000006</v>
      </c>
      <c r="D37">
        <v>20</v>
      </c>
      <c r="E37">
        <v>1300</v>
      </c>
      <c r="F37">
        <f t="shared" si="0"/>
        <v>55.400000000000006</v>
      </c>
      <c r="G37" s="22">
        <f t="shared" si="1"/>
        <v>79.035639412997909</v>
      </c>
      <c r="H37" s="10" t="s">
        <v>56</v>
      </c>
    </row>
    <row r="38" spans="1:9" x14ac:dyDescent="0.2">
      <c r="A38" t="s">
        <v>72</v>
      </c>
      <c r="B38" s="1">
        <v>38883</v>
      </c>
      <c r="C38" s="25">
        <v>70.099999999999994</v>
      </c>
      <c r="D38">
        <v>25.2</v>
      </c>
      <c r="E38">
        <v>1300</v>
      </c>
      <c r="F38">
        <f t="shared" si="0"/>
        <v>44.899999999999991</v>
      </c>
      <c r="G38" s="22">
        <f t="shared" si="1"/>
        <v>73.557187827911847</v>
      </c>
      <c r="H38" s="10" t="s">
        <v>56</v>
      </c>
    </row>
    <row r="39" spans="1:9" x14ac:dyDescent="0.2">
      <c r="A39" t="s">
        <v>72</v>
      </c>
      <c r="B39" s="1">
        <v>38913</v>
      </c>
      <c r="C39" s="25">
        <v>70.5</v>
      </c>
      <c r="D39">
        <v>24.6</v>
      </c>
      <c r="E39">
        <v>1300</v>
      </c>
      <c r="F39">
        <f t="shared" si="0"/>
        <v>45.9</v>
      </c>
      <c r="G39" s="22">
        <f t="shared" si="1"/>
        <v>74.13249211356468</v>
      </c>
      <c r="H39" s="10" t="s">
        <v>56</v>
      </c>
    </row>
    <row r="40" spans="1:9" x14ac:dyDescent="0.2">
      <c r="A40" t="s">
        <v>72</v>
      </c>
      <c r="B40" s="1">
        <v>38944</v>
      </c>
      <c r="C40" s="25">
        <v>72.8</v>
      </c>
      <c r="D40">
        <v>23.8</v>
      </c>
      <c r="E40">
        <v>1300</v>
      </c>
      <c r="F40">
        <f t="shared" si="0"/>
        <v>49</v>
      </c>
      <c r="G40" s="22">
        <f t="shared" si="1"/>
        <v>75.362318840579718</v>
      </c>
      <c r="H40" s="10" t="s">
        <v>56</v>
      </c>
    </row>
    <row r="41" spans="1:9" x14ac:dyDescent="0.2">
      <c r="A41" t="s">
        <v>72</v>
      </c>
      <c r="B41" s="1">
        <v>38975</v>
      </c>
      <c r="C41" s="25">
        <v>70.8</v>
      </c>
      <c r="D41">
        <v>24.8</v>
      </c>
      <c r="E41">
        <v>1300</v>
      </c>
      <c r="F41">
        <f t="shared" si="0"/>
        <v>46</v>
      </c>
      <c r="G41" s="22">
        <f t="shared" si="1"/>
        <v>74.058577405857733</v>
      </c>
      <c r="H41" s="10" t="s">
        <v>56</v>
      </c>
    </row>
    <row r="42" spans="1:9" x14ac:dyDescent="0.2">
      <c r="A42" t="s">
        <v>72</v>
      </c>
      <c r="B42" s="1">
        <v>39036</v>
      </c>
      <c r="C42" s="25">
        <v>66.3</v>
      </c>
      <c r="D42">
        <v>27.3</v>
      </c>
      <c r="E42">
        <v>1600</v>
      </c>
      <c r="F42">
        <f t="shared" si="0"/>
        <v>39</v>
      </c>
      <c r="G42" s="22">
        <f t="shared" si="1"/>
        <v>70.833333333333343</v>
      </c>
      <c r="H42" s="10" t="s">
        <v>56</v>
      </c>
    </row>
    <row r="43" spans="1:9" x14ac:dyDescent="0.2">
      <c r="A43" t="s">
        <v>72</v>
      </c>
      <c r="B43" s="1">
        <v>39128</v>
      </c>
      <c r="C43" s="25">
        <v>67.400000000000006</v>
      </c>
      <c r="D43">
        <v>26.9</v>
      </c>
      <c r="E43">
        <v>1300</v>
      </c>
      <c r="F43">
        <f t="shared" si="0"/>
        <v>40.500000000000007</v>
      </c>
      <c r="G43" s="22">
        <f t="shared" si="1"/>
        <v>71.474019088016959</v>
      </c>
      <c r="H43" s="16" t="s">
        <v>53</v>
      </c>
      <c r="I43" s="10" t="s">
        <v>56</v>
      </c>
    </row>
    <row r="44" spans="1:9" x14ac:dyDescent="0.2">
      <c r="A44" t="s">
        <v>72</v>
      </c>
      <c r="B44" s="1">
        <v>39156</v>
      </c>
      <c r="C44" s="25">
        <v>64.7</v>
      </c>
      <c r="D44">
        <v>29.6</v>
      </c>
      <c r="E44">
        <v>1300</v>
      </c>
      <c r="F44">
        <f t="shared" si="0"/>
        <v>35.1</v>
      </c>
      <c r="G44" s="22">
        <f t="shared" si="1"/>
        <v>68.610816542948029</v>
      </c>
      <c r="H44" s="10" t="s">
        <v>56</v>
      </c>
    </row>
    <row r="45" spans="1:9" x14ac:dyDescent="0.2">
      <c r="A45" t="s">
        <v>72</v>
      </c>
      <c r="B45" s="1">
        <v>39209</v>
      </c>
      <c r="C45" s="25">
        <v>63.1</v>
      </c>
      <c r="D45">
        <v>29.1</v>
      </c>
      <c r="E45">
        <v>1300</v>
      </c>
      <c r="F45">
        <f t="shared" si="0"/>
        <v>34</v>
      </c>
      <c r="G45" s="22">
        <f t="shared" si="1"/>
        <v>68.43817787418655</v>
      </c>
      <c r="H45" s="16" t="s">
        <v>53</v>
      </c>
      <c r="I45" s="10" t="s">
        <v>56</v>
      </c>
    </row>
    <row r="46" spans="1:9" x14ac:dyDescent="0.2">
      <c r="A46" t="s">
        <v>72</v>
      </c>
      <c r="B46" s="1">
        <v>39223</v>
      </c>
      <c r="C46" s="25">
        <v>55.8</v>
      </c>
      <c r="D46">
        <v>36.299999999999997</v>
      </c>
      <c r="E46">
        <v>1300</v>
      </c>
      <c r="F46">
        <f t="shared" si="0"/>
        <v>19.5</v>
      </c>
      <c r="G46" s="22">
        <f t="shared" si="1"/>
        <v>60.586319218241044</v>
      </c>
      <c r="H46" s="10" t="s">
        <v>56</v>
      </c>
    </row>
    <row r="47" spans="1:9" x14ac:dyDescent="0.2">
      <c r="A47" t="s">
        <v>72</v>
      </c>
      <c r="B47" s="1">
        <v>39248</v>
      </c>
      <c r="C47" s="25">
        <v>65</v>
      </c>
      <c r="D47">
        <v>28.2</v>
      </c>
      <c r="E47">
        <v>1300</v>
      </c>
      <c r="F47">
        <f t="shared" si="0"/>
        <v>36.799999999999997</v>
      </c>
      <c r="G47" s="22">
        <f t="shared" si="1"/>
        <v>69.742489270386272</v>
      </c>
      <c r="H47" s="10" t="s">
        <v>56</v>
      </c>
    </row>
    <row r="48" spans="1:9" x14ac:dyDescent="0.2">
      <c r="A48" t="s">
        <v>72</v>
      </c>
      <c r="B48" s="1">
        <v>39278</v>
      </c>
      <c r="C48" s="25">
        <v>60</v>
      </c>
      <c r="D48">
        <v>33.6</v>
      </c>
      <c r="E48">
        <v>1300</v>
      </c>
      <c r="F48">
        <f t="shared" si="0"/>
        <v>26.4</v>
      </c>
      <c r="G48" s="22">
        <f t="shared" si="1"/>
        <v>64.102564102564102</v>
      </c>
      <c r="H48" s="10" t="s">
        <v>56</v>
      </c>
    </row>
    <row r="49" spans="1:8" x14ac:dyDescent="0.2">
      <c r="A49" t="s">
        <v>72</v>
      </c>
      <c r="B49" s="1">
        <v>39340</v>
      </c>
      <c r="C49" s="25">
        <v>63.4</v>
      </c>
      <c r="D49">
        <v>30.2</v>
      </c>
      <c r="E49">
        <v>1300</v>
      </c>
      <c r="F49">
        <f t="shared" si="0"/>
        <v>33.200000000000003</v>
      </c>
      <c r="G49" s="22">
        <f t="shared" si="1"/>
        <v>67.73504273504274</v>
      </c>
      <c r="H49" s="10" t="s">
        <v>56</v>
      </c>
    </row>
    <row r="50" spans="1:8" x14ac:dyDescent="0.2">
      <c r="A50" t="s">
        <v>72</v>
      </c>
      <c r="B50" s="1">
        <v>39370</v>
      </c>
      <c r="C50" s="25">
        <v>62.2</v>
      </c>
      <c r="D50">
        <v>33.200000000000003</v>
      </c>
      <c r="E50">
        <v>1300</v>
      </c>
      <c r="F50">
        <f t="shared" si="0"/>
        <v>29</v>
      </c>
      <c r="G50" s="22">
        <f t="shared" si="1"/>
        <v>65.19916142557652</v>
      </c>
      <c r="H50" s="10" t="s">
        <v>56</v>
      </c>
    </row>
    <row r="51" spans="1:8" x14ac:dyDescent="0.2">
      <c r="A51" t="s">
        <v>72</v>
      </c>
      <c r="B51" s="1">
        <v>39401</v>
      </c>
      <c r="C51" s="25">
        <v>52</v>
      </c>
      <c r="D51">
        <v>42.9</v>
      </c>
      <c r="E51">
        <v>1300</v>
      </c>
      <c r="F51">
        <f t="shared" si="0"/>
        <v>9.1000000000000014</v>
      </c>
      <c r="G51" s="22">
        <f t="shared" si="1"/>
        <v>54.794520547945204</v>
      </c>
      <c r="H51" s="10" t="s">
        <v>56</v>
      </c>
    </row>
    <row r="52" spans="1:8" x14ac:dyDescent="0.2">
      <c r="A52" t="s">
        <v>72</v>
      </c>
      <c r="B52" s="1">
        <v>39493</v>
      </c>
      <c r="C52" s="25">
        <v>51.8</v>
      </c>
      <c r="D52">
        <v>40.299999999999997</v>
      </c>
      <c r="E52">
        <v>1300</v>
      </c>
      <c r="F52">
        <f t="shared" si="0"/>
        <v>11.5</v>
      </c>
      <c r="G52" s="22">
        <f t="shared" si="1"/>
        <v>56.243213897937025</v>
      </c>
      <c r="H52" s="16" t="s">
        <v>53</v>
      </c>
    </row>
    <row r="53" spans="1:8" x14ac:dyDescent="0.2">
      <c r="A53" t="s">
        <v>72</v>
      </c>
      <c r="B53" s="1">
        <v>39553</v>
      </c>
      <c r="C53" s="25">
        <v>55.8</v>
      </c>
      <c r="D53">
        <v>39</v>
      </c>
      <c r="E53">
        <v>1300</v>
      </c>
      <c r="F53">
        <f t="shared" si="0"/>
        <v>16.799999999999997</v>
      </c>
      <c r="G53" s="22">
        <f t="shared" si="1"/>
        <v>58.860759493670891</v>
      </c>
      <c r="H53" s="10" t="s">
        <v>56</v>
      </c>
    </row>
    <row r="54" spans="1:8" x14ac:dyDescent="0.2">
      <c r="A54" t="s">
        <v>72</v>
      </c>
      <c r="B54" s="1">
        <v>39583</v>
      </c>
      <c r="C54" s="25">
        <v>55.5</v>
      </c>
      <c r="D54">
        <v>35.9</v>
      </c>
      <c r="E54">
        <v>1300</v>
      </c>
      <c r="F54">
        <f t="shared" si="0"/>
        <v>19.600000000000001</v>
      </c>
      <c r="G54" s="22">
        <f t="shared" si="1"/>
        <v>60.722100656455133</v>
      </c>
      <c r="H54" s="16" t="s">
        <v>53</v>
      </c>
    </row>
    <row r="55" spans="1:8" x14ac:dyDescent="0.2">
      <c r="A55" t="s">
        <v>72</v>
      </c>
      <c r="B55" s="1">
        <v>39614</v>
      </c>
      <c r="C55" s="25">
        <v>57.7</v>
      </c>
      <c r="D55">
        <v>35.1</v>
      </c>
      <c r="E55">
        <v>1300</v>
      </c>
      <c r="F55">
        <f t="shared" si="0"/>
        <v>22.6</v>
      </c>
      <c r="G55" s="22">
        <f t="shared" si="1"/>
        <v>62.176724137931025</v>
      </c>
      <c r="H55" s="10" t="s">
        <v>56</v>
      </c>
    </row>
    <row r="56" spans="1:8" x14ac:dyDescent="0.2">
      <c r="A56" t="s">
        <v>72</v>
      </c>
      <c r="B56" s="1">
        <v>39644</v>
      </c>
      <c r="C56" s="25">
        <v>58.4</v>
      </c>
      <c r="D56">
        <v>33.200000000000003</v>
      </c>
      <c r="E56">
        <v>1300</v>
      </c>
      <c r="F56">
        <f t="shared" si="0"/>
        <v>25.199999999999996</v>
      </c>
      <c r="G56" s="22">
        <f t="shared" si="1"/>
        <v>63.755458515283848</v>
      </c>
      <c r="H56" s="16" t="s">
        <v>53</v>
      </c>
    </row>
    <row r="57" spans="1:8" x14ac:dyDescent="0.2">
      <c r="A57" t="s">
        <v>72</v>
      </c>
      <c r="B57" s="1">
        <v>39675</v>
      </c>
      <c r="C57" s="25">
        <v>58</v>
      </c>
      <c r="D57">
        <v>37.799999999999997</v>
      </c>
      <c r="E57">
        <v>1300</v>
      </c>
      <c r="F57">
        <f t="shared" si="0"/>
        <v>20.200000000000003</v>
      </c>
      <c r="G57" s="22">
        <f t="shared" si="1"/>
        <v>60.5427974947808</v>
      </c>
      <c r="H57" s="16" t="s">
        <v>53</v>
      </c>
    </row>
    <row r="58" spans="1:8" x14ac:dyDescent="0.2">
      <c r="A58" t="s">
        <v>72</v>
      </c>
      <c r="B58" s="1">
        <v>39706</v>
      </c>
      <c r="C58" s="25">
        <v>56.9</v>
      </c>
      <c r="D58">
        <v>36.5</v>
      </c>
      <c r="E58">
        <v>1300</v>
      </c>
      <c r="F58">
        <f t="shared" si="0"/>
        <v>20.399999999999999</v>
      </c>
      <c r="G58" s="22">
        <f t="shared" si="1"/>
        <v>60.920770877944321</v>
      </c>
      <c r="H58" s="16" t="s">
        <v>53</v>
      </c>
    </row>
    <row r="59" spans="1:8" x14ac:dyDescent="0.2">
      <c r="A59" t="s">
        <v>72</v>
      </c>
      <c r="B59" s="1">
        <v>39767</v>
      </c>
      <c r="C59" s="25">
        <v>57.3</v>
      </c>
      <c r="D59">
        <v>35.4</v>
      </c>
      <c r="E59">
        <v>1300</v>
      </c>
      <c r="F59">
        <f t="shared" si="0"/>
        <v>21.9</v>
      </c>
      <c r="G59" s="22">
        <f t="shared" si="1"/>
        <v>61.81229773462784</v>
      </c>
      <c r="H59" s="16" t="s">
        <v>53</v>
      </c>
    </row>
    <row r="60" spans="1:8" x14ac:dyDescent="0.2">
      <c r="A60" t="s">
        <v>72</v>
      </c>
      <c r="B60" s="1">
        <v>39797</v>
      </c>
      <c r="C60" s="25">
        <v>57.9</v>
      </c>
      <c r="D60">
        <v>35.299999999999997</v>
      </c>
      <c r="E60">
        <v>1300</v>
      </c>
      <c r="F60">
        <f t="shared" si="0"/>
        <v>22.6</v>
      </c>
      <c r="G60" s="22">
        <f t="shared" si="1"/>
        <v>62.124463519313309</v>
      </c>
      <c r="H60" s="16" t="s">
        <v>53</v>
      </c>
    </row>
    <row r="61" spans="1:8" x14ac:dyDescent="0.2">
      <c r="A61" t="s">
        <v>72</v>
      </c>
      <c r="B61" s="1">
        <v>39828</v>
      </c>
      <c r="C61" s="25">
        <v>51</v>
      </c>
      <c r="D61">
        <v>47.1</v>
      </c>
      <c r="E61">
        <v>1300</v>
      </c>
      <c r="F61">
        <f t="shared" si="0"/>
        <v>3.8999999999999986</v>
      </c>
      <c r="G61" s="22">
        <f t="shared" si="1"/>
        <v>51.987767584097867</v>
      </c>
      <c r="H61" s="10" t="s">
        <v>56</v>
      </c>
    </row>
    <row r="62" spans="1:8" x14ac:dyDescent="0.2">
      <c r="A62" t="s">
        <v>72</v>
      </c>
      <c r="B62" s="1">
        <v>39859</v>
      </c>
      <c r="C62" s="25">
        <v>53.8</v>
      </c>
      <c r="D62">
        <v>41.1</v>
      </c>
      <c r="E62">
        <v>1300</v>
      </c>
      <c r="F62">
        <f t="shared" si="0"/>
        <v>12.699999999999996</v>
      </c>
      <c r="G62" s="24">
        <f t="shared" si="1"/>
        <v>56.691253951527919</v>
      </c>
      <c r="H62" s="16" t="s">
        <v>53</v>
      </c>
    </row>
    <row r="63" spans="1:8" x14ac:dyDescent="0.2">
      <c r="A63" t="s">
        <v>72</v>
      </c>
      <c r="B63" s="1">
        <v>39872</v>
      </c>
      <c r="C63" s="25">
        <v>61</v>
      </c>
      <c r="D63">
        <v>34.200000000000003</v>
      </c>
      <c r="E63">
        <v>1300</v>
      </c>
      <c r="F63">
        <f t="shared" ref="F63:F103" si="4">C63-D63</f>
        <v>26.799999999999997</v>
      </c>
      <c r="G63" s="24">
        <f t="shared" ref="G63:G103" si="5">(C63/(C63+D63))*100</f>
        <v>64.075630252100837</v>
      </c>
      <c r="H63" s="16"/>
    </row>
    <row r="64" spans="1:8" x14ac:dyDescent="0.2">
      <c r="A64" t="s">
        <v>72</v>
      </c>
      <c r="B64" s="1">
        <v>39887</v>
      </c>
      <c r="C64" s="25">
        <v>59.3</v>
      </c>
      <c r="D64">
        <v>30.6</v>
      </c>
      <c r="E64">
        <v>1300</v>
      </c>
      <c r="F64">
        <f t="shared" si="4"/>
        <v>28.699999999999996</v>
      </c>
      <c r="G64" s="24">
        <f t="shared" si="5"/>
        <v>65.962180200222463</v>
      </c>
      <c r="H64" s="16" t="s">
        <v>53</v>
      </c>
    </row>
    <row r="65" spans="1:9" x14ac:dyDescent="0.2">
      <c r="A65" t="s">
        <v>72</v>
      </c>
      <c r="B65" s="1">
        <v>39918</v>
      </c>
      <c r="C65" s="25">
        <v>55.4</v>
      </c>
      <c r="D65">
        <v>39.5</v>
      </c>
      <c r="E65">
        <v>1300</v>
      </c>
      <c r="F65">
        <f t="shared" si="4"/>
        <v>15.899999999999999</v>
      </c>
      <c r="G65" s="24">
        <f t="shared" si="5"/>
        <v>58.377239199157003</v>
      </c>
      <c r="H65" s="16"/>
    </row>
    <row r="66" spans="1:9" x14ac:dyDescent="0.2">
      <c r="A66" t="s">
        <v>72</v>
      </c>
      <c r="B66" s="1">
        <v>39948</v>
      </c>
      <c r="C66" s="25">
        <v>53.2</v>
      </c>
      <c r="D66">
        <v>41.4</v>
      </c>
      <c r="E66">
        <v>1300</v>
      </c>
      <c r="F66">
        <f t="shared" si="4"/>
        <v>11.800000000000004</v>
      </c>
      <c r="G66" s="24">
        <f t="shared" si="5"/>
        <v>56.236786469344615</v>
      </c>
      <c r="H66" s="16"/>
    </row>
    <row r="67" spans="1:9" x14ac:dyDescent="0.2">
      <c r="A67" t="s">
        <v>72</v>
      </c>
      <c r="B67" s="1">
        <v>39979</v>
      </c>
      <c r="C67" s="25">
        <v>52.3</v>
      </c>
      <c r="D67">
        <v>42</v>
      </c>
      <c r="E67">
        <v>1300</v>
      </c>
      <c r="F67">
        <f t="shared" si="4"/>
        <v>10.299999999999997</v>
      </c>
      <c r="G67" s="24">
        <f t="shared" si="5"/>
        <v>55.461293743372217</v>
      </c>
      <c r="H67" s="16" t="s">
        <v>53</v>
      </c>
    </row>
    <row r="68" spans="1:9" x14ac:dyDescent="0.2">
      <c r="A68" t="s">
        <v>72</v>
      </c>
      <c r="B68" s="1">
        <v>40009</v>
      </c>
      <c r="C68" s="25">
        <v>57.3</v>
      </c>
      <c r="D68">
        <v>38.799999999999997</v>
      </c>
      <c r="E68">
        <v>1300</v>
      </c>
      <c r="F68">
        <f t="shared" si="4"/>
        <v>18.5</v>
      </c>
      <c r="G68" s="24">
        <f t="shared" si="5"/>
        <v>59.625390218522377</v>
      </c>
      <c r="H68" s="16"/>
    </row>
    <row r="69" spans="1:9" x14ac:dyDescent="0.2">
      <c r="A69" t="s">
        <v>72</v>
      </c>
      <c r="B69" s="1">
        <v>40071</v>
      </c>
      <c r="C69" s="25">
        <v>52.8</v>
      </c>
      <c r="D69">
        <v>42.7</v>
      </c>
      <c r="E69">
        <v>1300</v>
      </c>
      <c r="F69">
        <f t="shared" si="4"/>
        <v>10.099999999999994</v>
      </c>
      <c r="G69" s="24">
        <f t="shared" si="5"/>
        <v>55.287958115183244</v>
      </c>
      <c r="H69" s="16" t="s">
        <v>53</v>
      </c>
      <c r="I69" t="s">
        <v>142</v>
      </c>
    </row>
    <row r="70" spans="1:9" x14ac:dyDescent="0.2">
      <c r="A70" t="s">
        <v>72</v>
      </c>
      <c r="B70" s="1">
        <v>40094</v>
      </c>
      <c r="C70" s="25">
        <v>46.2</v>
      </c>
      <c r="D70">
        <v>46.2</v>
      </c>
      <c r="E70">
        <v>1300</v>
      </c>
      <c r="F70">
        <f t="shared" si="4"/>
        <v>0</v>
      </c>
      <c r="G70" s="24">
        <f t="shared" si="5"/>
        <v>50</v>
      </c>
      <c r="H70" s="16" t="s">
        <v>53</v>
      </c>
    </row>
    <row r="71" spans="1:9" x14ac:dyDescent="0.2">
      <c r="A71" t="s">
        <v>72</v>
      </c>
      <c r="B71" s="1">
        <v>40132</v>
      </c>
      <c r="C71" s="25">
        <v>50.8</v>
      </c>
      <c r="D71">
        <v>44.3</v>
      </c>
      <c r="E71">
        <v>1300</v>
      </c>
      <c r="F71">
        <f t="shared" si="4"/>
        <v>6.5</v>
      </c>
      <c r="G71" s="24">
        <f t="shared" si="5"/>
        <v>53.417455310199792</v>
      </c>
      <c r="H71" s="16"/>
    </row>
    <row r="72" spans="1:9" x14ac:dyDescent="0.2">
      <c r="A72" t="s">
        <v>72</v>
      </c>
      <c r="B72" s="1">
        <v>40162</v>
      </c>
      <c r="C72" s="25">
        <v>46.7</v>
      </c>
      <c r="D72">
        <v>44.8</v>
      </c>
      <c r="E72">
        <v>1300</v>
      </c>
      <c r="F72">
        <f t="shared" si="4"/>
        <v>1.9000000000000057</v>
      </c>
      <c r="G72" s="24">
        <f t="shared" si="5"/>
        <v>51.038251366120221</v>
      </c>
      <c r="H72" s="16" t="s">
        <v>53</v>
      </c>
    </row>
    <row r="73" spans="1:9" x14ac:dyDescent="0.2">
      <c r="A73" t="s">
        <v>72</v>
      </c>
      <c r="B73" s="1">
        <v>40224</v>
      </c>
      <c r="C73" s="25">
        <v>42.6</v>
      </c>
      <c r="D73">
        <v>53</v>
      </c>
      <c r="E73">
        <v>1300</v>
      </c>
      <c r="F73">
        <f t="shared" si="4"/>
        <v>-10.399999999999999</v>
      </c>
      <c r="G73" s="24">
        <f t="shared" si="5"/>
        <v>44.560669456066947</v>
      </c>
      <c r="H73" s="16" t="s">
        <v>53</v>
      </c>
    </row>
    <row r="74" spans="1:9" x14ac:dyDescent="0.2">
      <c r="A74" t="s">
        <v>72</v>
      </c>
      <c r="B74" s="1">
        <v>40283</v>
      </c>
      <c r="C74" s="25">
        <v>44.4</v>
      </c>
      <c r="D74">
        <v>51</v>
      </c>
      <c r="E74">
        <v>1300</v>
      </c>
      <c r="F74">
        <f t="shared" si="4"/>
        <v>-6.6000000000000014</v>
      </c>
      <c r="G74" s="24">
        <f t="shared" si="5"/>
        <v>46.540880503144649</v>
      </c>
      <c r="H74" s="16" t="s">
        <v>53</v>
      </c>
    </row>
    <row r="75" spans="1:9" x14ac:dyDescent="0.2">
      <c r="A75" t="s">
        <v>72</v>
      </c>
      <c r="B75" s="1">
        <v>40313</v>
      </c>
      <c r="C75" s="25">
        <v>48</v>
      </c>
      <c r="D75">
        <v>48</v>
      </c>
      <c r="E75">
        <v>1300</v>
      </c>
      <c r="F75">
        <f t="shared" si="4"/>
        <v>0</v>
      </c>
      <c r="G75" s="24">
        <f t="shared" si="5"/>
        <v>50</v>
      </c>
      <c r="H75" s="16" t="s">
        <v>53</v>
      </c>
    </row>
    <row r="76" spans="1:9" x14ac:dyDescent="0.2">
      <c r="A76" t="s">
        <v>72</v>
      </c>
      <c r="B76" s="1">
        <v>40344</v>
      </c>
      <c r="C76" s="25">
        <v>47</v>
      </c>
      <c r="D76">
        <v>50</v>
      </c>
      <c r="E76">
        <v>1300</v>
      </c>
      <c r="F76">
        <f t="shared" si="4"/>
        <v>-3</v>
      </c>
      <c r="G76" s="24">
        <f t="shared" si="5"/>
        <v>48.453608247422679</v>
      </c>
      <c r="H76" s="16" t="s">
        <v>53</v>
      </c>
    </row>
    <row r="77" spans="1:9" x14ac:dyDescent="0.2">
      <c r="A77" t="s">
        <v>72</v>
      </c>
      <c r="B77" s="1">
        <v>40405</v>
      </c>
      <c r="C77" s="25">
        <v>44.7</v>
      </c>
      <c r="D77">
        <v>52</v>
      </c>
      <c r="E77">
        <v>1300</v>
      </c>
      <c r="F77">
        <f t="shared" si="4"/>
        <v>-7.2999999999999972</v>
      </c>
      <c r="G77" s="24">
        <f t="shared" si="5"/>
        <v>46.225439503619441</v>
      </c>
      <c r="H77" s="16" t="s">
        <v>53</v>
      </c>
    </row>
    <row r="78" spans="1:9" x14ac:dyDescent="0.2">
      <c r="A78" t="s">
        <v>72</v>
      </c>
      <c r="B78" s="1">
        <v>40436</v>
      </c>
      <c r="C78" s="25">
        <v>45.3</v>
      </c>
      <c r="D78">
        <v>50.3</v>
      </c>
      <c r="E78">
        <v>1300</v>
      </c>
      <c r="F78">
        <f t="shared" si="4"/>
        <v>-5</v>
      </c>
      <c r="G78" s="24">
        <f t="shared" si="5"/>
        <v>47.384937238493727</v>
      </c>
    </row>
    <row r="79" spans="1:9" x14ac:dyDescent="0.2">
      <c r="A79" t="s">
        <v>72</v>
      </c>
      <c r="B79" s="1">
        <v>40497</v>
      </c>
      <c r="C79" s="25">
        <v>47.7</v>
      </c>
      <c r="D79">
        <v>49.9</v>
      </c>
      <c r="E79">
        <v>1300</v>
      </c>
      <c r="F79">
        <f t="shared" si="4"/>
        <v>-2.1999999999999957</v>
      </c>
      <c r="G79" s="24">
        <f t="shared" si="5"/>
        <v>48.872950819672141</v>
      </c>
    </row>
    <row r="80" spans="1:9" x14ac:dyDescent="0.2">
      <c r="A80" t="s">
        <v>72</v>
      </c>
      <c r="B80" s="1">
        <v>40527</v>
      </c>
      <c r="C80" s="25">
        <v>53.9</v>
      </c>
      <c r="D80">
        <v>44.3</v>
      </c>
      <c r="E80">
        <v>1300</v>
      </c>
      <c r="F80">
        <f t="shared" si="4"/>
        <v>9.6000000000000014</v>
      </c>
      <c r="G80" s="24">
        <f t="shared" si="5"/>
        <v>54.887983706720981</v>
      </c>
    </row>
    <row r="81" spans="1:9" x14ac:dyDescent="0.2">
      <c r="A81" t="s">
        <v>72</v>
      </c>
      <c r="B81" s="1">
        <v>40589</v>
      </c>
      <c r="C81" s="25">
        <v>54.6</v>
      </c>
      <c r="D81">
        <v>41.9</v>
      </c>
      <c r="E81">
        <v>1300</v>
      </c>
      <c r="F81">
        <f t="shared" si="4"/>
        <v>12.700000000000003</v>
      </c>
      <c r="G81" s="24">
        <f t="shared" si="5"/>
        <v>56.580310880829018</v>
      </c>
    </row>
    <row r="82" spans="1:9" x14ac:dyDescent="0.2">
      <c r="A82" t="s">
        <v>72</v>
      </c>
      <c r="B82" s="1">
        <v>40648</v>
      </c>
      <c r="C82" s="25">
        <v>52.4</v>
      </c>
      <c r="D82">
        <v>44.7</v>
      </c>
      <c r="E82">
        <v>1300</v>
      </c>
      <c r="F82">
        <f t="shared" si="4"/>
        <v>7.6999999999999957</v>
      </c>
      <c r="G82" s="24">
        <f t="shared" si="5"/>
        <v>53.964984552008247</v>
      </c>
    </row>
    <row r="83" spans="1:9" x14ac:dyDescent="0.2">
      <c r="A83" t="s">
        <v>72</v>
      </c>
      <c r="B83" s="1">
        <v>40678</v>
      </c>
      <c r="C83" s="25">
        <v>49.3</v>
      </c>
      <c r="D83">
        <v>46.4</v>
      </c>
      <c r="E83">
        <v>1300</v>
      </c>
      <c r="F83">
        <f t="shared" si="4"/>
        <v>2.8999999999999986</v>
      </c>
      <c r="G83" s="24">
        <f t="shared" si="5"/>
        <v>51.515151515151516</v>
      </c>
    </row>
    <row r="84" spans="1:9" x14ac:dyDescent="0.2">
      <c r="A84" t="s">
        <v>72</v>
      </c>
      <c r="B84" s="1">
        <v>40709</v>
      </c>
      <c r="C84" s="25">
        <v>51.9</v>
      </c>
      <c r="D84">
        <v>42.3</v>
      </c>
      <c r="E84">
        <v>1300</v>
      </c>
      <c r="F84">
        <f t="shared" si="4"/>
        <v>9.6000000000000014</v>
      </c>
      <c r="G84" s="24">
        <f t="shared" si="5"/>
        <v>55.095541401273898</v>
      </c>
    </row>
    <row r="85" spans="1:9" x14ac:dyDescent="0.2">
      <c r="A85" t="s">
        <v>72</v>
      </c>
      <c r="B85" s="1">
        <v>40739</v>
      </c>
      <c r="C85" s="25">
        <v>50.4</v>
      </c>
      <c r="D85">
        <v>45.5</v>
      </c>
      <c r="E85">
        <v>1300</v>
      </c>
      <c r="F85">
        <f t="shared" si="4"/>
        <v>4.8999999999999986</v>
      </c>
      <c r="G85" s="24">
        <f t="shared" si="5"/>
        <v>52.554744525547434</v>
      </c>
    </row>
    <row r="86" spans="1:9" x14ac:dyDescent="0.2">
      <c r="A86" t="s">
        <v>72</v>
      </c>
      <c r="B86" s="1">
        <v>40770</v>
      </c>
      <c r="C86" s="25">
        <v>48.6</v>
      </c>
      <c r="D86">
        <v>44.2</v>
      </c>
      <c r="E86">
        <v>1300</v>
      </c>
      <c r="F86">
        <f t="shared" si="4"/>
        <v>4.3999999999999986</v>
      </c>
      <c r="G86" s="24">
        <f t="shared" si="5"/>
        <v>52.370689655172406</v>
      </c>
    </row>
    <row r="87" spans="1:9" x14ac:dyDescent="0.2">
      <c r="A87" t="s">
        <v>72</v>
      </c>
      <c r="B87" s="1">
        <v>40801</v>
      </c>
      <c r="C87" s="25">
        <v>58.9</v>
      </c>
      <c r="D87">
        <v>36.5</v>
      </c>
      <c r="E87">
        <v>1300</v>
      </c>
      <c r="F87">
        <f t="shared" si="4"/>
        <v>22.4</v>
      </c>
      <c r="G87" s="24">
        <f t="shared" si="5"/>
        <v>61.740041928721169</v>
      </c>
    </row>
    <row r="88" spans="1:9" x14ac:dyDescent="0.2">
      <c r="A88" t="s">
        <v>72</v>
      </c>
      <c r="B88" s="1">
        <v>40831</v>
      </c>
      <c r="C88" s="25">
        <v>53.1</v>
      </c>
      <c r="D88">
        <v>42.9</v>
      </c>
      <c r="E88">
        <v>1300</v>
      </c>
      <c r="F88">
        <f t="shared" si="4"/>
        <v>10.200000000000003</v>
      </c>
      <c r="G88" s="24">
        <f t="shared" si="5"/>
        <v>55.3125</v>
      </c>
    </row>
    <row r="89" spans="1:9" x14ac:dyDescent="0.2">
      <c r="A89" t="s">
        <v>72</v>
      </c>
      <c r="B89" s="1">
        <v>40862</v>
      </c>
      <c r="C89" s="25">
        <v>51</v>
      </c>
      <c r="D89">
        <v>44.6</v>
      </c>
      <c r="E89">
        <v>1300</v>
      </c>
      <c r="F89">
        <f t="shared" si="4"/>
        <v>6.3999999999999986</v>
      </c>
      <c r="G89" s="24">
        <f t="shared" si="5"/>
        <v>53.347280334728033</v>
      </c>
      <c r="I89" s="14" t="s">
        <v>160</v>
      </c>
    </row>
    <row r="90" spans="1:9" x14ac:dyDescent="0.2">
      <c r="A90" t="s">
        <v>72</v>
      </c>
      <c r="B90" s="1">
        <v>40877</v>
      </c>
      <c r="C90" s="25">
        <v>52.9</v>
      </c>
      <c r="D90">
        <v>42.8</v>
      </c>
      <c r="E90">
        <v>1300</v>
      </c>
      <c r="F90">
        <f t="shared" si="4"/>
        <v>10.100000000000001</v>
      </c>
      <c r="G90" s="24">
        <f t="shared" si="5"/>
        <v>55.27690700104494</v>
      </c>
    </row>
    <row r="91" spans="1:9" x14ac:dyDescent="0.2">
      <c r="A91" t="s">
        <v>72</v>
      </c>
      <c r="B91" s="1">
        <v>40892</v>
      </c>
      <c r="C91" s="25">
        <v>56</v>
      </c>
      <c r="D91">
        <v>40.5</v>
      </c>
      <c r="E91">
        <v>1300</v>
      </c>
      <c r="F91">
        <f t="shared" si="4"/>
        <v>15.5</v>
      </c>
      <c r="G91" s="24">
        <f t="shared" si="5"/>
        <v>58.031088082901547</v>
      </c>
    </row>
    <row r="92" spans="1:9" x14ac:dyDescent="0.2">
      <c r="A92" t="s">
        <v>72</v>
      </c>
      <c r="B92" s="1">
        <v>40954</v>
      </c>
      <c r="C92" s="25">
        <v>58.8</v>
      </c>
      <c r="D92">
        <v>39</v>
      </c>
      <c r="E92">
        <v>1300</v>
      </c>
      <c r="F92">
        <f t="shared" si="4"/>
        <v>19.799999999999997</v>
      </c>
      <c r="G92" s="24">
        <f t="shared" si="5"/>
        <v>60.122699386503065</v>
      </c>
    </row>
    <row r="93" spans="1:9" x14ac:dyDescent="0.2">
      <c r="A93" t="s">
        <v>72</v>
      </c>
      <c r="B93" s="1">
        <v>40983</v>
      </c>
      <c r="C93" s="25">
        <v>64.7</v>
      </c>
      <c r="D93">
        <v>31.8</v>
      </c>
      <c r="E93">
        <v>1300</v>
      </c>
      <c r="F93">
        <f t="shared" si="4"/>
        <v>32.900000000000006</v>
      </c>
      <c r="G93" s="24">
        <f t="shared" si="5"/>
        <v>67.046632124352328</v>
      </c>
    </row>
    <row r="94" spans="1:9" x14ac:dyDescent="0.2">
      <c r="A94" t="s">
        <v>72</v>
      </c>
      <c r="B94" s="1">
        <v>41014</v>
      </c>
      <c r="C94" s="25">
        <v>65</v>
      </c>
      <c r="D94">
        <v>29.2</v>
      </c>
      <c r="E94">
        <v>1300</v>
      </c>
      <c r="F94">
        <f t="shared" si="4"/>
        <v>35.799999999999997</v>
      </c>
      <c r="G94" s="24">
        <f t="shared" si="5"/>
        <v>69.002123142250525</v>
      </c>
    </row>
    <row r="95" spans="1:9" x14ac:dyDescent="0.2">
      <c r="A95" t="s">
        <v>72</v>
      </c>
      <c r="B95" s="1">
        <v>41075</v>
      </c>
      <c r="C95" s="25">
        <v>62.4</v>
      </c>
      <c r="D95">
        <v>29.4</v>
      </c>
      <c r="E95">
        <v>1300</v>
      </c>
      <c r="F95">
        <f t="shared" si="4"/>
        <v>33</v>
      </c>
      <c r="G95" s="24">
        <f t="shared" si="5"/>
        <v>67.973856209150327</v>
      </c>
    </row>
    <row r="96" spans="1:9" x14ac:dyDescent="0.2">
      <c r="A96" t="s">
        <v>72</v>
      </c>
      <c r="B96" s="1">
        <v>41105</v>
      </c>
      <c r="C96" s="25">
        <v>61.6</v>
      </c>
      <c r="D96">
        <v>32.6</v>
      </c>
      <c r="E96">
        <v>1300</v>
      </c>
      <c r="F96">
        <f t="shared" si="4"/>
        <v>29</v>
      </c>
      <c r="G96" s="24">
        <f t="shared" si="5"/>
        <v>65.392781316348191</v>
      </c>
    </row>
    <row r="97" spans="1:8" x14ac:dyDescent="0.2">
      <c r="A97" t="s">
        <v>72</v>
      </c>
      <c r="B97" s="1">
        <v>41136</v>
      </c>
      <c r="C97" s="10">
        <v>55.8</v>
      </c>
      <c r="D97">
        <v>33.9</v>
      </c>
      <c r="E97">
        <v>1300</v>
      </c>
      <c r="F97">
        <f t="shared" si="4"/>
        <v>21.9</v>
      </c>
      <c r="G97" s="24">
        <f t="shared" si="5"/>
        <v>62.207357859531776</v>
      </c>
    </row>
    <row r="98" spans="1:8" x14ac:dyDescent="0.2">
      <c r="A98" t="s">
        <v>72</v>
      </c>
      <c r="B98" s="1">
        <v>41167</v>
      </c>
      <c r="C98" s="25">
        <v>60.8</v>
      </c>
      <c r="D98">
        <v>32.5</v>
      </c>
      <c r="E98">
        <v>1300</v>
      </c>
      <c r="F98">
        <f t="shared" si="4"/>
        <v>28.299999999999997</v>
      </c>
      <c r="G98" s="24">
        <f t="shared" si="5"/>
        <v>65.166130760986064</v>
      </c>
    </row>
    <row r="99" spans="1:8" x14ac:dyDescent="0.2">
      <c r="A99" t="s">
        <v>72</v>
      </c>
      <c r="B99" s="1">
        <v>41194</v>
      </c>
      <c r="C99" s="25">
        <v>68</v>
      </c>
      <c r="D99">
        <v>27.5</v>
      </c>
      <c r="E99">
        <v>1300</v>
      </c>
      <c r="F99">
        <f t="shared" si="4"/>
        <v>40.5</v>
      </c>
      <c r="G99" s="24">
        <f t="shared" si="5"/>
        <v>71.204188481675388</v>
      </c>
    </row>
    <row r="100" spans="1:8" x14ac:dyDescent="0.2">
      <c r="A100" t="s">
        <v>72</v>
      </c>
      <c r="B100" s="1">
        <v>40983</v>
      </c>
      <c r="C100" s="25">
        <v>59.8</v>
      </c>
      <c r="D100">
        <v>28.7</v>
      </c>
      <c r="E100">
        <v>1300</v>
      </c>
      <c r="F100">
        <f t="shared" si="4"/>
        <v>31.099999999999998</v>
      </c>
      <c r="G100" s="24">
        <f t="shared" si="5"/>
        <v>67.570621468926547</v>
      </c>
    </row>
    <row r="101" spans="1:8" x14ac:dyDescent="0.2">
      <c r="A101" t="s">
        <v>72</v>
      </c>
      <c r="B101" s="1">
        <v>40999</v>
      </c>
      <c r="C101" s="25">
        <v>57.8</v>
      </c>
      <c r="D101">
        <v>32.5</v>
      </c>
      <c r="E101">
        <v>1300</v>
      </c>
      <c r="F101">
        <f t="shared" si="4"/>
        <v>25.299999999999997</v>
      </c>
      <c r="G101" s="24">
        <f t="shared" si="5"/>
        <v>64.008859357696565</v>
      </c>
    </row>
    <row r="102" spans="1:8" x14ac:dyDescent="0.2">
      <c r="A102" t="s">
        <v>72</v>
      </c>
      <c r="B102" s="1">
        <v>41014</v>
      </c>
      <c r="C102" s="25">
        <v>71.599999999999994</v>
      </c>
      <c r="D102">
        <v>22.5</v>
      </c>
      <c r="E102">
        <v>1300</v>
      </c>
      <c r="F102">
        <f t="shared" si="4"/>
        <v>49.099999999999994</v>
      </c>
      <c r="G102" s="24">
        <f t="shared" si="5"/>
        <v>76.089266737513285</v>
      </c>
      <c r="H102" s="14" t="s">
        <v>233</v>
      </c>
    </row>
    <row r="103" spans="1:8" x14ac:dyDescent="0.2">
      <c r="A103" t="s">
        <v>72</v>
      </c>
      <c r="B103" s="1">
        <v>41320</v>
      </c>
      <c r="C103" s="25">
        <v>49.4</v>
      </c>
      <c r="D103">
        <v>34.5</v>
      </c>
      <c r="E103">
        <v>1294</v>
      </c>
      <c r="F103">
        <f t="shared" si="4"/>
        <v>14.899999999999999</v>
      </c>
      <c r="G103" s="24">
        <f t="shared" si="5"/>
        <v>58.879618593563762</v>
      </c>
      <c r="H103" t="s">
        <v>233</v>
      </c>
    </row>
    <row r="104" spans="1:8" x14ac:dyDescent="0.2">
      <c r="A104" t="s">
        <v>72</v>
      </c>
      <c r="B104" s="1">
        <v>41348</v>
      </c>
      <c r="C104" s="25">
        <v>44.7</v>
      </c>
      <c r="D104">
        <v>43.2</v>
      </c>
      <c r="E104">
        <v>1300</v>
      </c>
      <c r="F104">
        <f t="shared" ref="F104:F106" si="6">C104-D104</f>
        <v>1.5</v>
      </c>
      <c r="G104" s="24">
        <f t="shared" ref="G104:G106" si="7">(C104/(C104+D104))*100</f>
        <v>50.853242320819113</v>
      </c>
      <c r="H104" t="s">
        <v>233</v>
      </c>
    </row>
    <row r="105" spans="1:8" x14ac:dyDescent="0.2">
      <c r="A105" t="s">
        <v>72</v>
      </c>
      <c r="B105" s="1">
        <v>41379</v>
      </c>
      <c r="C105" s="25">
        <v>55.2</v>
      </c>
      <c r="D105">
        <v>34.299999999999997</v>
      </c>
      <c r="E105">
        <v>1289</v>
      </c>
      <c r="F105">
        <f t="shared" si="6"/>
        <v>20.900000000000006</v>
      </c>
      <c r="G105" s="24">
        <f t="shared" si="7"/>
        <v>61.675977653631286</v>
      </c>
      <c r="H105" t="s">
        <v>233</v>
      </c>
    </row>
    <row r="106" spans="1:8" x14ac:dyDescent="0.2">
      <c r="A106" t="s">
        <v>72</v>
      </c>
      <c r="B106" s="1">
        <v>41394</v>
      </c>
      <c r="C106" s="25">
        <v>48.3</v>
      </c>
      <c r="D106">
        <v>40.4</v>
      </c>
      <c r="E106">
        <v>800</v>
      </c>
      <c r="F106">
        <f t="shared" si="6"/>
        <v>7.8999999999999986</v>
      </c>
      <c r="G106" s="24">
        <f t="shared" si="7"/>
        <v>54.453213077790309</v>
      </c>
      <c r="H106" t="s">
        <v>233</v>
      </c>
    </row>
    <row r="107" spans="1:8" x14ac:dyDescent="0.2">
      <c r="A107" t="s">
        <v>72</v>
      </c>
      <c r="B107" s="1">
        <v>41409</v>
      </c>
      <c r="C107">
        <v>50.6</v>
      </c>
      <c r="D107">
        <v>43.4</v>
      </c>
      <c r="E107">
        <v>1300</v>
      </c>
      <c r="F107">
        <f t="shared" ref="F107:F123" si="8">C107-D107</f>
        <v>7.2000000000000028</v>
      </c>
      <c r="G107" s="24">
        <f t="shared" ref="G107:G123" si="9">(C107/(C107+D107))*100</f>
        <v>53.829787234042556</v>
      </c>
      <c r="H107" t="s">
        <v>215</v>
      </c>
    </row>
    <row r="108" spans="1:8" x14ac:dyDescent="0.2">
      <c r="A108" t="s">
        <v>72</v>
      </c>
      <c r="B108" s="1">
        <v>41440</v>
      </c>
      <c r="C108">
        <v>48.8</v>
      </c>
      <c r="D108">
        <v>47.8</v>
      </c>
      <c r="E108">
        <v>1300</v>
      </c>
      <c r="F108">
        <f t="shared" si="8"/>
        <v>1</v>
      </c>
      <c r="G108" s="24">
        <f t="shared" si="9"/>
        <v>50.5175983436853</v>
      </c>
      <c r="H108" t="s">
        <v>215</v>
      </c>
    </row>
    <row r="109" spans="1:8" x14ac:dyDescent="0.2">
      <c r="A109" t="s">
        <v>72</v>
      </c>
      <c r="B109" s="1">
        <v>41470</v>
      </c>
      <c r="C109">
        <v>48</v>
      </c>
      <c r="D109">
        <v>47.9</v>
      </c>
      <c r="E109">
        <v>1300</v>
      </c>
      <c r="F109">
        <f t="shared" si="8"/>
        <v>0.10000000000000142</v>
      </c>
      <c r="G109" s="24">
        <f t="shared" si="9"/>
        <v>50.052137643378515</v>
      </c>
      <c r="H109" t="s">
        <v>215</v>
      </c>
    </row>
    <row r="110" spans="1:8" x14ac:dyDescent="0.2">
      <c r="A110" t="s">
        <v>72</v>
      </c>
      <c r="B110" s="1">
        <v>41501</v>
      </c>
      <c r="C110">
        <v>46.7</v>
      </c>
      <c r="D110">
        <v>49</v>
      </c>
      <c r="E110">
        <v>1300</v>
      </c>
      <c r="F110">
        <f t="shared" si="8"/>
        <v>-2.2999999999999972</v>
      </c>
      <c r="G110" s="24">
        <f t="shared" si="9"/>
        <v>48.798328108672941</v>
      </c>
      <c r="H110" t="s">
        <v>215</v>
      </c>
    </row>
    <row r="111" spans="1:8" x14ac:dyDescent="0.2">
      <c r="A111" t="s">
        <v>72</v>
      </c>
      <c r="B111" s="1">
        <v>41532</v>
      </c>
      <c r="C111">
        <v>40.9</v>
      </c>
      <c r="D111">
        <v>54.9</v>
      </c>
      <c r="E111">
        <v>1300</v>
      </c>
      <c r="F111">
        <f t="shared" si="8"/>
        <v>-14</v>
      </c>
      <c r="G111" s="24">
        <f t="shared" si="9"/>
        <v>42.693110647181626</v>
      </c>
      <c r="H111" t="s">
        <v>215</v>
      </c>
    </row>
    <row r="112" spans="1:8" x14ac:dyDescent="0.2">
      <c r="A112" t="s">
        <v>72</v>
      </c>
      <c r="B112" s="1">
        <v>41593</v>
      </c>
      <c r="C112">
        <v>50.4</v>
      </c>
      <c r="D112">
        <v>44.6</v>
      </c>
      <c r="E112">
        <v>1298</v>
      </c>
      <c r="F112">
        <f t="shared" si="8"/>
        <v>5.7999999999999972</v>
      </c>
      <c r="G112" s="24">
        <f t="shared" si="9"/>
        <v>53.052631578947363</v>
      </c>
      <c r="H112" t="s">
        <v>215</v>
      </c>
    </row>
    <row r="113" spans="1:8" x14ac:dyDescent="0.2">
      <c r="A113" t="s">
        <v>72</v>
      </c>
      <c r="B113" s="1">
        <v>41685</v>
      </c>
      <c r="C113">
        <v>46.8</v>
      </c>
      <c r="D113">
        <v>49.8</v>
      </c>
      <c r="E113">
        <v>1300</v>
      </c>
      <c r="F113">
        <f t="shared" si="8"/>
        <v>-3</v>
      </c>
      <c r="G113" s="24">
        <f t="shared" si="9"/>
        <v>48.447204968944099</v>
      </c>
      <c r="H113" t="s">
        <v>215</v>
      </c>
    </row>
    <row r="114" spans="1:8" x14ac:dyDescent="0.2">
      <c r="A114" t="s">
        <v>72</v>
      </c>
      <c r="B114" s="1">
        <v>41713</v>
      </c>
      <c r="C114">
        <v>41.5</v>
      </c>
      <c r="D114">
        <v>55.6</v>
      </c>
      <c r="E114">
        <v>1300</v>
      </c>
      <c r="F114">
        <f t="shared" si="8"/>
        <v>-14.100000000000001</v>
      </c>
      <c r="G114" s="24">
        <f t="shared" si="9"/>
        <v>42.739443872296604</v>
      </c>
      <c r="H114" t="s">
        <v>215</v>
      </c>
    </row>
    <row r="115" spans="1:8" x14ac:dyDescent="0.2">
      <c r="A115" t="s">
        <v>72</v>
      </c>
      <c r="B115" s="1">
        <v>41744</v>
      </c>
      <c r="C115">
        <v>37</v>
      </c>
      <c r="D115">
        <v>59.2</v>
      </c>
      <c r="E115">
        <v>1300</v>
      </c>
      <c r="F115">
        <f t="shared" si="8"/>
        <v>-22.200000000000003</v>
      </c>
      <c r="G115" s="24">
        <f t="shared" si="9"/>
        <v>38.46153846153846</v>
      </c>
      <c r="H115" t="s">
        <v>215</v>
      </c>
    </row>
    <row r="116" spans="1:8" x14ac:dyDescent="0.2">
      <c r="A116" t="s">
        <v>72</v>
      </c>
      <c r="B116" s="1">
        <v>41774</v>
      </c>
      <c r="C116">
        <v>38.9</v>
      </c>
      <c r="D116">
        <v>58.6</v>
      </c>
      <c r="E116">
        <v>1300</v>
      </c>
      <c r="F116">
        <f t="shared" si="8"/>
        <v>-19.700000000000003</v>
      </c>
      <c r="G116" s="24">
        <f t="shared" si="9"/>
        <v>39.897435897435898</v>
      </c>
      <c r="H116" t="s">
        <v>215</v>
      </c>
    </row>
    <row r="117" spans="1:8" x14ac:dyDescent="0.2">
      <c r="A117" t="s">
        <v>72</v>
      </c>
      <c r="B117" s="1">
        <v>41805</v>
      </c>
      <c r="C117">
        <v>37</v>
      </c>
      <c r="E117">
        <v>1300</v>
      </c>
      <c r="G117" s="24"/>
      <c r="H117" t="s">
        <v>231</v>
      </c>
    </row>
    <row r="118" spans="1:8" x14ac:dyDescent="0.2">
      <c r="A118" t="s">
        <v>72</v>
      </c>
      <c r="B118" s="1">
        <v>41846</v>
      </c>
      <c r="C118">
        <v>35.4</v>
      </c>
      <c r="D118">
        <v>62.3</v>
      </c>
      <c r="E118" s="28">
        <v>1298</v>
      </c>
      <c r="F118">
        <f t="shared" si="8"/>
        <v>-26.9</v>
      </c>
      <c r="G118" s="24">
        <f t="shared" si="9"/>
        <v>36.233367451381781</v>
      </c>
      <c r="H118" t="s">
        <v>215</v>
      </c>
    </row>
    <row r="119" spans="1:8" x14ac:dyDescent="0.2">
      <c r="A119" t="s">
        <v>72</v>
      </c>
      <c r="B119" s="1">
        <v>41912</v>
      </c>
      <c r="C119">
        <v>30.2</v>
      </c>
      <c r="D119">
        <v>67.5</v>
      </c>
      <c r="E119" s="28">
        <v>1293</v>
      </c>
      <c r="F119">
        <f t="shared" si="8"/>
        <v>-37.299999999999997</v>
      </c>
      <c r="G119" s="24">
        <f t="shared" si="9"/>
        <v>30.910951893551687</v>
      </c>
      <c r="H119" t="s">
        <v>215</v>
      </c>
    </row>
    <row r="120" spans="1:8" x14ac:dyDescent="0.2">
      <c r="A120" t="s">
        <v>72</v>
      </c>
      <c r="B120" s="1">
        <v>41927</v>
      </c>
      <c r="C120">
        <v>24.5</v>
      </c>
      <c r="D120">
        <v>72.2</v>
      </c>
      <c r="E120" s="28">
        <v>1293</v>
      </c>
      <c r="F120">
        <f t="shared" si="8"/>
        <v>-47.7</v>
      </c>
      <c r="G120" s="24">
        <f t="shared" si="9"/>
        <v>25.336091003102378</v>
      </c>
      <c r="H120" t="s">
        <v>215</v>
      </c>
    </row>
    <row r="121" spans="1:8" x14ac:dyDescent="0.2">
      <c r="A121" t="s">
        <v>72</v>
      </c>
      <c r="B121" s="1">
        <v>41958</v>
      </c>
      <c r="C121">
        <v>22.8</v>
      </c>
      <c r="D121">
        <v>74</v>
      </c>
      <c r="E121" s="28">
        <v>1300</v>
      </c>
      <c r="F121">
        <f t="shared" si="8"/>
        <v>-51.2</v>
      </c>
      <c r="G121" s="24">
        <f t="shared" si="9"/>
        <v>23.553719008264466</v>
      </c>
      <c r="H121" t="s">
        <v>215</v>
      </c>
    </row>
    <row r="122" spans="1:8" x14ac:dyDescent="0.2">
      <c r="A122" t="s">
        <v>72</v>
      </c>
      <c r="B122" s="1">
        <v>42019</v>
      </c>
      <c r="C122">
        <v>22</v>
      </c>
      <c r="E122">
        <v>1300</v>
      </c>
      <c r="G122" s="24"/>
      <c r="H122" t="s">
        <v>231</v>
      </c>
    </row>
    <row r="123" spans="1:8" x14ac:dyDescent="0.2">
      <c r="A123" t="s">
        <v>72</v>
      </c>
      <c r="B123" s="1">
        <v>42050</v>
      </c>
      <c r="C123">
        <v>23.3</v>
      </c>
      <c r="D123">
        <v>72.7</v>
      </c>
      <c r="E123" s="28">
        <v>1300</v>
      </c>
      <c r="F123">
        <f t="shared" si="8"/>
        <v>-49.400000000000006</v>
      </c>
      <c r="G123" s="24">
        <f t="shared" si="9"/>
        <v>24.270833333333332</v>
      </c>
      <c r="H123" t="s">
        <v>215</v>
      </c>
    </row>
    <row r="124" spans="1:8" x14ac:dyDescent="0.2">
      <c r="A124" t="s">
        <v>72</v>
      </c>
      <c r="B124" s="1">
        <v>42089</v>
      </c>
      <c r="C124">
        <v>28.2</v>
      </c>
      <c r="E124" s="28"/>
      <c r="G124" s="24"/>
      <c r="H124" t="s">
        <v>216</v>
      </c>
    </row>
    <row r="125" spans="1:8" x14ac:dyDescent="0.2">
      <c r="A125" t="s">
        <v>72</v>
      </c>
      <c r="B125" s="1">
        <v>42109</v>
      </c>
      <c r="C125">
        <v>28</v>
      </c>
      <c r="E125" s="18"/>
      <c r="G125" s="24"/>
      <c r="H125" t="s">
        <v>217</v>
      </c>
    </row>
    <row r="126" spans="1:8" x14ac:dyDescent="0.2">
      <c r="A126" t="s">
        <v>72</v>
      </c>
      <c r="B126" s="1">
        <v>42154</v>
      </c>
      <c r="C126">
        <v>25.8</v>
      </c>
      <c r="E126" s="28">
        <v>1000</v>
      </c>
      <c r="G126" s="24"/>
      <c r="H126" t="s">
        <v>217</v>
      </c>
    </row>
    <row r="127" spans="1:8" x14ac:dyDescent="0.2">
      <c r="A127" t="s">
        <v>72</v>
      </c>
      <c r="B127" s="1">
        <v>42170</v>
      </c>
      <c r="C127">
        <v>24</v>
      </c>
      <c r="E127" s="28"/>
      <c r="G127" s="24"/>
      <c r="H127" t="s">
        <v>231</v>
      </c>
    </row>
    <row r="128" spans="1:8" x14ac:dyDescent="0.2">
      <c r="A128" t="s">
        <v>72</v>
      </c>
      <c r="B128" s="1">
        <v>42208</v>
      </c>
      <c r="C128">
        <v>24.3</v>
      </c>
      <c r="D128">
        <v>70.400000000000006</v>
      </c>
      <c r="E128" s="28"/>
      <c r="F128">
        <f t="shared" ref="F128" si="10">C128-D128</f>
        <v>-46.100000000000009</v>
      </c>
      <c r="G128" s="24">
        <f t="shared" ref="G128" si="11">(C128/(C128+D128))*100</f>
        <v>25.659978880675823</v>
      </c>
      <c r="H128" t="s">
        <v>218</v>
      </c>
    </row>
    <row r="129" spans="1:10" x14ac:dyDescent="0.2">
      <c r="A129" t="s">
        <v>72</v>
      </c>
      <c r="B129" s="1">
        <v>42231</v>
      </c>
      <c r="C129">
        <v>24</v>
      </c>
      <c r="E129" s="28"/>
      <c r="G129" s="24"/>
      <c r="H129" t="s">
        <v>231</v>
      </c>
    </row>
    <row r="130" spans="1:10" x14ac:dyDescent="0.2">
      <c r="A130" t="s">
        <v>72</v>
      </c>
      <c r="B130" s="1">
        <v>42323</v>
      </c>
      <c r="C130" s="25">
        <v>32</v>
      </c>
      <c r="G130" s="24"/>
      <c r="H130" t="s">
        <v>225</v>
      </c>
    </row>
    <row r="131" spans="1:10" x14ac:dyDescent="0.2">
      <c r="B131" s="1"/>
      <c r="C131" s="25"/>
      <c r="G131" s="24"/>
    </row>
    <row r="132" spans="1:10" x14ac:dyDescent="0.2">
      <c r="B132" s="1"/>
      <c r="C132" s="25"/>
    </row>
    <row r="135" spans="1:10" x14ac:dyDescent="0.2">
      <c r="A135" s="26" t="s">
        <v>200</v>
      </c>
      <c r="B135" s="10" t="s">
        <v>201</v>
      </c>
      <c r="C135" s="10" t="s">
        <v>202</v>
      </c>
      <c r="D135" s="10" t="s">
        <v>159</v>
      </c>
      <c r="E135" s="10" t="s">
        <v>203</v>
      </c>
      <c r="F135" s="10" t="s">
        <v>210</v>
      </c>
      <c r="G135" s="10" t="s">
        <v>118</v>
      </c>
      <c r="H135" s="10" t="s">
        <v>204</v>
      </c>
      <c r="I135" s="10" t="s">
        <v>205</v>
      </c>
      <c r="J135" s="16" t="s">
        <v>188</v>
      </c>
    </row>
    <row r="136" spans="1:10" x14ac:dyDescent="0.2">
      <c r="A136" s="10" t="s">
        <v>209</v>
      </c>
      <c r="B136" s="1">
        <v>33637</v>
      </c>
      <c r="C136">
        <v>30.5</v>
      </c>
      <c r="D136">
        <v>51</v>
      </c>
      <c r="E136">
        <v>22.25</v>
      </c>
      <c r="F136">
        <v>2.25</v>
      </c>
      <c r="G136">
        <v>400</v>
      </c>
      <c r="H136">
        <f>C136-E136</f>
        <v>8.25</v>
      </c>
      <c r="I136" s="24">
        <f>(C136/(C136+E136))*100</f>
        <v>57.81990521327014</v>
      </c>
      <c r="J136" s="16" t="s">
        <v>189</v>
      </c>
    </row>
    <row r="137" spans="1:10" x14ac:dyDescent="0.2">
      <c r="A137" s="10" t="s">
        <v>209</v>
      </c>
      <c r="B137" s="1">
        <v>33752</v>
      </c>
      <c r="C137">
        <v>26.75</v>
      </c>
      <c r="D137">
        <v>48.8</v>
      </c>
      <c r="E137">
        <v>27.25</v>
      </c>
      <c r="F137">
        <v>4</v>
      </c>
      <c r="G137">
        <v>400</v>
      </c>
      <c r="H137">
        <f>C137-E137</f>
        <v>-0.5</v>
      </c>
      <c r="I137" s="24">
        <f>(C137/(C137+E137))*100</f>
        <v>49.537037037037038</v>
      </c>
    </row>
    <row r="138" spans="1:10" x14ac:dyDescent="0.2">
      <c r="A138" s="10" t="s">
        <v>209</v>
      </c>
      <c r="B138" s="1">
        <v>33844</v>
      </c>
      <c r="C138">
        <v>23.75</v>
      </c>
      <c r="D138">
        <v>52.8</v>
      </c>
      <c r="E138">
        <v>28.75</v>
      </c>
      <c r="F138">
        <v>2.75</v>
      </c>
      <c r="G138">
        <v>400</v>
      </c>
      <c r="H138">
        <f>C138-E138</f>
        <v>-5</v>
      </c>
      <c r="I138" s="24">
        <f>(C138/(C138+E138))*100</f>
        <v>45.238095238095241</v>
      </c>
    </row>
    <row r="139" spans="1:10" x14ac:dyDescent="0.2">
      <c r="A139" s="10" t="s">
        <v>209</v>
      </c>
      <c r="B139" s="1">
        <v>33910</v>
      </c>
      <c r="C139">
        <v>24.75</v>
      </c>
      <c r="D139">
        <v>48.5</v>
      </c>
      <c r="E139">
        <v>35</v>
      </c>
      <c r="F139">
        <v>1.5</v>
      </c>
      <c r="G139">
        <v>402</v>
      </c>
      <c r="H139">
        <f>C139-E139</f>
        <v>-10.25</v>
      </c>
      <c r="I139" s="24">
        <f>(C139/(C139+E139))*100</f>
        <v>41.422594142259413</v>
      </c>
    </row>
  </sheetData>
  <phoneticPr fontId="0" type="noConversion"/>
  <hyperlinks>
    <hyperlink ref="I89" r:id="rId1"/>
    <hyperlink ref="I17" r:id="rId2"/>
    <hyperlink ref="H102" r:id="rId3"/>
  </hyperlinks>
  <pageMargins left="0.75" right="0.7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6"/>
  <sheetViews>
    <sheetView workbookViewId="0">
      <selection activeCell="H2" sqref="H2"/>
    </sheetView>
  </sheetViews>
  <sheetFormatPr defaultColWidth="8.7109375" defaultRowHeight="12.75" x14ac:dyDescent="0.2"/>
  <cols>
    <col min="2" max="2" width="11.140625" customWidth="1"/>
  </cols>
  <sheetData>
    <row r="1" spans="1:11" x14ac:dyDescent="0.2">
      <c r="A1" s="10" t="s">
        <v>200</v>
      </c>
      <c r="B1" s="10" t="s">
        <v>201</v>
      </c>
      <c r="C1" s="10" t="s">
        <v>202</v>
      </c>
      <c r="D1" s="18" t="s">
        <v>203</v>
      </c>
      <c r="E1" t="s">
        <v>128</v>
      </c>
      <c r="F1" t="s">
        <v>129</v>
      </c>
      <c r="G1" s="10" t="s">
        <v>118</v>
      </c>
      <c r="H1" s="10" t="s">
        <v>208</v>
      </c>
      <c r="I1" s="16" t="s">
        <v>198</v>
      </c>
      <c r="K1" s="10" t="s">
        <v>196</v>
      </c>
    </row>
    <row r="2" spans="1:11" x14ac:dyDescent="0.2">
      <c r="A2" s="10" t="s">
        <v>195</v>
      </c>
      <c r="B2" s="1">
        <v>41451</v>
      </c>
      <c r="C2">
        <v>56.2</v>
      </c>
      <c r="G2">
        <v>1600</v>
      </c>
      <c r="H2" t="s">
        <v>197</v>
      </c>
    </row>
    <row r="3" spans="1:11" x14ac:dyDescent="0.2">
      <c r="A3" s="10" t="s">
        <v>195</v>
      </c>
      <c r="B3" s="1">
        <v>41475</v>
      </c>
      <c r="C3">
        <v>65</v>
      </c>
      <c r="G3">
        <v>1600</v>
      </c>
    </row>
    <row r="4" spans="1:11" x14ac:dyDescent="0.2">
      <c r="A4" s="10" t="s">
        <v>195</v>
      </c>
      <c r="B4" s="1">
        <v>41714</v>
      </c>
      <c r="C4">
        <v>63.3</v>
      </c>
      <c r="G4">
        <v>1400</v>
      </c>
      <c r="H4" t="s">
        <v>271</v>
      </c>
    </row>
    <row r="5" spans="1:11" x14ac:dyDescent="0.2">
      <c r="A5" s="10" t="s">
        <v>195</v>
      </c>
      <c r="B5" s="1">
        <v>41798</v>
      </c>
      <c r="C5">
        <v>61.6</v>
      </c>
      <c r="D5">
        <v>36</v>
      </c>
      <c r="E5">
        <f>C5-D5</f>
        <v>25.6</v>
      </c>
      <c r="F5" s="24">
        <f>(C5/(C5+D5))*100</f>
        <v>63.114754098360656</v>
      </c>
      <c r="G5">
        <v>1400</v>
      </c>
      <c r="H5" t="s">
        <v>270</v>
      </c>
    </row>
    <row r="6" spans="1:11" x14ac:dyDescent="0.2">
      <c r="A6" s="10" t="s">
        <v>195</v>
      </c>
      <c r="B6" s="1">
        <v>41938</v>
      </c>
      <c r="C6">
        <v>53.2</v>
      </c>
      <c r="D6">
        <v>41.13</v>
      </c>
      <c r="E6">
        <f>C6-D6</f>
        <v>12.07</v>
      </c>
      <c r="F6" s="24">
        <f>(C6/(C6+D6))*100</f>
        <v>56.397752570762215</v>
      </c>
      <c r="G6">
        <v>1378</v>
      </c>
      <c r="H6" t="s">
        <v>226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5"/>
  <sheetViews>
    <sheetView workbookViewId="0"/>
  </sheetViews>
  <sheetFormatPr defaultColWidth="8.7109375" defaultRowHeight="12.75" x14ac:dyDescent="0.2"/>
  <cols>
    <col min="1" max="1" width="13.7109375" customWidth="1"/>
    <col min="2" max="2" width="16.42578125" customWidth="1"/>
    <col min="9" max="9" width="31.42578125" customWidth="1"/>
  </cols>
  <sheetData>
    <row r="1" spans="1:10" x14ac:dyDescent="0.2">
      <c r="A1" s="10" t="s">
        <v>200</v>
      </c>
      <c r="B1" s="10" t="s">
        <v>201</v>
      </c>
      <c r="C1" s="10" t="s">
        <v>202</v>
      </c>
      <c r="D1" s="10" t="s">
        <v>203</v>
      </c>
      <c r="E1" s="10" t="s">
        <v>118</v>
      </c>
      <c r="F1" s="10" t="s">
        <v>204</v>
      </c>
      <c r="G1" s="10" t="s">
        <v>205</v>
      </c>
      <c r="I1" s="16" t="s">
        <v>171</v>
      </c>
      <c r="J1" s="16" t="s">
        <v>172</v>
      </c>
    </row>
    <row r="2" spans="1:10" x14ac:dyDescent="0.2">
      <c r="A2" s="10" t="s">
        <v>211</v>
      </c>
      <c r="B2" s="1">
        <v>41394</v>
      </c>
      <c r="C2">
        <v>38</v>
      </c>
      <c r="D2">
        <v>57</v>
      </c>
      <c r="E2">
        <v>1000</v>
      </c>
      <c r="F2">
        <f>C2-D2</f>
        <v>-19</v>
      </c>
      <c r="G2" s="24">
        <f>(C2/(C2+D2))*100</f>
        <v>40</v>
      </c>
    </row>
    <row r="3" spans="1:10" x14ac:dyDescent="0.2">
      <c r="A3" s="10" t="s">
        <v>211</v>
      </c>
      <c r="B3" s="1">
        <v>41424</v>
      </c>
      <c r="C3">
        <v>38</v>
      </c>
      <c r="D3">
        <v>52</v>
      </c>
      <c r="E3">
        <v>1000</v>
      </c>
      <c r="F3">
        <f>C3-D3</f>
        <v>-14</v>
      </c>
      <c r="G3" s="24">
        <f>(C3/(C3+D3))*100</f>
        <v>42.222222222222221</v>
      </c>
    </row>
    <row r="4" spans="1:10" x14ac:dyDescent="0.2">
      <c r="A4" s="10" t="s">
        <v>211</v>
      </c>
      <c r="B4" s="1">
        <v>41455</v>
      </c>
      <c r="C4">
        <v>38.909999999999997</v>
      </c>
      <c r="D4">
        <v>52.24</v>
      </c>
      <c r="E4">
        <v>1000</v>
      </c>
      <c r="F4">
        <f>C4-D4</f>
        <v>-13.330000000000005</v>
      </c>
      <c r="G4" s="24">
        <f>(C4/(C4+D4))*100</f>
        <v>42.687877125617106</v>
      </c>
    </row>
    <row r="5" spans="1:10" x14ac:dyDescent="0.2">
      <c r="A5" s="10" t="s">
        <v>211</v>
      </c>
      <c r="B5" s="1">
        <v>41485</v>
      </c>
      <c r="C5">
        <v>39.270000000000003</v>
      </c>
      <c r="D5">
        <v>49.84</v>
      </c>
      <c r="E5">
        <v>1000</v>
      </c>
      <c r="F5">
        <f>C5-D5</f>
        <v>-10.57</v>
      </c>
      <c r="G5" s="24">
        <f>(C5/(C5+D5))*100</f>
        <v>44.069128043990567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"/>
  <sheetViews>
    <sheetView workbookViewId="0">
      <selection activeCell="D1" sqref="D1"/>
    </sheetView>
  </sheetViews>
  <sheetFormatPr defaultColWidth="8.7109375" defaultRowHeight="12.75" x14ac:dyDescent="0.2"/>
  <cols>
    <col min="2" max="2" width="10.140625" bestFit="1" customWidth="1"/>
  </cols>
  <sheetData>
    <row r="1" spans="1:19" x14ac:dyDescent="0.2">
      <c r="A1" s="10" t="s">
        <v>200</v>
      </c>
      <c r="B1" s="10" t="s">
        <v>201</v>
      </c>
      <c r="C1" s="10" t="s">
        <v>202</v>
      </c>
      <c r="D1" t="s">
        <v>98</v>
      </c>
      <c r="E1" s="10" t="s">
        <v>203</v>
      </c>
      <c r="F1" t="s">
        <v>100</v>
      </c>
      <c r="G1" t="s">
        <v>118</v>
      </c>
      <c r="H1" t="s">
        <v>121</v>
      </c>
      <c r="I1" t="s">
        <v>122</v>
      </c>
      <c r="J1" s="16" t="s">
        <v>101</v>
      </c>
      <c r="K1" s="16"/>
      <c r="L1" s="16"/>
      <c r="M1" s="16"/>
      <c r="N1" s="16"/>
      <c r="O1" s="16"/>
      <c r="P1" s="16" t="s">
        <v>97</v>
      </c>
      <c r="Q1" s="16" t="s">
        <v>98</v>
      </c>
      <c r="R1" s="16" t="s">
        <v>99</v>
      </c>
      <c r="S1" s="16" t="s">
        <v>100</v>
      </c>
    </row>
    <row r="2" spans="1:19" x14ac:dyDescent="0.2">
      <c r="A2" t="s">
        <v>96</v>
      </c>
      <c r="B2" s="1">
        <v>38317</v>
      </c>
      <c r="C2">
        <v>29</v>
      </c>
      <c r="D2">
        <v>35</v>
      </c>
      <c r="E2">
        <v>34</v>
      </c>
      <c r="F2">
        <v>2</v>
      </c>
      <c r="G2">
        <v>403</v>
      </c>
      <c r="H2">
        <f>C2-E2</f>
        <v>-5</v>
      </c>
      <c r="I2" s="20">
        <f>(C2/(C2+E2))*100</f>
        <v>46.031746031746032</v>
      </c>
    </row>
  </sheetData>
  <phoneticPr fontId="1" type="noConversion"/>
  <pageMargins left="0.75" right="0.75" top="1" bottom="1" header="0.5" footer="0.5"/>
  <pageSetup paperSize="0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4"/>
  <sheetViews>
    <sheetView workbookViewId="0">
      <selection activeCell="I1" sqref="I1"/>
    </sheetView>
  </sheetViews>
  <sheetFormatPr defaultColWidth="8.7109375" defaultRowHeight="12.75" x14ac:dyDescent="0.2"/>
  <cols>
    <col min="1" max="1" width="10.140625" bestFit="1" customWidth="1"/>
    <col min="2" max="2" width="10.42578125" customWidth="1"/>
    <col min="3" max="3" width="13" customWidth="1"/>
    <col min="4" max="4" width="7.42578125" customWidth="1"/>
    <col min="5" max="5" width="13.7109375" customWidth="1"/>
  </cols>
  <sheetData>
    <row r="1" spans="1:13" x14ac:dyDescent="0.2">
      <c r="A1" s="10" t="s">
        <v>200</v>
      </c>
      <c r="B1" s="10" t="s">
        <v>201</v>
      </c>
      <c r="C1" s="10" t="s">
        <v>202</v>
      </c>
      <c r="D1" t="s">
        <v>143</v>
      </c>
      <c r="E1" s="10" t="s">
        <v>203</v>
      </c>
      <c r="F1" t="s">
        <v>118</v>
      </c>
      <c r="G1" t="s">
        <v>121</v>
      </c>
      <c r="H1" t="s">
        <v>122</v>
      </c>
      <c r="I1" t="s">
        <v>208</v>
      </c>
      <c r="J1" s="16" t="s">
        <v>110</v>
      </c>
      <c r="K1" s="16" t="s">
        <v>143</v>
      </c>
      <c r="L1" s="16" t="s">
        <v>111</v>
      </c>
    </row>
    <row r="2" spans="1:13" x14ac:dyDescent="0.2">
      <c r="A2" t="s">
        <v>79</v>
      </c>
      <c r="B2" s="1">
        <v>36234</v>
      </c>
      <c r="C2">
        <v>84</v>
      </c>
      <c r="E2">
        <v>11</v>
      </c>
      <c r="F2">
        <v>1200</v>
      </c>
      <c r="G2">
        <f>(C2-E2)</f>
        <v>73</v>
      </c>
      <c r="H2" s="20">
        <f>(C2/(C2+E2))*100</f>
        <v>88.421052631578945</v>
      </c>
      <c r="J2" t="s">
        <v>80</v>
      </c>
    </row>
    <row r="3" spans="1:13" x14ac:dyDescent="0.2">
      <c r="A3" t="s">
        <v>79</v>
      </c>
      <c r="B3" s="11">
        <v>36326</v>
      </c>
      <c r="C3">
        <v>78</v>
      </c>
      <c r="E3">
        <v>17</v>
      </c>
      <c r="F3">
        <v>1200</v>
      </c>
      <c r="G3">
        <f t="shared" ref="G3:G39" si="0">(C3-E3)</f>
        <v>61</v>
      </c>
      <c r="H3" s="20">
        <f t="shared" ref="H3:H39" si="1">(C3/(C3+E3))*100</f>
        <v>82.10526315789474</v>
      </c>
      <c r="J3" s="25" t="s">
        <v>104</v>
      </c>
      <c r="K3" s="16"/>
    </row>
    <row r="4" spans="1:13" x14ac:dyDescent="0.2">
      <c r="A4" t="s">
        <v>79</v>
      </c>
      <c r="B4" s="1">
        <v>36509</v>
      </c>
      <c r="C4">
        <v>71</v>
      </c>
      <c r="E4">
        <v>23</v>
      </c>
      <c r="F4">
        <v>1200</v>
      </c>
      <c r="G4">
        <f t="shared" si="0"/>
        <v>48</v>
      </c>
      <c r="H4" s="20">
        <f t="shared" si="1"/>
        <v>75.531914893617028</v>
      </c>
      <c r="J4" s="25" t="s">
        <v>105</v>
      </c>
      <c r="K4" s="16"/>
      <c r="M4" s="10" t="s">
        <v>109</v>
      </c>
    </row>
    <row r="5" spans="1:13" x14ac:dyDescent="0.2">
      <c r="A5" t="s">
        <v>79</v>
      </c>
      <c r="B5" s="1">
        <v>36692</v>
      </c>
      <c r="C5">
        <v>63</v>
      </c>
      <c r="E5">
        <v>33</v>
      </c>
      <c r="F5">
        <v>1200</v>
      </c>
      <c r="G5">
        <f t="shared" si="0"/>
        <v>30</v>
      </c>
      <c r="H5" s="20">
        <f t="shared" si="1"/>
        <v>65.625</v>
      </c>
      <c r="J5" s="25" t="s">
        <v>106</v>
      </c>
      <c r="K5" s="16"/>
      <c r="M5" t="s">
        <v>173</v>
      </c>
    </row>
    <row r="6" spans="1:13" x14ac:dyDescent="0.2">
      <c r="A6" t="s">
        <v>79</v>
      </c>
      <c r="B6" s="1">
        <v>36784</v>
      </c>
      <c r="C6">
        <v>60</v>
      </c>
      <c r="E6">
        <v>33</v>
      </c>
      <c r="F6">
        <v>1200</v>
      </c>
      <c r="G6">
        <f t="shared" si="0"/>
        <v>27</v>
      </c>
      <c r="H6" s="20">
        <f t="shared" si="1"/>
        <v>64.516129032258064</v>
      </c>
      <c r="J6" s="25" t="s">
        <v>107</v>
      </c>
      <c r="K6" s="16"/>
    </row>
    <row r="7" spans="1:13" x14ac:dyDescent="0.2">
      <c r="A7" t="s">
        <v>79</v>
      </c>
      <c r="B7" s="1">
        <v>36965</v>
      </c>
      <c r="C7">
        <v>68</v>
      </c>
      <c r="E7">
        <v>25</v>
      </c>
      <c r="F7">
        <v>1200</v>
      </c>
      <c r="G7">
        <f t="shared" si="0"/>
        <v>43</v>
      </c>
      <c r="H7" s="20">
        <f t="shared" si="1"/>
        <v>73.118279569892479</v>
      </c>
      <c r="J7" s="25" t="s">
        <v>108</v>
      </c>
      <c r="K7" s="16"/>
    </row>
    <row r="8" spans="1:13" x14ac:dyDescent="0.2">
      <c r="A8" t="s">
        <v>79</v>
      </c>
      <c r="B8" s="1">
        <v>37149</v>
      </c>
      <c r="C8">
        <v>46</v>
      </c>
      <c r="E8">
        <v>46</v>
      </c>
      <c r="F8">
        <v>1200</v>
      </c>
      <c r="G8">
        <f t="shared" si="0"/>
        <v>0</v>
      </c>
      <c r="H8" s="20">
        <f t="shared" si="1"/>
        <v>50</v>
      </c>
    </row>
    <row r="9" spans="1:13" x14ac:dyDescent="0.2">
      <c r="A9" t="s">
        <v>79</v>
      </c>
      <c r="B9" s="1">
        <v>37240</v>
      </c>
      <c r="C9">
        <v>33</v>
      </c>
      <c r="E9">
        <v>58</v>
      </c>
      <c r="F9">
        <v>1200</v>
      </c>
      <c r="G9">
        <f t="shared" si="0"/>
        <v>-25</v>
      </c>
      <c r="H9" s="20">
        <f t="shared" si="1"/>
        <v>36.263736263736263</v>
      </c>
    </row>
    <row r="10" spans="1:13" x14ac:dyDescent="0.2">
      <c r="A10" t="s">
        <v>79</v>
      </c>
      <c r="B10" s="1">
        <v>37330</v>
      </c>
      <c r="C10">
        <v>31</v>
      </c>
      <c r="E10">
        <v>57</v>
      </c>
      <c r="F10">
        <v>1200</v>
      </c>
      <c r="G10">
        <f t="shared" si="0"/>
        <v>-26</v>
      </c>
      <c r="H10" s="20">
        <f t="shared" si="1"/>
        <v>35.227272727272727</v>
      </c>
    </row>
    <row r="11" spans="1:13" x14ac:dyDescent="0.2">
      <c r="A11" t="s">
        <v>79</v>
      </c>
      <c r="B11" s="1">
        <v>37422</v>
      </c>
      <c r="C11">
        <v>35</v>
      </c>
      <c r="E11">
        <v>50</v>
      </c>
      <c r="F11">
        <v>1200</v>
      </c>
      <c r="G11">
        <f t="shared" si="0"/>
        <v>-15</v>
      </c>
      <c r="H11" s="20">
        <f t="shared" si="1"/>
        <v>41.17647058823529</v>
      </c>
    </row>
    <row r="12" spans="1:13" x14ac:dyDescent="0.2">
      <c r="A12" t="s">
        <v>79</v>
      </c>
      <c r="B12" s="1">
        <v>37514</v>
      </c>
      <c r="C12">
        <v>33</v>
      </c>
      <c r="E12">
        <v>53</v>
      </c>
      <c r="F12">
        <v>1200</v>
      </c>
      <c r="G12">
        <f t="shared" si="0"/>
        <v>-20</v>
      </c>
      <c r="H12" s="20">
        <f t="shared" si="1"/>
        <v>38.372093023255815</v>
      </c>
    </row>
    <row r="13" spans="1:13" x14ac:dyDescent="0.2">
      <c r="A13" t="s">
        <v>79</v>
      </c>
      <c r="B13" s="1">
        <v>37605</v>
      </c>
      <c r="C13">
        <v>36</v>
      </c>
      <c r="E13">
        <v>54</v>
      </c>
      <c r="F13">
        <v>1200</v>
      </c>
      <c r="G13">
        <f t="shared" si="0"/>
        <v>-18</v>
      </c>
      <c r="H13" s="20">
        <f t="shared" si="1"/>
        <v>40</v>
      </c>
    </row>
    <row r="14" spans="1:13" x14ac:dyDescent="0.2">
      <c r="A14" t="s">
        <v>79</v>
      </c>
      <c r="B14" s="1">
        <v>37787</v>
      </c>
      <c r="C14">
        <v>43</v>
      </c>
      <c r="E14">
        <v>53</v>
      </c>
      <c r="F14">
        <v>1200</v>
      </c>
      <c r="G14">
        <f t="shared" si="0"/>
        <v>-10</v>
      </c>
      <c r="H14" s="20">
        <f t="shared" si="1"/>
        <v>44.791666666666671</v>
      </c>
    </row>
    <row r="15" spans="1:13" x14ac:dyDescent="0.2">
      <c r="A15" t="s">
        <v>79</v>
      </c>
      <c r="B15" s="1">
        <v>37879</v>
      </c>
      <c r="C15">
        <v>31</v>
      </c>
      <c r="E15">
        <v>61</v>
      </c>
      <c r="F15">
        <v>1200</v>
      </c>
      <c r="G15">
        <f t="shared" si="0"/>
        <v>-30</v>
      </c>
      <c r="H15" s="20">
        <f t="shared" si="1"/>
        <v>33.695652173913047</v>
      </c>
    </row>
    <row r="16" spans="1:13" x14ac:dyDescent="0.2">
      <c r="A16" t="s">
        <v>79</v>
      </c>
      <c r="B16" s="1">
        <v>37970</v>
      </c>
      <c r="C16">
        <v>40</v>
      </c>
      <c r="E16">
        <v>49</v>
      </c>
      <c r="F16">
        <v>1200</v>
      </c>
      <c r="G16">
        <f t="shared" si="0"/>
        <v>-9</v>
      </c>
      <c r="H16" s="20">
        <f t="shared" si="1"/>
        <v>44.943820224719097</v>
      </c>
    </row>
    <row r="17" spans="1:9" x14ac:dyDescent="0.2">
      <c r="A17" t="s">
        <v>79</v>
      </c>
      <c r="B17" s="1">
        <v>38153</v>
      </c>
      <c r="C17">
        <v>46</v>
      </c>
      <c r="E17">
        <v>43</v>
      </c>
      <c r="F17">
        <v>1200</v>
      </c>
      <c r="G17">
        <f t="shared" si="0"/>
        <v>3</v>
      </c>
      <c r="H17" s="20">
        <f t="shared" si="1"/>
        <v>51.68539325842697</v>
      </c>
    </row>
    <row r="18" spans="1:9" x14ac:dyDescent="0.2">
      <c r="A18" t="s">
        <v>79</v>
      </c>
      <c r="B18" s="1">
        <v>38245</v>
      </c>
      <c r="C18">
        <v>50</v>
      </c>
      <c r="E18">
        <v>37</v>
      </c>
      <c r="F18">
        <v>1200</v>
      </c>
      <c r="G18">
        <f t="shared" si="0"/>
        <v>13</v>
      </c>
      <c r="H18" s="20">
        <f t="shared" si="1"/>
        <v>57.47126436781609</v>
      </c>
    </row>
    <row r="19" spans="1:9" x14ac:dyDescent="0.2">
      <c r="A19" t="s">
        <v>79</v>
      </c>
      <c r="B19" s="1">
        <v>38426</v>
      </c>
      <c r="C19">
        <v>69</v>
      </c>
      <c r="E19">
        <v>22</v>
      </c>
      <c r="F19">
        <v>1200</v>
      </c>
      <c r="G19">
        <f t="shared" si="0"/>
        <v>47</v>
      </c>
      <c r="H19" s="20">
        <f t="shared" si="1"/>
        <v>75.824175824175825</v>
      </c>
    </row>
    <row r="20" spans="1:9" x14ac:dyDescent="0.2">
      <c r="A20" t="s">
        <v>79</v>
      </c>
      <c r="B20" s="1">
        <v>38518</v>
      </c>
      <c r="C20">
        <v>61</v>
      </c>
      <c r="E20">
        <v>28</v>
      </c>
      <c r="F20">
        <v>1200</v>
      </c>
      <c r="G20">
        <f t="shared" si="0"/>
        <v>33</v>
      </c>
      <c r="H20" s="20">
        <f t="shared" si="1"/>
        <v>68.539325842696627</v>
      </c>
    </row>
    <row r="21" spans="1:9" x14ac:dyDescent="0.2">
      <c r="A21" t="s">
        <v>79</v>
      </c>
      <c r="B21" s="1">
        <v>38610</v>
      </c>
      <c r="C21">
        <v>61</v>
      </c>
      <c r="E21">
        <v>30</v>
      </c>
      <c r="F21">
        <v>1200</v>
      </c>
      <c r="G21">
        <f t="shared" si="0"/>
        <v>31</v>
      </c>
      <c r="H21" s="20">
        <f t="shared" si="1"/>
        <v>67.032967032967022</v>
      </c>
    </row>
    <row r="22" spans="1:9" x14ac:dyDescent="0.2">
      <c r="A22" t="s">
        <v>79</v>
      </c>
      <c r="B22" s="1">
        <v>38701</v>
      </c>
      <c r="C22">
        <v>66</v>
      </c>
      <c r="E22">
        <v>26</v>
      </c>
      <c r="F22">
        <v>1200</v>
      </c>
      <c r="G22">
        <f t="shared" si="0"/>
        <v>40</v>
      </c>
      <c r="H22" s="20">
        <f t="shared" si="1"/>
        <v>71.739130434782609</v>
      </c>
    </row>
    <row r="23" spans="1:9" x14ac:dyDescent="0.2">
      <c r="A23" t="s">
        <v>79</v>
      </c>
      <c r="B23" s="1">
        <v>38791</v>
      </c>
      <c r="C23">
        <v>65</v>
      </c>
      <c r="E23">
        <v>28</v>
      </c>
      <c r="F23">
        <v>1200</v>
      </c>
      <c r="G23">
        <f t="shared" si="0"/>
        <v>37</v>
      </c>
      <c r="H23" s="20">
        <f t="shared" si="1"/>
        <v>69.892473118279568</v>
      </c>
    </row>
    <row r="24" spans="1:9" x14ac:dyDescent="0.2">
      <c r="A24" t="s">
        <v>79</v>
      </c>
      <c r="B24" s="1">
        <v>38883</v>
      </c>
      <c r="C24">
        <v>64</v>
      </c>
      <c r="E24">
        <v>30</v>
      </c>
      <c r="F24">
        <v>1200</v>
      </c>
      <c r="G24">
        <f t="shared" si="0"/>
        <v>34</v>
      </c>
      <c r="H24" s="20">
        <f t="shared" si="1"/>
        <v>68.085106382978722</v>
      </c>
    </row>
    <row r="25" spans="1:9" x14ac:dyDescent="0.2">
      <c r="A25" t="s">
        <v>79</v>
      </c>
      <c r="B25" s="1">
        <v>38975</v>
      </c>
      <c r="C25">
        <v>61</v>
      </c>
      <c r="E25">
        <v>35</v>
      </c>
      <c r="F25">
        <v>1200</v>
      </c>
      <c r="G25">
        <f t="shared" si="0"/>
        <v>26</v>
      </c>
      <c r="H25" s="20">
        <f t="shared" si="1"/>
        <v>63.541666666666664</v>
      </c>
    </row>
    <row r="26" spans="1:9" x14ac:dyDescent="0.2">
      <c r="A26" t="s">
        <v>79</v>
      </c>
      <c r="B26" s="1">
        <v>39066</v>
      </c>
      <c r="C26">
        <v>60</v>
      </c>
      <c r="E26">
        <v>37</v>
      </c>
      <c r="F26">
        <v>1200</v>
      </c>
      <c r="G26">
        <f t="shared" si="0"/>
        <v>23</v>
      </c>
      <c r="H26" s="20">
        <f t="shared" si="1"/>
        <v>61.855670103092784</v>
      </c>
    </row>
    <row r="27" spans="1:9" x14ac:dyDescent="0.2">
      <c r="A27" t="s">
        <v>79</v>
      </c>
      <c r="B27" s="1">
        <v>39156</v>
      </c>
      <c r="C27">
        <v>60</v>
      </c>
      <c r="E27">
        <v>35</v>
      </c>
      <c r="F27">
        <v>1200</v>
      </c>
      <c r="G27">
        <f t="shared" si="0"/>
        <v>25</v>
      </c>
      <c r="H27" s="20">
        <f t="shared" si="1"/>
        <v>63.157894736842103</v>
      </c>
    </row>
    <row r="28" spans="1:9" x14ac:dyDescent="0.2">
      <c r="A28" t="s">
        <v>79</v>
      </c>
      <c r="B28" s="1">
        <v>39248</v>
      </c>
      <c r="C28">
        <v>59</v>
      </c>
      <c r="E28">
        <v>34</v>
      </c>
      <c r="F28">
        <v>1200</v>
      </c>
      <c r="G28">
        <f t="shared" si="0"/>
        <v>25</v>
      </c>
      <c r="H28" s="20">
        <f t="shared" si="1"/>
        <v>63.44086021505376</v>
      </c>
    </row>
    <row r="29" spans="1:9" x14ac:dyDescent="0.2">
      <c r="A29" t="s">
        <v>79</v>
      </c>
      <c r="B29" s="1">
        <v>39345</v>
      </c>
      <c r="C29">
        <v>57</v>
      </c>
      <c r="E29">
        <v>35</v>
      </c>
      <c r="F29">
        <v>1200</v>
      </c>
      <c r="G29">
        <f t="shared" si="0"/>
        <v>22</v>
      </c>
      <c r="H29" s="20">
        <f t="shared" si="1"/>
        <v>61.95652173913043</v>
      </c>
    </row>
    <row r="30" spans="1:9" x14ac:dyDescent="0.2">
      <c r="A30" t="s">
        <v>79</v>
      </c>
      <c r="B30" s="1">
        <v>39431</v>
      </c>
      <c r="C30">
        <v>49</v>
      </c>
      <c r="E30">
        <v>43</v>
      </c>
      <c r="F30">
        <v>1200</v>
      </c>
      <c r="G30">
        <f t="shared" si="0"/>
        <v>6</v>
      </c>
      <c r="H30" s="20">
        <f t="shared" si="1"/>
        <v>53.260869565217398</v>
      </c>
    </row>
    <row r="31" spans="1:9" x14ac:dyDescent="0.2">
      <c r="A31" t="s">
        <v>79</v>
      </c>
      <c r="B31" s="1">
        <v>39522</v>
      </c>
      <c r="C31">
        <v>47</v>
      </c>
      <c r="E31">
        <v>44</v>
      </c>
      <c r="F31">
        <v>1200</v>
      </c>
      <c r="G31">
        <f t="shared" si="0"/>
        <v>3</v>
      </c>
      <c r="H31" s="20">
        <f t="shared" si="1"/>
        <v>51.648351648351657</v>
      </c>
    </row>
    <row r="32" spans="1:9" x14ac:dyDescent="0.2">
      <c r="A32" t="s">
        <v>79</v>
      </c>
      <c r="B32" s="1">
        <v>39603</v>
      </c>
      <c r="C32">
        <v>47</v>
      </c>
      <c r="E32">
        <v>45</v>
      </c>
      <c r="F32">
        <v>1200</v>
      </c>
      <c r="G32">
        <f t="shared" si="0"/>
        <v>2</v>
      </c>
      <c r="H32" s="20">
        <f t="shared" si="1"/>
        <v>51.086956521739133</v>
      </c>
      <c r="I32" t="s">
        <v>42</v>
      </c>
    </row>
    <row r="33" spans="1:12" x14ac:dyDescent="0.2">
      <c r="A33" t="s">
        <v>79</v>
      </c>
      <c r="B33" s="1">
        <v>39706</v>
      </c>
      <c r="C33">
        <v>47</v>
      </c>
      <c r="E33">
        <v>41</v>
      </c>
      <c r="F33">
        <v>1200</v>
      </c>
      <c r="G33">
        <f t="shared" si="0"/>
        <v>6</v>
      </c>
      <c r="H33" s="20">
        <f t="shared" si="1"/>
        <v>53.409090909090907</v>
      </c>
    </row>
    <row r="34" spans="1:12" x14ac:dyDescent="0.2">
      <c r="A34" t="s">
        <v>79</v>
      </c>
      <c r="B34" s="1">
        <v>39797</v>
      </c>
      <c r="C34">
        <v>52</v>
      </c>
      <c r="E34">
        <v>41</v>
      </c>
      <c r="F34">
        <v>1200</v>
      </c>
      <c r="G34">
        <f t="shared" si="0"/>
        <v>11</v>
      </c>
      <c r="H34" s="20">
        <f t="shared" si="1"/>
        <v>55.913978494623649</v>
      </c>
    </row>
    <row r="35" spans="1:12" x14ac:dyDescent="0.2">
      <c r="A35" t="s">
        <v>79</v>
      </c>
      <c r="B35" s="1">
        <v>39887</v>
      </c>
      <c r="C35">
        <v>56</v>
      </c>
      <c r="E35">
        <v>36</v>
      </c>
      <c r="F35">
        <v>1200</v>
      </c>
      <c r="G35">
        <f t="shared" si="0"/>
        <v>20</v>
      </c>
      <c r="H35" s="20">
        <f t="shared" si="1"/>
        <v>60.869565217391312</v>
      </c>
    </row>
    <row r="36" spans="1:12" x14ac:dyDescent="0.2">
      <c r="A36" t="s">
        <v>79</v>
      </c>
      <c r="B36" s="1">
        <v>39979</v>
      </c>
      <c r="C36">
        <v>50</v>
      </c>
      <c r="E36">
        <v>42</v>
      </c>
      <c r="F36">
        <v>1200</v>
      </c>
      <c r="G36">
        <f t="shared" si="0"/>
        <v>8</v>
      </c>
      <c r="H36" s="20">
        <f t="shared" si="1"/>
        <v>54.347826086956516</v>
      </c>
    </row>
    <row r="37" spans="1:12" x14ac:dyDescent="0.2">
      <c r="A37" t="s">
        <v>79</v>
      </c>
      <c r="B37" s="1">
        <v>40071</v>
      </c>
      <c r="C37">
        <v>45</v>
      </c>
      <c r="E37">
        <v>45</v>
      </c>
      <c r="F37">
        <v>1200</v>
      </c>
      <c r="G37">
        <f t="shared" si="0"/>
        <v>0</v>
      </c>
      <c r="H37" s="20">
        <f t="shared" si="1"/>
        <v>50</v>
      </c>
    </row>
    <row r="38" spans="1:12" x14ac:dyDescent="0.2">
      <c r="A38" t="s">
        <v>79</v>
      </c>
      <c r="B38" s="1">
        <v>40162</v>
      </c>
      <c r="C38">
        <v>49</v>
      </c>
      <c r="E38">
        <v>41</v>
      </c>
      <c r="F38">
        <v>1200</v>
      </c>
      <c r="G38">
        <f t="shared" si="0"/>
        <v>8</v>
      </c>
      <c r="H38" s="20">
        <f t="shared" si="1"/>
        <v>54.444444444444443</v>
      </c>
    </row>
    <row r="39" spans="1:12" x14ac:dyDescent="0.2">
      <c r="A39" t="s">
        <v>79</v>
      </c>
      <c r="B39" s="1">
        <v>40250</v>
      </c>
      <c r="C39">
        <v>43</v>
      </c>
      <c r="E39">
        <v>49</v>
      </c>
      <c r="F39">
        <v>1200</v>
      </c>
      <c r="G39">
        <f t="shared" si="0"/>
        <v>-6</v>
      </c>
      <c r="H39" s="20">
        <f t="shared" si="1"/>
        <v>46.739130434782609</v>
      </c>
    </row>
    <row r="40" spans="1:12" x14ac:dyDescent="0.2">
      <c r="A40" t="s">
        <v>79</v>
      </c>
      <c r="B40" s="1">
        <v>40313</v>
      </c>
      <c r="C40">
        <v>41</v>
      </c>
      <c r="F40">
        <v>1200</v>
      </c>
      <c r="H40" s="20"/>
      <c r="I40" s="14" t="s">
        <v>20</v>
      </c>
    </row>
    <row r="41" spans="1:12" x14ac:dyDescent="0.2">
      <c r="A41" t="s">
        <v>79</v>
      </c>
      <c r="B41" s="1">
        <v>40798</v>
      </c>
      <c r="C41">
        <v>57</v>
      </c>
      <c r="E41">
        <v>37</v>
      </c>
      <c r="F41">
        <v>1200</v>
      </c>
      <c r="G41">
        <f t="shared" ref="G41:G42" si="2">(C41-E41)</f>
        <v>20</v>
      </c>
      <c r="H41" s="20">
        <f t="shared" ref="H41:H42" si="3">(C41/(C41+E41))*100</f>
        <v>60.638297872340431</v>
      </c>
      <c r="I41" t="s">
        <v>269</v>
      </c>
    </row>
    <row r="42" spans="1:12" x14ac:dyDescent="0.2">
      <c r="A42" t="s">
        <v>79</v>
      </c>
      <c r="B42" s="1">
        <v>40866</v>
      </c>
      <c r="C42">
        <v>50</v>
      </c>
      <c r="E42">
        <v>44</v>
      </c>
      <c r="F42">
        <v>1200</v>
      </c>
      <c r="G42">
        <f t="shared" si="2"/>
        <v>6</v>
      </c>
      <c r="H42" s="20">
        <f t="shared" si="3"/>
        <v>53.191489361702125</v>
      </c>
    </row>
    <row r="43" spans="1:12" x14ac:dyDescent="0.2">
      <c r="A43" t="s">
        <v>79</v>
      </c>
      <c r="B43" s="1">
        <v>41348</v>
      </c>
      <c r="C43">
        <v>53</v>
      </c>
      <c r="F43">
        <v>1200</v>
      </c>
      <c r="H43" s="24"/>
      <c r="I43" t="s">
        <v>241</v>
      </c>
    </row>
    <row r="44" spans="1:12" x14ac:dyDescent="0.2">
      <c r="A44" t="s">
        <v>79</v>
      </c>
      <c r="B44" s="1">
        <v>41440</v>
      </c>
      <c r="C44">
        <v>44</v>
      </c>
      <c r="F44">
        <v>1200</v>
      </c>
      <c r="I44" t="s">
        <v>241</v>
      </c>
    </row>
    <row r="45" spans="1:12" x14ac:dyDescent="0.2">
      <c r="A45" t="s">
        <v>79</v>
      </c>
      <c r="B45" s="1">
        <v>41518</v>
      </c>
      <c r="C45">
        <v>43</v>
      </c>
      <c r="F45">
        <v>1200</v>
      </c>
      <c r="I45" t="s">
        <v>241</v>
      </c>
      <c r="L45" t="s">
        <v>258</v>
      </c>
    </row>
    <row r="46" spans="1:12" x14ac:dyDescent="0.2">
      <c r="A46" t="s">
        <v>79</v>
      </c>
      <c r="B46" s="1">
        <v>41623</v>
      </c>
      <c r="C46">
        <v>41</v>
      </c>
      <c r="F46">
        <v>1200</v>
      </c>
      <c r="I46" t="s">
        <v>241</v>
      </c>
    </row>
    <row r="47" spans="1:12" x14ac:dyDescent="0.2">
      <c r="A47" t="s">
        <v>79</v>
      </c>
      <c r="B47" s="1">
        <v>41712</v>
      </c>
      <c r="C47">
        <v>39</v>
      </c>
      <c r="F47">
        <v>1200</v>
      </c>
      <c r="I47" t="s">
        <v>241</v>
      </c>
      <c r="J47" t="s">
        <v>254</v>
      </c>
    </row>
    <row r="48" spans="1:12" x14ac:dyDescent="0.2">
      <c r="A48" t="s">
        <v>79</v>
      </c>
      <c r="B48" s="1">
        <v>41783</v>
      </c>
      <c r="C48">
        <v>40</v>
      </c>
      <c r="E48">
        <v>60</v>
      </c>
      <c r="F48">
        <v>1200</v>
      </c>
      <c r="G48">
        <f>(C48-E48)</f>
        <v>-20</v>
      </c>
      <c r="H48" s="24">
        <f>(C48/(C48+E48))*100</f>
        <v>40</v>
      </c>
      <c r="I48" s="14" t="s">
        <v>234</v>
      </c>
    </row>
    <row r="49" spans="1:11" x14ac:dyDescent="0.2">
      <c r="A49" t="s">
        <v>79</v>
      </c>
      <c r="B49" s="1">
        <v>41882</v>
      </c>
      <c r="C49">
        <v>33</v>
      </c>
      <c r="F49">
        <v>1200</v>
      </c>
      <c r="I49" t="s">
        <v>241</v>
      </c>
      <c r="K49" t="s">
        <v>255</v>
      </c>
    </row>
    <row r="50" spans="1:11" x14ac:dyDescent="0.2">
      <c r="A50" t="s">
        <v>79</v>
      </c>
      <c r="B50" s="1">
        <v>42076</v>
      </c>
      <c r="C50">
        <v>29</v>
      </c>
      <c r="E50">
        <v>62</v>
      </c>
      <c r="F50">
        <v>1200</v>
      </c>
      <c r="G50">
        <f>(C50-E50)</f>
        <v>-33</v>
      </c>
      <c r="H50" s="24">
        <f>(C50/(C50+E50))*100</f>
        <v>31.868131868131865</v>
      </c>
      <c r="I50" t="s">
        <v>249</v>
      </c>
    </row>
    <row r="51" spans="1:11" x14ac:dyDescent="0.2">
      <c r="A51" t="s">
        <v>79</v>
      </c>
      <c r="B51" s="1">
        <v>42170</v>
      </c>
      <c r="C51">
        <v>27</v>
      </c>
      <c r="F51">
        <v>1200</v>
      </c>
      <c r="I51" t="s">
        <v>241</v>
      </c>
    </row>
    <row r="52" spans="1:11" x14ac:dyDescent="0.2">
      <c r="A52" t="s">
        <v>79</v>
      </c>
      <c r="B52" s="1">
        <v>42252</v>
      </c>
      <c r="C52">
        <v>24</v>
      </c>
      <c r="F52">
        <v>1200</v>
      </c>
    </row>
    <row r="53" spans="1:11" x14ac:dyDescent="0.2">
      <c r="A53" t="s">
        <v>79</v>
      </c>
      <c r="B53" s="1">
        <v>42323</v>
      </c>
      <c r="C53">
        <v>25</v>
      </c>
      <c r="F53">
        <v>1200</v>
      </c>
      <c r="I53" t="s">
        <v>241</v>
      </c>
    </row>
    <row r="54" spans="1:11" x14ac:dyDescent="0.2">
      <c r="A54" t="s">
        <v>79</v>
      </c>
      <c r="B54" s="1">
        <v>42432</v>
      </c>
      <c r="C54">
        <v>8</v>
      </c>
      <c r="E54">
        <v>92</v>
      </c>
      <c r="F54">
        <v>1200</v>
      </c>
      <c r="G54">
        <f>(C54-E54)</f>
        <v>-84</v>
      </c>
      <c r="H54" s="24">
        <f>(C54/(C54+E54))*100</f>
        <v>8</v>
      </c>
    </row>
  </sheetData>
  <phoneticPr fontId="1" type="noConversion"/>
  <hyperlinks>
    <hyperlink ref="I40" r:id="rId1"/>
    <hyperlink ref="I48" r:id="rId2"/>
  </hyperlinks>
  <pageMargins left="0.75" right="0.7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38"/>
  <sheetViews>
    <sheetView topLeftCell="A31" workbookViewId="0">
      <selection activeCell="D33" sqref="D33"/>
    </sheetView>
  </sheetViews>
  <sheetFormatPr defaultColWidth="8.7109375" defaultRowHeight="12.75" x14ac:dyDescent="0.2"/>
  <cols>
    <col min="1" max="1" width="22.7109375" customWidth="1"/>
    <col min="2" max="2" width="11" customWidth="1"/>
    <col min="3" max="3" width="10.140625" bestFit="1" customWidth="1"/>
  </cols>
  <sheetData>
    <row r="1" spans="1:19" x14ac:dyDescent="0.2">
      <c r="A1" s="10" t="s">
        <v>200</v>
      </c>
      <c r="B1" s="10" t="s">
        <v>201</v>
      </c>
      <c r="C1" s="10" t="s">
        <v>202</v>
      </c>
      <c r="D1" s="10" t="s">
        <v>143</v>
      </c>
      <c r="E1" s="10" t="s">
        <v>203</v>
      </c>
      <c r="F1" s="10" t="s">
        <v>283</v>
      </c>
      <c r="G1" t="s">
        <v>118</v>
      </c>
      <c r="H1" t="s">
        <v>121</v>
      </c>
      <c r="I1" t="s">
        <v>125</v>
      </c>
      <c r="J1" t="s">
        <v>208</v>
      </c>
      <c r="K1" s="16" t="s">
        <v>36</v>
      </c>
      <c r="L1" s="16" t="s">
        <v>35</v>
      </c>
      <c r="M1" s="16" t="s">
        <v>37</v>
      </c>
    </row>
    <row r="2" spans="1:19" x14ac:dyDescent="0.2">
      <c r="A2" s="10" t="s">
        <v>34</v>
      </c>
      <c r="B2" s="1">
        <v>38424</v>
      </c>
      <c r="C2">
        <v>53</v>
      </c>
      <c r="E2">
        <v>38</v>
      </c>
      <c r="F2">
        <v>8</v>
      </c>
      <c r="G2">
        <v>1500</v>
      </c>
      <c r="H2">
        <f>C2-E2</f>
        <v>15</v>
      </c>
      <c r="I2" s="20">
        <f>(C2/(C2+E2))*100</f>
        <v>58.241758241758248</v>
      </c>
    </row>
    <row r="3" spans="1:19" x14ac:dyDescent="0.2">
      <c r="A3" s="10" t="s">
        <v>34</v>
      </c>
      <c r="B3" s="1">
        <v>39036</v>
      </c>
      <c r="C3">
        <v>54</v>
      </c>
      <c r="E3">
        <v>36</v>
      </c>
      <c r="H3">
        <f t="shared" ref="H3:H8" si="0">C3-E3</f>
        <v>18</v>
      </c>
      <c r="I3" s="20">
        <f t="shared" ref="I3:I8" si="1">(C3/(C3+E3))*100</f>
        <v>60</v>
      </c>
      <c r="J3" t="s">
        <v>38</v>
      </c>
    </row>
    <row r="4" spans="1:19" x14ac:dyDescent="0.2">
      <c r="A4" s="10" t="s">
        <v>34</v>
      </c>
      <c r="B4" s="1">
        <v>39128</v>
      </c>
      <c r="C4">
        <v>45</v>
      </c>
      <c r="E4">
        <v>41</v>
      </c>
      <c r="H4">
        <f t="shared" si="0"/>
        <v>4</v>
      </c>
      <c r="I4" s="20">
        <f t="shared" si="1"/>
        <v>52.325581395348841</v>
      </c>
      <c r="J4" t="s">
        <v>38</v>
      </c>
    </row>
    <row r="5" spans="1:19" x14ac:dyDescent="0.2">
      <c r="A5" s="10" t="s">
        <v>34</v>
      </c>
      <c r="B5" s="1">
        <v>39217</v>
      </c>
      <c r="C5">
        <v>35</v>
      </c>
      <c r="E5">
        <v>50</v>
      </c>
      <c r="H5">
        <f t="shared" si="0"/>
        <v>-15</v>
      </c>
      <c r="I5" s="20">
        <f t="shared" si="1"/>
        <v>41.17647058823529</v>
      </c>
      <c r="J5" t="s">
        <v>38</v>
      </c>
    </row>
    <row r="6" spans="1:19" x14ac:dyDescent="0.2">
      <c r="A6" s="10" t="s">
        <v>34</v>
      </c>
      <c r="B6" s="1">
        <v>39257</v>
      </c>
      <c r="C6">
        <v>37</v>
      </c>
      <c r="D6">
        <v>9</v>
      </c>
      <c r="E6">
        <v>43</v>
      </c>
      <c r="F6">
        <v>11</v>
      </c>
      <c r="H6">
        <f t="shared" si="0"/>
        <v>-6</v>
      </c>
      <c r="I6" s="20">
        <f t="shared" si="1"/>
        <v>46.25</v>
      </c>
      <c r="J6" t="s">
        <v>268</v>
      </c>
    </row>
    <row r="7" spans="1:19" x14ac:dyDescent="0.2">
      <c r="A7" s="10" t="s">
        <v>34</v>
      </c>
      <c r="B7" s="11">
        <v>39287</v>
      </c>
      <c r="C7">
        <v>45</v>
      </c>
      <c r="D7">
        <v>12</v>
      </c>
      <c r="E7">
        <v>38</v>
      </c>
      <c r="F7">
        <v>5</v>
      </c>
      <c r="G7">
        <v>1148</v>
      </c>
      <c r="H7">
        <f t="shared" si="0"/>
        <v>7</v>
      </c>
      <c r="I7" s="20">
        <f t="shared" si="1"/>
        <v>54.216867469879517</v>
      </c>
      <c r="J7" t="s">
        <v>38</v>
      </c>
      <c r="L7" s="10" t="s">
        <v>34</v>
      </c>
      <c r="M7" s="1">
        <v>39278</v>
      </c>
      <c r="N7">
        <v>50</v>
      </c>
      <c r="S7" t="s">
        <v>74</v>
      </c>
    </row>
    <row r="8" spans="1:19" x14ac:dyDescent="0.2">
      <c r="A8" s="18" t="s">
        <v>34</v>
      </c>
      <c r="B8" s="11">
        <v>41136</v>
      </c>
      <c r="C8">
        <v>67</v>
      </c>
      <c r="E8">
        <v>31</v>
      </c>
      <c r="H8">
        <f t="shared" si="0"/>
        <v>36</v>
      </c>
      <c r="I8" s="20">
        <f t="shared" si="1"/>
        <v>68.367346938775512</v>
      </c>
      <c r="J8" t="s">
        <v>0</v>
      </c>
      <c r="L8" s="10"/>
      <c r="M8" s="1"/>
    </row>
    <row r="9" spans="1:19" x14ac:dyDescent="0.2">
      <c r="A9" s="18" t="s">
        <v>34</v>
      </c>
      <c r="B9" s="11">
        <v>41250</v>
      </c>
      <c r="C9">
        <v>64</v>
      </c>
      <c r="J9" t="s">
        <v>1</v>
      </c>
      <c r="L9" s="10"/>
      <c r="M9" s="1"/>
    </row>
    <row r="10" spans="1:19" x14ac:dyDescent="0.2">
      <c r="A10" s="18" t="s">
        <v>34</v>
      </c>
      <c r="B10" s="11">
        <v>41314</v>
      </c>
      <c r="C10">
        <v>65</v>
      </c>
      <c r="J10" t="s">
        <v>2</v>
      </c>
      <c r="L10" s="10"/>
      <c r="M10" s="1"/>
    </row>
    <row r="11" spans="1:19" x14ac:dyDescent="0.2">
      <c r="A11" s="18" t="s">
        <v>34</v>
      </c>
      <c r="B11" s="29">
        <v>41492</v>
      </c>
      <c r="C11" s="28">
        <v>58</v>
      </c>
      <c r="D11" s="18"/>
      <c r="E11" s="18"/>
      <c r="F11" s="18"/>
      <c r="G11" s="18"/>
      <c r="H11" s="18"/>
      <c r="I11" s="18"/>
      <c r="J11" s="18" t="s">
        <v>219</v>
      </c>
      <c r="L11" s="10"/>
      <c r="M11" s="1"/>
    </row>
    <row r="12" spans="1:19" x14ac:dyDescent="0.2">
      <c r="A12" s="18" t="s">
        <v>34</v>
      </c>
      <c r="B12" s="29">
        <v>41615</v>
      </c>
      <c r="C12" s="28">
        <v>64</v>
      </c>
      <c r="D12" s="18"/>
      <c r="E12" s="18"/>
      <c r="F12" s="18"/>
      <c r="G12" s="18"/>
      <c r="H12" s="18"/>
      <c r="I12" s="18"/>
      <c r="J12" s="18" t="s">
        <v>220</v>
      </c>
      <c r="L12" s="10"/>
      <c r="M12" s="1"/>
    </row>
    <row r="13" spans="1:19" x14ac:dyDescent="0.2">
      <c r="A13" s="18" t="s">
        <v>34</v>
      </c>
      <c r="B13" s="29">
        <v>41685</v>
      </c>
      <c r="C13" s="28">
        <v>43</v>
      </c>
      <c r="D13" s="18"/>
      <c r="E13" s="18"/>
      <c r="F13" s="18"/>
      <c r="G13" s="18"/>
      <c r="H13" s="18"/>
      <c r="I13" s="18"/>
      <c r="J13" s="18" t="s">
        <v>221</v>
      </c>
      <c r="L13" s="10"/>
      <c r="M13" s="1"/>
    </row>
    <row r="14" spans="1:19" x14ac:dyDescent="0.2">
      <c r="A14" s="18" t="s">
        <v>34</v>
      </c>
      <c r="B14" s="29">
        <v>41709</v>
      </c>
      <c r="C14" s="28">
        <v>57</v>
      </c>
      <c r="D14" s="18"/>
      <c r="E14" s="18"/>
      <c r="F14" s="18"/>
      <c r="G14" s="18">
        <v>1200</v>
      </c>
      <c r="H14" s="18"/>
      <c r="I14" s="18"/>
      <c r="J14" s="18" t="s">
        <v>221</v>
      </c>
      <c r="L14" s="10"/>
      <c r="M14" s="1"/>
    </row>
    <row r="15" spans="1:19" x14ac:dyDescent="0.2">
      <c r="A15" s="18" t="s">
        <v>34</v>
      </c>
      <c r="B15" s="29">
        <v>41736</v>
      </c>
      <c r="C15" s="28">
        <v>51</v>
      </c>
      <c r="D15" s="18"/>
      <c r="E15" s="18"/>
      <c r="F15" s="18"/>
      <c r="G15" s="18">
        <v>1200</v>
      </c>
      <c r="H15" s="18"/>
      <c r="I15" s="18"/>
      <c r="J15" s="18" t="s">
        <v>222</v>
      </c>
      <c r="L15" s="10"/>
      <c r="M15" s="1"/>
    </row>
    <row r="16" spans="1:19" x14ac:dyDescent="0.2">
      <c r="A16" s="18" t="s">
        <v>34</v>
      </c>
      <c r="B16" s="29">
        <v>41866</v>
      </c>
      <c r="C16" s="28">
        <v>60</v>
      </c>
      <c r="D16" s="18"/>
      <c r="E16" s="18"/>
      <c r="F16" s="18"/>
      <c r="G16" s="18"/>
      <c r="H16" s="18"/>
      <c r="I16" s="18"/>
      <c r="J16" s="18" t="s">
        <v>223</v>
      </c>
      <c r="L16" s="10"/>
      <c r="M16" s="1"/>
    </row>
    <row r="17" spans="1:17" x14ac:dyDescent="0.2">
      <c r="A17" s="18" t="s">
        <v>34</v>
      </c>
      <c r="B17" s="29">
        <v>42042</v>
      </c>
      <c r="C17" s="28">
        <v>27</v>
      </c>
      <c r="D17" s="18"/>
      <c r="E17" s="18"/>
      <c r="F17" s="18"/>
      <c r="G17" s="18"/>
      <c r="H17" s="18"/>
      <c r="I17" s="18"/>
      <c r="J17" s="18" t="s">
        <v>224</v>
      </c>
      <c r="L17" s="10"/>
      <c r="M17" s="1"/>
    </row>
    <row r="18" spans="1:17" x14ac:dyDescent="0.2">
      <c r="A18" s="18"/>
      <c r="B18" s="11"/>
      <c r="L18" s="10"/>
      <c r="M18" s="1"/>
    </row>
    <row r="20" spans="1:17" x14ac:dyDescent="0.2">
      <c r="A20" s="10" t="s">
        <v>200</v>
      </c>
      <c r="B20" s="11" t="s">
        <v>201</v>
      </c>
      <c r="C20" s="10" t="s">
        <v>202</v>
      </c>
      <c r="D20" s="10" t="s">
        <v>203</v>
      </c>
      <c r="E20" s="10" t="s">
        <v>283</v>
      </c>
      <c r="G20" s="10" t="s">
        <v>118</v>
      </c>
      <c r="H20" t="s">
        <v>121</v>
      </c>
      <c r="I20" t="s">
        <v>122</v>
      </c>
      <c r="J20" t="s">
        <v>208</v>
      </c>
      <c r="L20" s="16" t="s">
        <v>21</v>
      </c>
      <c r="M20" s="16" t="s">
        <v>22</v>
      </c>
    </row>
    <row r="21" spans="1:17" x14ac:dyDescent="0.2">
      <c r="A21" t="s">
        <v>82</v>
      </c>
      <c r="B21" s="1">
        <v>39859</v>
      </c>
      <c r="C21">
        <v>52</v>
      </c>
      <c r="J21" t="s">
        <v>69</v>
      </c>
      <c r="L21" t="s">
        <v>40</v>
      </c>
    </row>
    <row r="22" spans="1:17" x14ac:dyDescent="0.2">
      <c r="A22" t="s">
        <v>82</v>
      </c>
      <c r="B22" s="1">
        <v>39965</v>
      </c>
      <c r="C22">
        <v>41</v>
      </c>
      <c r="J22" t="s">
        <v>69</v>
      </c>
    </row>
    <row r="23" spans="1:17" x14ac:dyDescent="0.2">
      <c r="A23" t="s">
        <v>82</v>
      </c>
      <c r="B23" s="1">
        <v>40057</v>
      </c>
      <c r="C23">
        <v>29</v>
      </c>
      <c r="D23">
        <v>34</v>
      </c>
      <c r="G23">
        <v>1300</v>
      </c>
      <c r="H23">
        <f>(C23-D23)</f>
        <v>-5</v>
      </c>
      <c r="I23" s="21">
        <f>(C23/(C23+D23))*100</f>
        <v>46.031746031746032</v>
      </c>
      <c r="J23" s="14"/>
      <c r="Q23" s="15"/>
    </row>
    <row r="24" spans="1:17" x14ac:dyDescent="0.2">
      <c r="A24" t="s">
        <v>82</v>
      </c>
      <c r="B24" s="1">
        <v>40101</v>
      </c>
      <c r="C24">
        <v>40</v>
      </c>
      <c r="D24">
        <v>50</v>
      </c>
      <c r="G24">
        <v>1300</v>
      </c>
      <c r="H24">
        <f>(C24-D24)</f>
        <v>-10</v>
      </c>
      <c r="I24" s="21">
        <f>(C24/(C24+D24))*100</f>
        <v>44.444444444444443</v>
      </c>
      <c r="J24" s="14"/>
      <c r="K24" t="s">
        <v>40</v>
      </c>
      <c r="Q24" s="15"/>
    </row>
    <row r="25" spans="1:17" x14ac:dyDescent="0.2">
      <c r="A25" t="s">
        <v>82</v>
      </c>
      <c r="B25" s="1">
        <v>40139</v>
      </c>
      <c r="C25">
        <v>39</v>
      </c>
      <c r="D25">
        <v>55</v>
      </c>
      <c r="G25">
        <v>1396</v>
      </c>
      <c r="H25">
        <f>(C25-D25)</f>
        <v>-16</v>
      </c>
      <c r="I25" s="21">
        <f>(C25/(C25+D25))*100</f>
        <v>41.48936170212766</v>
      </c>
      <c r="J25" s="14" t="s">
        <v>89</v>
      </c>
      <c r="L25" t="s">
        <v>40</v>
      </c>
      <c r="Q25" t="s">
        <v>81</v>
      </c>
    </row>
    <row r="26" spans="1:17" x14ac:dyDescent="0.2">
      <c r="A26" t="s">
        <v>82</v>
      </c>
      <c r="B26" s="1">
        <v>40252</v>
      </c>
      <c r="C26">
        <v>39</v>
      </c>
    </row>
    <row r="27" spans="1:17" x14ac:dyDescent="0.2">
      <c r="A27" t="s">
        <v>82</v>
      </c>
      <c r="B27" s="1">
        <v>40283</v>
      </c>
      <c r="C27">
        <v>41</v>
      </c>
    </row>
    <row r="28" spans="1:17" x14ac:dyDescent="0.2">
      <c r="A28" t="s">
        <v>82</v>
      </c>
      <c r="B28" s="1">
        <v>40313</v>
      </c>
      <c r="C28">
        <v>44</v>
      </c>
      <c r="J28" t="s">
        <v>39</v>
      </c>
    </row>
    <row r="29" spans="1:17" x14ac:dyDescent="0.2">
      <c r="A29" t="s">
        <v>82</v>
      </c>
      <c r="B29" s="1">
        <v>40342</v>
      </c>
      <c r="C29">
        <v>41</v>
      </c>
      <c r="D29">
        <v>55</v>
      </c>
      <c r="E29">
        <v>4</v>
      </c>
      <c r="G29">
        <v>1269</v>
      </c>
      <c r="H29">
        <f>(C29-D29)</f>
        <v>-14</v>
      </c>
      <c r="I29" s="21">
        <f>(C29/(C29+D29))*100</f>
        <v>42.708333333333329</v>
      </c>
      <c r="J29" t="s">
        <v>39</v>
      </c>
    </row>
    <row r="30" spans="1:17" x14ac:dyDescent="0.2">
      <c r="A30" t="s">
        <v>82</v>
      </c>
      <c r="B30" s="1">
        <v>40422</v>
      </c>
      <c r="C30">
        <v>46</v>
      </c>
      <c r="D30">
        <v>51</v>
      </c>
      <c r="H30">
        <f>(C30-D30)</f>
        <v>-5</v>
      </c>
      <c r="I30" s="21">
        <f>(C30/(C30+D30))*100</f>
        <v>47.422680412371129</v>
      </c>
      <c r="J30" t="s">
        <v>51</v>
      </c>
      <c r="K30" t="s">
        <v>14</v>
      </c>
    </row>
    <row r="31" spans="1:17" x14ac:dyDescent="0.2">
      <c r="A31" t="s">
        <v>82</v>
      </c>
      <c r="B31" s="1">
        <v>40497</v>
      </c>
      <c r="C31">
        <v>42</v>
      </c>
      <c r="J31" t="s">
        <v>32</v>
      </c>
    </row>
    <row r="32" spans="1:17" x14ac:dyDescent="0.2">
      <c r="A32" t="s">
        <v>82</v>
      </c>
      <c r="B32" s="1">
        <v>40527</v>
      </c>
      <c r="C32">
        <v>49</v>
      </c>
      <c r="J32" t="s">
        <v>32</v>
      </c>
    </row>
    <row r="33" spans="1:17" x14ac:dyDescent="0.2">
      <c r="A33" t="s">
        <v>82</v>
      </c>
      <c r="B33" s="1">
        <v>40575</v>
      </c>
      <c r="C33">
        <v>49</v>
      </c>
      <c r="J33" t="s">
        <v>33</v>
      </c>
    </row>
    <row r="34" spans="1:17" x14ac:dyDescent="0.2">
      <c r="A34" t="s">
        <v>82</v>
      </c>
      <c r="B34" s="1">
        <v>40801</v>
      </c>
      <c r="C34">
        <v>58</v>
      </c>
      <c r="J34" t="s">
        <v>16</v>
      </c>
    </row>
    <row r="35" spans="1:17" x14ac:dyDescent="0.2">
      <c r="A35" t="s">
        <v>82</v>
      </c>
      <c r="B35" s="1">
        <v>40923</v>
      </c>
      <c r="C35">
        <v>64</v>
      </c>
      <c r="J35" t="s">
        <v>17</v>
      </c>
    </row>
    <row r="36" spans="1:17" x14ac:dyDescent="0.2">
      <c r="A36" t="s">
        <v>82</v>
      </c>
      <c r="B36" s="1">
        <v>41014</v>
      </c>
      <c r="C36">
        <v>66</v>
      </c>
      <c r="J36" t="s">
        <v>41</v>
      </c>
    </row>
    <row r="37" spans="1:17" x14ac:dyDescent="0.2">
      <c r="A37" t="s">
        <v>82</v>
      </c>
      <c r="B37" s="1">
        <v>39736</v>
      </c>
      <c r="C37">
        <v>61</v>
      </c>
      <c r="D37">
        <v>31</v>
      </c>
      <c r="E37">
        <v>5</v>
      </c>
      <c r="H37">
        <f>(C37-D37)</f>
        <v>30</v>
      </c>
      <c r="I37" s="21">
        <f>(C37/(C37+D37))*100</f>
        <v>66.304347826086953</v>
      </c>
      <c r="J37" s="14" t="s">
        <v>67</v>
      </c>
      <c r="Q37" s="15" t="s">
        <v>134</v>
      </c>
    </row>
    <row r="38" spans="1:17" x14ac:dyDescent="0.2">
      <c r="A38" t="s">
        <v>82</v>
      </c>
      <c r="B38" s="1">
        <v>40313</v>
      </c>
      <c r="C38">
        <v>64</v>
      </c>
      <c r="D38">
        <v>34</v>
      </c>
      <c r="E38">
        <v>5</v>
      </c>
      <c r="H38">
        <f>(C38-D38)</f>
        <v>30</v>
      </c>
      <c r="I38" s="21">
        <f>(C38/(C38+D38))*100</f>
        <v>65.306122448979593</v>
      </c>
      <c r="J38" s="14" t="s">
        <v>50</v>
      </c>
      <c r="Q38" s="15" t="s">
        <v>135</v>
      </c>
    </row>
  </sheetData>
  <phoneticPr fontId="1" type="noConversion"/>
  <hyperlinks>
    <hyperlink ref="J37" r:id="rId1"/>
    <hyperlink ref="J38" r:id="rId2"/>
  </hyperlinks>
  <pageMargins left="0.75" right="0.7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50"/>
  <sheetViews>
    <sheetView workbookViewId="0">
      <selection activeCell="A10" sqref="A10"/>
    </sheetView>
  </sheetViews>
  <sheetFormatPr defaultColWidth="8.7109375" defaultRowHeight="12.75" x14ac:dyDescent="0.2"/>
  <cols>
    <col min="1" max="1" width="16.42578125" customWidth="1"/>
    <col min="2" max="2" width="10.140625" bestFit="1" customWidth="1"/>
    <col min="4" max="4" width="19.7109375" customWidth="1"/>
    <col min="11" max="11" width="17.42578125" customWidth="1"/>
    <col min="12" max="12" width="21" customWidth="1"/>
  </cols>
  <sheetData>
    <row r="1" spans="1:14" x14ac:dyDescent="0.2">
      <c r="A1" s="10" t="s">
        <v>200</v>
      </c>
      <c r="B1" s="10" t="s">
        <v>201</v>
      </c>
      <c r="C1" s="10" t="s">
        <v>202</v>
      </c>
      <c r="D1" s="10" t="s">
        <v>143</v>
      </c>
      <c r="E1" s="10" t="s">
        <v>203</v>
      </c>
      <c r="F1" s="10" t="s">
        <v>283</v>
      </c>
      <c r="G1" s="10" t="s">
        <v>118</v>
      </c>
      <c r="H1" s="10" t="s">
        <v>130</v>
      </c>
      <c r="I1" s="10" t="s">
        <v>131</v>
      </c>
      <c r="J1" s="10" t="s">
        <v>208</v>
      </c>
      <c r="K1" s="16" t="s">
        <v>65</v>
      </c>
      <c r="L1" s="16"/>
      <c r="M1" s="16"/>
      <c r="N1" s="16"/>
    </row>
    <row r="2" spans="1:14" x14ac:dyDescent="0.2">
      <c r="A2" s="10" t="s">
        <v>242</v>
      </c>
      <c r="B2" s="1">
        <v>39614</v>
      </c>
      <c r="C2">
        <v>57.3</v>
      </c>
      <c r="D2">
        <v>19</v>
      </c>
      <c r="E2">
        <v>21.4</v>
      </c>
      <c r="H2">
        <f>C2-E2</f>
        <v>35.9</v>
      </c>
      <c r="I2" s="22">
        <f>(C2/(C2+D2))*100</f>
        <v>75.098296199213635</v>
      </c>
      <c r="K2" s="16" t="s">
        <v>157</v>
      </c>
      <c r="L2" s="16" t="s">
        <v>28</v>
      </c>
      <c r="M2" s="16" t="s">
        <v>158</v>
      </c>
      <c r="N2" s="16"/>
    </row>
    <row r="3" spans="1:14" x14ac:dyDescent="0.2">
      <c r="A3" s="10" t="s">
        <v>30</v>
      </c>
      <c r="B3" s="1">
        <v>39644</v>
      </c>
      <c r="C3">
        <v>55.5</v>
      </c>
      <c r="D3">
        <v>22.1</v>
      </c>
      <c r="E3">
        <v>21.1</v>
      </c>
      <c r="H3">
        <f t="shared" ref="H3:H7" si="0">C3-E3</f>
        <v>34.4</v>
      </c>
      <c r="I3" s="22">
        <f t="shared" ref="I3:I7" si="1">(C3/(C3+D3))*100</f>
        <v>71.520618556701038</v>
      </c>
    </row>
    <row r="4" spans="1:14" x14ac:dyDescent="0.2">
      <c r="A4" s="10" t="s">
        <v>30</v>
      </c>
      <c r="B4" s="1">
        <v>39701</v>
      </c>
      <c r="C4">
        <v>52.4</v>
      </c>
      <c r="D4">
        <v>20.6</v>
      </c>
      <c r="E4">
        <v>25.8</v>
      </c>
      <c r="H4">
        <f t="shared" si="0"/>
        <v>26.599999999999998</v>
      </c>
      <c r="I4" s="22">
        <f t="shared" si="1"/>
        <v>71.780821917808211</v>
      </c>
    </row>
    <row r="5" spans="1:14" x14ac:dyDescent="0.2">
      <c r="A5" s="10" t="s">
        <v>30</v>
      </c>
      <c r="B5" s="1">
        <v>39731</v>
      </c>
      <c r="C5">
        <v>57</v>
      </c>
      <c r="D5">
        <v>17.899999999999999</v>
      </c>
      <c r="E5">
        <v>23.9</v>
      </c>
      <c r="H5">
        <f t="shared" si="0"/>
        <v>33.1</v>
      </c>
      <c r="I5" s="22">
        <f t="shared" si="1"/>
        <v>76.101468624833103</v>
      </c>
    </row>
    <row r="6" spans="1:14" x14ac:dyDescent="0.2">
      <c r="A6" s="10" t="s">
        <v>30</v>
      </c>
      <c r="B6" s="1">
        <v>39797</v>
      </c>
      <c r="C6">
        <v>56.2</v>
      </c>
      <c r="D6">
        <v>19.8</v>
      </c>
      <c r="E6">
        <v>22.4</v>
      </c>
      <c r="H6">
        <f t="shared" si="0"/>
        <v>33.800000000000004</v>
      </c>
      <c r="I6" s="22">
        <f t="shared" si="1"/>
        <v>73.947368421052644</v>
      </c>
    </row>
    <row r="7" spans="1:14" x14ac:dyDescent="0.2">
      <c r="A7" s="10" t="s">
        <v>30</v>
      </c>
      <c r="B7" s="1">
        <v>39828</v>
      </c>
      <c r="C7">
        <v>53.8</v>
      </c>
      <c r="D7">
        <v>20</v>
      </c>
      <c r="E7">
        <v>25.1</v>
      </c>
      <c r="H7">
        <f t="shared" si="0"/>
        <v>28.699999999999996</v>
      </c>
      <c r="I7" s="22">
        <f t="shared" si="1"/>
        <v>72.899728997289969</v>
      </c>
    </row>
    <row r="8" spans="1:14" x14ac:dyDescent="0.2">
      <c r="A8" s="10" t="s">
        <v>30</v>
      </c>
      <c r="B8" s="1">
        <v>39943</v>
      </c>
      <c r="C8">
        <v>56.3</v>
      </c>
      <c r="D8">
        <v>18.399999999999999</v>
      </c>
      <c r="I8" s="22"/>
    </row>
    <row r="9" spans="1:14" x14ac:dyDescent="0.2">
      <c r="A9" s="10" t="s">
        <v>30</v>
      </c>
      <c r="B9" s="1">
        <v>40071</v>
      </c>
      <c r="C9">
        <v>55.6</v>
      </c>
      <c r="D9">
        <v>18.3</v>
      </c>
      <c r="E9">
        <v>24</v>
      </c>
      <c r="H9">
        <f t="shared" ref="H9:H20" si="2">C9-E9</f>
        <v>31.6</v>
      </c>
      <c r="I9" s="22">
        <f t="shared" ref="I9:I20" si="3">(C9/(C9+D9))*100</f>
        <v>75.236806495263863</v>
      </c>
      <c r="J9" t="s">
        <v>19</v>
      </c>
    </row>
    <row r="10" spans="1:14" x14ac:dyDescent="0.2">
      <c r="A10" s="10" t="s">
        <v>30</v>
      </c>
      <c r="B10" s="1">
        <v>40132</v>
      </c>
      <c r="C10">
        <v>44.1</v>
      </c>
      <c r="D10">
        <v>22.1</v>
      </c>
      <c r="E10">
        <v>30.7</v>
      </c>
      <c r="H10">
        <f t="shared" si="2"/>
        <v>13.400000000000002</v>
      </c>
      <c r="I10" s="22">
        <f t="shared" si="3"/>
        <v>66.616314199395759</v>
      </c>
    </row>
    <row r="11" spans="1:14" x14ac:dyDescent="0.2">
      <c r="A11" s="10" t="s">
        <v>30</v>
      </c>
      <c r="B11" s="1">
        <v>40162</v>
      </c>
      <c r="C11">
        <v>47.2</v>
      </c>
      <c r="D11">
        <v>20.5</v>
      </c>
      <c r="E11">
        <v>30.4</v>
      </c>
      <c r="H11">
        <f t="shared" si="2"/>
        <v>16.800000000000004</v>
      </c>
      <c r="I11" s="22">
        <f t="shared" si="3"/>
        <v>69.719350073855253</v>
      </c>
    </row>
    <row r="12" spans="1:14" x14ac:dyDescent="0.2">
      <c r="A12" s="10" t="s">
        <v>30</v>
      </c>
      <c r="B12" s="1">
        <v>40219</v>
      </c>
      <c r="C12">
        <v>37.700000000000003</v>
      </c>
      <c r="D12">
        <v>20.5</v>
      </c>
      <c r="E12">
        <v>39.700000000000003</v>
      </c>
      <c r="H12">
        <f t="shared" si="2"/>
        <v>-2</v>
      </c>
      <c r="I12" s="22">
        <f t="shared" si="3"/>
        <v>64.776632302405503</v>
      </c>
    </row>
    <row r="13" spans="1:14" x14ac:dyDescent="0.2">
      <c r="A13" s="10" t="s">
        <v>30</v>
      </c>
      <c r="B13" s="1">
        <v>40252</v>
      </c>
      <c r="C13">
        <v>43</v>
      </c>
      <c r="D13">
        <v>21.4</v>
      </c>
      <c r="E13">
        <v>33.200000000000003</v>
      </c>
      <c r="H13">
        <f t="shared" si="2"/>
        <v>9.7999999999999972</v>
      </c>
      <c r="I13" s="22">
        <f t="shared" si="3"/>
        <v>66.770186335403722</v>
      </c>
    </row>
    <row r="14" spans="1:14" x14ac:dyDescent="0.2">
      <c r="A14" s="10" t="s">
        <v>30</v>
      </c>
      <c r="B14" s="11">
        <v>40313</v>
      </c>
      <c r="C14" s="10">
        <v>42.4</v>
      </c>
      <c r="D14">
        <v>23.9</v>
      </c>
      <c r="E14">
        <v>31.8</v>
      </c>
      <c r="G14">
        <v>2500</v>
      </c>
      <c r="H14">
        <f t="shared" si="2"/>
        <v>10.599999999999998</v>
      </c>
      <c r="I14" s="22">
        <f t="shared" si="3"/>
        <v>63.951734539969841</v>
      </c>
    </row>
    <row r="15" spans="1:14" x14ac:dyDescent="0.2">
      <c r="A15" s="10" t="s">
        <v>30</v>
      </c>
      <c r="B15" s="1">
        <v>40347</v>
      </c>
      <c r="C15">
        <v>47.9</v>
      </c>
      <c r="D15">
        <v>22.2</v>
      </c>
      <c r="E15">
        <v>27.8</v>
      </c>
      <c r="G15">
        <v>2499</v>
      </c>
      <c r="H15">
        <f t="shared" si="2"/>
        <v>20.099999999999998</v>
      </c>
      <c r="I15" s="22">
        <f t="shared" si="3"/>
        <v>68.330955777460773</v>
      </c>
      <c r="J15" t="s">
        <v>18</v>
      </c>
    </row>
    <row r="16" spans="1:14" x14ac:dyDescent="0.2">
      <c r="A16" s="10" t="s">
        <v>30</v>
      </c>
      <c r="B16" s="1">
        <v>40386</v>
      </c>
      <c r="C16">
        <v>46.6</v>
      </c>
      <c r="D16">
        <v>21.4</v>
      </c>
      <c r="E16">
        <v>30.8</v>
      </c>
      <c r="G16">
        <v>2501</v>
      </c>
      <c r="H16">
        <f t="shared" si="2"/>
        <v>15.8</v>
      </c>
      <c r="I16" s="22">
        <f t="shared" si="3"/>
        <v>68.529411764705884</v>
      </c>
    </row>
    <row r="17" spans="1:21" x14ac:dyDescent="0.2">
      <c r="A17" s="10" t="s">
        <v>30</v>
      </c>
      <c r="B17" s="1">
        <v>40425</v>
      </c>
      <c r="C17">
        <v>49.2</v>
      </c>
      <c r="D17">
        <v>23.6</v>
      </c>
      <c r="E17">
        <v>25.8</v>
      </c>
      <c r="F17">
        <v>1.4</v>
      </c>
      <c r="G17">
        <v>2500</v>
      </c>
      <c r="H17">
        <f t="shared" si="2"/>
        <v>23.400000000000002</v>
      </c>
      <c r="I17" s="22">
        <f t="shared" si="3"/>
        <v>67.582417582417577</v>
      </c>
      <c r="J17" t="s">
        <v>156</v>
      </c>
      <c r="L17" s="14" t="s">
        <v>66</v>
      </c>
    </row>
    <row r="18" spans="1:21" x14ac:dyDescent="0.2">
      <c r="A18" s="10" t="s">
        <v>30</v>
      </c>
      <c r="B18" s="1">
        <v>40441</v>
      </c>
      <c r="C18">
        <v>48.7</v>
      </c>
      <c r="D18">
        <v>22</v>
      </c>
      <c r="E18">
        <v>27.4</v>
      </c>
      <c r="H18">
        <f t="shared" si="2"/>
        <v>21.300000000000004</v>
      </c>
      <c r="I18" s="22">
        <f t="shared" si="3"/>
        <v>68.882602545968879</v>
      </c>
      <c r="L18" s="14"/>
    </row>
    <row r="19" spans="1:21" x14ac:dyDescent="0.2">
      <c r="A19" s="10" t="s">
        <v>30</v>
      </c>
      <c r="B19" s="1">
        <v>40471</v>
      </c>
      <c r="C19">
        <v>53.1</v>
      </c>
      <c r="D19">
        <v>21.6</v>
      </c>
      <c r="E19">
        <v>23.5</v>
      </c>
      <c r="F19">
        <v>1.8</v>
      </c>
      <c r="G19">
        <v>2500</v>
      </c>
      <c r="H19">
        <f t="shared" si="2"/>
        <v>29.6</v>
      </c>
      <c r="I19" s="22">
        <f t="shared" si="3"/>
        <v>71.084337349397586</v>
      </c>
      <c r="J19" t="s">
        <v>156</v>
      </c>
      <c r="L19" t="s">
        <v>66</v>
      </c>
    </row>
    <row r="20" spans="1:21" x14ac:dyDescent="0.2">
      <c r="A20" s="10" t="s">
        <v>30</v>
      </c>
      <c r="B20" s="1">
        <v>40558</v>
      </c>
      <c r="C20">
        <v>54.7</v>
      </c>
      <c r="D20">
        <v>21.6</v>
      </c>
      <c r="E20">
        <v>26.5</v>
      </c>
      <c r="H20">
        <f t="shared" si="2"/>
        <v>28.200000000000003</v>
      </c>
      <c r="I20" s="22">
        <f t="shared" si="3"/>
        <v>71.690694626474439</v>
      </c>
      <c r="J20" s="10" t="s">
        <v>29</v>
      </c>
    </row>
    <row r="21" spans="1:21" x14ac:dyDescent="0.2">
      <c r="A21" s="10"/>
      <c r="B21" s="1"/>
      <c r="I21" s="22"/>
      <c r="J21" s="10"/>
    </row>
    <row r="22" spans="1:21" x14ac:dyDescent="0.2">
      <c r="A22" s="10" t="s">
        <v>200</v>
      </c>
      <c r="B22" s="11" t="s">
        <v>201</v>
      </c>
      <c r="C22" s="10" t="s">
        <v>202</v>
      </c>
      <c r="D22" s="10" t="s">
        <v>143</v>
      </c>
      <c r="E22" s="10" t="s">
        <v>203</v>
      </c>
      <c r="F22" s="10" t="s">
        <v>283</v>
      </c>
      <c r="G22" s="37" t="s">
        <v>118</v>
      </c>
      <c r="H22" s="10" t="s">
        <v>130</v>
      </c>
      <c r="I22" s="10" t="s">
        <v>131</v>
      </c>
      <c r="J22" s="10" t="s">
        <v>208</v>
      </c>
      <c r="K22" s="16" t="s">
        <v>212</v>
      </c>
    </row>
    <row r="23" spans="1:21" ht="16.5" x14ac:dyDescent="0.25">
      <c r="A23" s="10" t="s">
        <v>31</v>
      </c>
      <c r="B23" s="1">
        <v>40597</v>
      </c>
      <c r="C23">
        <v>57</v>
      </c>
      <c r="D23">
        <v>22</v>
      </c>
      <c r="E23">
        <v>20</v>
      </c>
      <c r="F23">
        <v>1</v>
      </c>
      <c r="G23">
        <v>1000</v>
      </c>
      <c r="H23">
        <f>C23-E23</f>
        <v>37</v>
      </c>
      <c r="I23" s="22">
        <f t="shared" ref="I23:I39" si="4">(C23/(C23+D23))*100</f>
        <v>72.151898734177209</v>
      </c>
      <c r="J23" s="10" t="s">
        <v>68</v>
      </c>
      <c r="U23" s="19"/>
    </row>
    <row r="24" spans="1:21" x14ac:dyDescent="0.2">
      <c r="A24" s="10" t="s">
        <v>31</v>
      </c>
      <c r="B24" s="1">
        <v>40619</v>
      </c>
      <c r="C24">
        <v>51</v>
      </c>
      <c r="D24">
        <v>21</v>
      </c>
      <c r="E24">
        <v>26</v>
      </c>
      <c r="F24">
        <v>2</v>
      </c>
      <c r="G24">
        <v>2500</v>
      </c>
      <c r="H24">
        <f t="shared" ref="H24:H39" si="5">C24-E24</f>
        <v>25</v>
      </c>
      <c r="I24" s="22">
        <f t="shared" si="4"/>
        <v>70.833333333333343</v>
      </c>
      <c r="J24" s="10" t="s">
        <v>136</v>
      </c>
    </row>
    <row r="25" spans="1:21" x14ac:dyDescent="0.2">
      <c r="A25" s="10" t="s">
        <v>31</v>
      </c>
      <c r="B25" s="1">
        <v>40667</v>
      </c>
      <c r="C25">
        <v>52</v>
      </c>
      <c r="D25">
        <v>21</v>
      </c>
      <c r="E25">
        <v>26</v>
      </c>
      <c r="F25">
        <v>1</v>
      </c>
      <c r="G25">
        <v>2500</v>
      </c>
      <c r="H25">
        <f t="shared" si="5"/>
        <v>26</v>
      </c>
      <c r="I25" s="22">
        <f t="shared" si="4"/>
        <v>71.232876712328761</v>
      </c>
      <c r="J25" s="10"/>
    </row>
    <row r="26" spans="1:21" x14ac:dyDescent="0.2">
      <c r="A26" s="10" t="s">
        <v>31</v>
      </c>
      <c r="B26" s="1">
        <v>40687</v>
      </c>
      <c r="C26">
        <v>53.3</v>
      </c>
      <c r="D26">
        <v>24.1</v>
      </c>
      <c r="E26">
        <v>21.5</v>
      </c>
      <c r="F26">
        <v>1</v>
      </c>
      <c r="G26">
        <v>1500</v>
      </c>
      <c r="H26">
        <f t="shared" si="5"/>
        <v>31.799999999999997</v>
      </c>
      <c r="I26" s="22">
        <f t="shared" si="4"/>
        <v>68.863049095607238</v>
      </c>
      <c r="J26" s="14" t="s">
        <v>137</v>
      </c>
    </row>
    <row r="27" spans="1:21" x14ac:dyDescent="0.2">
      <c r="A27" s="10" t="s">
        <v>31</v>
      </c>
      <c r="B27" s="1">
        <v>40727</v>
      </c>
      <c r="C27">
        <v>55</v>
      </c>
      <c r="D27">
        <v>22</v>
      </c>
      <c r="E27">
        <v>23</v>
      </c>
      <c r="F27">
        <v>0</v>
      </c>
      <c r="G27">
        <v>2500</v>
      </c>
      <c r="H27">
        <f t="shared" si="5"/>
        <v>32</v>
      </c>
      <c r="I27" s="22">
        <f t="shared" si="4"/>
        <v>71.428571428571431</v>
      </c>
      <c r="J27" s="10"/>
    </row>
    <row r="28" spans="1:21" x14ac:dyDescent="0.2">
      <c r="A28" s="10" t="s">
        <v>31</v>
      </c>
      <c r="B28" s="1">
        <v>40784</v>
      </c>
      <c r="C28">
        <v>59</v>
      </c>
      <c r="D28">
        <v>22</v>
      </c>
      <c r="E28">
        <v>18</v>
      </c>
      <c r="F28">
        <v>1</v>
      </c>
      <c r="G28">
        <v>2500</v>
      </c>
      <c r="H28">
        <f t="shared" si="5"/>
        <v>41</v>
      </c>
      <c r="I28" s="22">
        <f t="shared" si="4"/>
        <v>72.839506172839506</v>
      </c>
      <c r="J28" s="18" t="s">
        <v>112</v>
      </c>
    </row>
    <row r="29" spans="1:21" x14ac:dyDescent="0.2">
      <c r="A29" s="10" t="s">
        <v>31</v>
      </c>
      <c r="B29" s="1">
        <v>40813</v>
      </c>
      <c r="C29">
        <v>61</v>
      </c>
      <c r="D29">
        <v>20</v>
      </c>
      <c r="E29">
        <v>19</v>
      </c>
      <c r="F29">
        <v>1</v>
      </c>
      <c r="G29">
        <v>2500</v>
      </c>
      <c r="H29">
        <f t="shared" si="5"/>
        <v>42</v>
      </c>
      <c r="I29" s="22">
        <f t="shared" si="4"/>
        <v>75.308641975308646</v>
      </c>
      <c r="J29" s="10" t="s">
        <v>113</v>
      </c>
    </row>
    <row r="30" spans="1:21" x14ac:dyDescent="0.2">
      <c r="A30" s="10" t="s">
        <v>31</v>
      </c>
      <c r="B30" s="1">
        <v>40852</v>
      </c>
      <c r="C30">
        <v>62</v>
      </c>
      <c r="D30">
        <v>18</v>
      </c>
      <c r="E30">
        <v>19</v>
      </c>
      <c r="F30">
        <v>1</v>
      </c>
      <c r="G30">
        <v>2500</v>
      </c>
      <c r="H30">
        <f t="shared" si="5"/>
        <v>43</v>
      </c>
      <c r="I30" s="22">
        <f t="shared" si="4"/>
        <v>77.5</v>
      </c>
      <c r="J30" s="10"/>
    </row>
    <row r="31" spans="1:21" x14ac:dyDescent="0.2">
      <c r="A31" s="10" t="s">
        <v>31</v>
      </c>
      <c r="B31" s="1">
        <v>40887</v>
      </c>
      <c r="C31">
        <v>60</v>
      </c>
      <c r="D31">
        <v>20</v>
      </c>
      <c r="E31">
        <v>20</v>
      </c>
      <c r="F31">
        <v>1</v>
      </c>
      <c r="G31">
        <v>2500</v>
      </c>
      <c r="H31">
        <f t="shared" si="5"/>
        <v>40</v>
      </c>
      <c r="I31" s="22">
        <f t="shared" si="4"/>
        <v>75</v>
      </c>
      <c r="J31" s="10"/>
    </row>
    <row r="32" spans="1:21" x14ac:dyDescent="0.2">
      <c r="A32" s="10" t="s">
        <v>31</v>
      </c>
      <c r="B32" s="1">
        <v>40929</v>
      </c>
      <c r="C32">
        <v>61</v>
      </c>
      <c r="D32">
        <v>19</v>
      </c>
      <c r="E32">
        <v>19</v>
      </c>
      <c r="F32">
        <v>1</v>
      </c>
      <c r="G32">
        <v>1500</v>
      </c>
      <c r="H32">
        <f t="shared" si="5"/>
        <v>42</v>
      </c>
      <c r="I32" s="22">
        <f t="shared" si="4"/>
        <v>76.25</v>
      </c>
      <c r="J32" s="10"/>
    </row>
    <row r="33" spans="1:10" x14ac:dyDescent="0.2">
      <c r="A33" s="10" t="s">
        <v>31</v>
      </c>
      <c r="B33" s="1">
        <v>40973</v>
      </c>
      <c r="C33">
        <v>63</v>
      </c>
      <c r="D33">
        <v>19</v>
      </c>
      <c r="E33">
        <v>17</v>
      </c>
      <c r="F33">
        <v>1</v>
      </c>
      <c r="G33">
        <v>2500</v>
      </c>
      <c r="H33">
        <f t="shared" si="5"/>
        <v>46</v>
      </c>
      <c r="I33" s="22">
        <f t="shared" si="4"/>
        <v>76.829268292682926</v>
      </c>
      <c r="J33" s="10"/>
    </row>
    <row r="34" spans="1:10" x14ac:dyDescent="0.2">
      <c r="A34" s="10" t="s">
        <v>31</v>
      </c>
      <c r="B34" s="1">
        <v>41034</v>
      </c>
      <c r="C34">
        <v>66</v>
      </c>
      <c r="D34">
        <v>18</v>
      </c>
      <c r="E34">
        <v>15</v>
      </c>
      <c r="F34">
        <v>1</v>
      </c>
      <c r="G34">
        <v>9300</v>
      </c>
      <c r="H34">
        <f t="shared" si="5"/>
        <v>51</v>
      </c>
      <c r="I34" s="22">
        <f t="shared" si="4"/>
        <v>78.571428571428569</v>
      </c>
      <c r="J34" s="10"/>
    </row>
    <row r="35" spans="1:10" x14ac:dyDescent="0.2">
      <c r="A35" s="10" t="s">
        <v>31</v>
      </c>
      <c r="B35" s="1">
        <v>41065</v>
      </c>
      <c r="C35">
        <v>63</v>
      </c>
      <c r="D35">
        <v>17</v>
      </c>
      <c r="E35">
        <v>19</v>
      </c>
      <c r="F35">
        <v>1</v>
      </c>
      <c r="G35">
        <v>2500</v>
      </c>
      <c r="H35">
        <f t="shared" si="5"/>
        <v>44</v>
      </c>
      <c r="I35" s="22">
        <f t="shared" si="4"/>
        <v>78.75</v>
      </c>
      <c r="J35" s="10"/>
    </row>
    <row r="36" spans="1:10" x14ac:dyDescent="0.2">
      <c r="A36" s="10" t="s">
        <v>31</v>
      </c>
      <c r="B36" s="1">
        <v>41123</v>
      </c>
      <c r="C36">
        <v>64</v>
      </c>
      <c r="D36">
        <v>14</v>
      </c>
      <c r="E36">
        <v>20</v>
      </c>
      <c r="F36">
        <v>1</v>
      </c>
      <c r="G36">
        <v>2500</v>
      </c>
      <c r="H36">
        <f t="shared" si="5"/>
        <v>44</v>
      </c>
      <c r="I36" s="22">
        <f t="shared" si="4"/>
        <v>82.051282051282044</v>
      </c>
      <c r="J36" s="10"/>
    </row>
    <row r="37" spans="1:10" x14ac:dyDescent="0.2">
      <c r="A37" s="10" t="s">
        <v>31</v>
      </c>
      <c r="B37" s="1">
        <v>41218</v>
      </c>
      <c r="C37">
        <v>60</v>
      </c>
      <c r="D37">
        <v>19</v>
      </c>
      <c r="E37">
        <v>19</v>
      </c>
      <c r="F37">
        <v>2</v>
      </c>
      <c r="G37">
        <v>2500</v>
      </c>
      <c r="H37">
        <f t="shared" si="5"/>
        <v>41</v>
      </c>
      <c r="I37" s="22">
        <f t="shared" si="4"/>
        <v>75.949367088607602</v>
      </c>
      <c r="J37" s="10"/>
    </row>
    <row r="38" spans="1:10" x14ac:dyDescent="0.2">
      <c r="A38" s="10" t="s">
        <v>31</v>
      </c>
      <c r="B38" s="1">
        <v>41250</v>
      </c>
      <c r="C38">
        <v>60</v>
      </c>
      <c r="D38">
        <v>20</v>
      </c>
      <c r="E38">
        <v>18</v>
      </c>
      <c r="F38">
        <v>2</v>
      </c>
      <c r="G38">
        <v>1500</v>
      </c>
      <c r="H38">
        <f t="shared" si="5"/>
        <v>42</v>
      </c>
      <c r="I38" s="22">
        <f t="shared" si="4"/>
        <v>75</v>
      </c>
      <c r="J38" s="10"/>
    </row>
    <row r="39" spans="1:10" x14ac:dyDescent="0.2">
      <c r="A39" s="10" t="s">
        <v>31</v>
      </c>
      <c r="B39" s="1">
        <v>41297</v>
      </c>
      <c r="C39">
        <v>70</v>
      </c>
      <c r="D39">
        <v>15</v>
      </c>
      <c r="E39">
        <v>14</v>
      </c>
      <c r="F39">
        <v>1</v>
      </c>
      <c r="G39">
        <v>2500</v>
      </c>
      <c r="H39">
        <f t="shared" si="5"/>
        <v>56</v>
      </c>
      <c r="I39" s="22">
        <f t="shared" si="4"/>
        <v>82.35294117647058</v>
      </c>
      <c r="J39" s="10"/>
    </row>
    <row r="40" spans="1:10" x14ac:dyDescent="0.2">
      <c r="A40" s="10"/>
      <c r="B40" s="1"/>
      <c r="J40" s="10" t="s">
        <v>153</v>
      </c>
    </row>
    <row r="42" spans="1:10" x14ac:dyDescent="0.2">
      <c r="A42" s="17"/>
    </row>
    <row r="43" spans="1:10" x14ac:dyDescent="0.2">
      <c r="A43" s="12"/>
      <c r="B43" s="12"/>
      <c r="C43" s="12"/>
      <c r="D43" s="12"/>
      <c r="E43" s="12"/>
      <c r="F43" s="12"/>
      <c r="G43" s="12"/>
      <c r="H43" s="12"/>
    </row>
    <row r="44" spans="1:10" x14ac:dyDescent="0.2">
      <c r="A44" s="12"/>
      <c r="B44" s="12"/>
      <c r="C44" s="12"/>
      <c r="D44" s="12"/>
      <c r="E44" s="12"/>
      <c r="F44" s="12"/>
      <c r="G44" s="12"/>
      <c r="H44" s="12"/>
    </row>
    <row r="45" spans="1:10" x14ac:dyDescent="0.2">
      <c r="A45" s="12"/>
      <c r="B45" s="13"/>
      <c r="C45" s="12"/>
      <c r="D45" s="12"/>
      <c r="E45" s="12"/>
      <c r="F45" s="12"/>
      <c r="G45" s="12"/>
      <c r="H45" s="12"/>
    </row>
    <row r="46" spans="1:10" x14ac:dyDescent="0.2">
      <c r="A46" s="12"/>
      <c r="B46" s="13"/>
      <c r="C46" s="12"/>
      <c r="D46" s="12"/>
      <c r="E46" s="12"/>
      <c r="F46" s="12"/>
      <c r="G46" s="12"/>
      <c r="H46" s="12"/>
    </row>
    <row r="47" spans="1:10" x14ac:dyDescent="0.2">
      <c r="A47" s="12"/>
      <c r="B47" s="13"/>
      <c r="C47" s="12"/>
      <c r="D47" s="12"/>
      <c r="E47" s="12"/>
      <c r="F47" s="12"/>
      <c r="G47" s="12"/>
      <c r="H47" s="12"/>
    </row>
    <row r="48" spans="1:10" x14ac:dyDescent="0.2">
      <c r="A48" s="12"/>
      <c r="B48" s="13"/>
      <c r="C48" s="12"/>
      <c r="D48" s="12"/>
      <c r="E48" s="12"/>
      <c r="F48" s="12"/>
      <c r="G48" s="12"/>
      <c r="H48" s="12"/>
    </row>
    <row r="49" spans="1:8" x14ac:dyDescent="0.2">
      <c r="A49" s="12"/>
      <c r="B49" s="13"/>
      <c r="C49" s="12"/>
      <c r="D49" s="12"/>
      <c r="E49" s="12"/>
      <c r="F49" s="12"/>
      <c r="G49" s="12"/>
      <c r="H49" s="12"/>
    </row>
    <row r="50" spans="1:8" x14ac:dyDescent="0.2">
      <c r="A50" s="12"/>
      <c r="B50" s="13"/>
      <c r="C50" s="12"/>
      <c r="D50" s="12"/>
      <c r="E50" s="12"/>
      <c r="F50" s="12"/>
      <c r="G50" s="12"/>
      <c r="H50" s="12"/>
    </row>
  </sheetData>
  <phoneticPr fontId="15" type="noConversion"/>
  <hyperlinks>
    <hyperlink ref="L17" r:id="rId1"/>
    <hyperlink ref="J26" r:id="rId2"/>
  </hyperlinks>
  <pageMargins left="0.7" right="0.7" top="0.75" bottom="0.75" header="0.3" footer="0.3"/>
  <pageSetup orientation="portrait" horizontalDpi="4294967292" verticalDpi="4294967292" r:id="rId3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16"/>
  <sheetViews>
    <sheetView workbookViewId="0">
      <selection activeCell="A10" sqref="A10"/>
    </sheetView>
  </sheetViews>
  <sheetFormatPr defaultColWidth="8.7109375" defaultRowHeight="12.75" x14ac:dyDescent="0.2"/>
  <cols>
    <col min="1" max="1" width="23.42578125" customWidth="1"/>
    <col min="2" max="2" width="13.85546875" customWidth="1"/>
    <col min="3" max="3" width="14.42578125" customWidth="1"/>
    <col min="6" max="6" width="9.140625" customWidth="1"/>
  </cols>
  <sheetData>
    <row r="1" spans="1:14" x14ac:dyDescent="0.2">
      <c r="A1" s="10" t="s">
        <v>200</v>
      </c>
      <c r="B1" s="10" t="s">
        <v>201</v>
      </c>
      <c r="C1" s="10" t="s">
        <v>202</v>
      </c>
      <c r="D1" s="10" t="s">
        <v>203</v>
      </c>
      <c r="E1" s="10" t="s">
        <v>283</v>
      </c>
      <c r="F1" s="10" t="s">
        <v>118</v>
      </c>
      <c r="G1" t="s">
        <v>132</v>
      </c>
      <c r="H1" t="s">
        <v>133</v>
      </c>
      <c r="I1" s="10" t="s">
        <v>208</v>
      </c>
      <c r="J1" s="16" t="s">
        <v>213</v>
      </c>
      <c r="K1" s="16" t="s">
        <v>44</v>
      </c>
      <c r="L1" s="16" t="s">
        <v>45</v>
      </c>
      <c r="M1" s="16" t="s">
        <v>265</v>
      </c>
      <c r="N1" s="16" t="s">
        <v>266</v>
      </c>
    </row>
    <row r="2" spans="1:14" x14ac:dyDescent="0.2">
      <c r="A2" s="10" t="s">
        <v>7</v>
      </c>
      <c r="B2" s="1">
        <v>40235</v>
      </c>
      <c r="C2">
        <v>43</v>
      </c>
      <c r="D2">
        <v>47</v>
      </c>
      <c r="F2">
        <v>1300</v>
      </c>
      <c r="G2">
        <f>C2-D2</f>
        <v>-4</v>
      </c>
      <c r="H2" s="23">
        <f>(C2/(C2+D2))*100</f>
        <v>47.777777777777779</v>
      </c>
      <c r="I2" t="s">
        <v>43</v>
      </c>
    </row>
    <row r="3" spans="1:14" x14ac:dyDescent="0.2">
      <c r="A3" s="10" t="s">
        <v>7</v>
      </c>
      <c r="B3" s="1">
        <v>40326</v>
      </c>
      <c r="C3">
        <v>46</v>
      </c>
      <c r="D3">
        <v>47</v>
      </c>
      <c r="E3">
        <v>7</v>
      </c>
      <c r="F3">
        <v>1300</v>
      </c>
      <c r="G3">
        <f t="shared" ref="G3:G7" si="0">C3-D3</f>
        <v>-1</v>
      </c>
      <c r="H3" s="23">
        <f t="shared" ref="H3:H7" si="1">(C3/(C3+D3))*100</f>
        <v>49.462365591397848</v>
      </c>
      <c r="I3" t="s">
        <v>46</v>
      </c>
    </row>
    <row r="4" spans="1:14" x14ac:dyDescent="0.2">
      <c r="A4" s="10" t="s">
        <v>7</v>
      </c>
      <c r="B4" s="1">
        <v>40595</v>
      </c>
      <c r="C4">
        <v>46</v>
      </c>
      <c r="D4">
        <v>53</v>
      </c>
      <c r="E4">
        <v>1</v>
      </c>
      <c r="G4">
        <f t="shared" si="0"/>
        <v>-7</v>
      </c>
      <c r="H4" s="23">
        <f t="shared" si="1"/>
        <v>46.464646464646464</v>
      </c>
      <c r="I4" t="s">
        <v>23</v>
      </c>
    </row>
    <row r="5" spans="1:14" x14ac:dyDescent="0.2">
      <c r="A5" s="10" t="s">
        <v>7</v>
      </c>
      <c r="B5" s="1">
        <v>41348</v>
      </c>
      <c r="C5">
        <v>51</v>
      </c>
      <c r="D5">
        <v>42</v>
      </c>
      <c r="G5">
        <f t="shared" si="0"/>
        <v>9</v>
      </c>
      <c r="H5" s="23">
        <f t="shared" si="1"/>
        <v>54.838709677419352</v>
      </c>
      <c r="I5" t="s">
        <v>264</v>
      </c>
    </row>
    <row r="6" spans="1:14" x14ac:dyDescent="0.2">
      <c r="A6" s="10" t="s">
        <v>7</v>
      </c>
      <c r="B6" s="1">
        <v>41410</v>
      </c>
      <c r="C6">
        <v>46.8</v>
      </c>
      <c r="D6">
        <v>48.8</v>
      </c>
      <c r="F6">
        <v>2000</v>
      </c>
      <c r="G6">
        <f t="shared" si="0"/>
        <v>-2</v>
      </c>
      <c r="H6" s="23">
        <f t="shared" si="1"/>
        <v>48.953974895397486</v>
      </c>
      <c r="I6" t="s">
        <v>114</v>
      </c>
    </row>
    <row r="7" spans="1:14" x14ac:dyDescent="0.2">
      <c r="A7" s="10" t="s">
        <v>7</v>
      </c>
      <c r="B7" s="1">
        <v>41461</v>
      </c>
      <c r="C7">
        <v>44.9</v>
      </c>
      <c r="D7">
        <v>48.3</v>
      </c>
      <c r="E7">
        <v>6.6</v>
      </c>
      <c r="F7">
        <v>2000</v>
      </c>
      <c r="G7">
        <f t="shared" si="0"/>
        <v>-3.3999999999999986</v>
      </c>
      <c r="H7" s="24">
        <f t="shared" si="1"/>
        <v>48.175965665236056</v>
      </c>
      <c r="I7" t="s">
        <v>264</v>
      </c>
    </row>
    <row r="8" spans="1:14" x14ac:dyDescent="0.2">
      <c r="H8" s="23"/>
    </row>
    <row r="9" spans="1:14" x14ac:dyDescent="0.2">
      <c r="A9" s="10" t="s">
        <v>200</v>
      </c>
      <c r="B9" s="10" t="s">
        <v>201</v>
      </c>
      <c r="C9" s="10" t="s">
        <v>202</v>
      </c>
      <c r="D9" s="10" t="s">
        <v>143</v>
      </c>
      <c r="E9" s="10" t="s">
        <v>203</v>
      </c>
      <c r="F9" s="10" t="s">
        <v>118</v>
      </c>
      <c r="G9" t="s">
        <v>130</v>
      </c>
      <c r="H9" t="s">
        <v>131</v>
      </c>
      <c r="I9" s="10" t="s">
        <v>208</v>
      </c>
      <c r="J9" s="16" t="s">
        <v>214</v>
      </c>
      <c r="K9" s="16" t="s">
        <v>5</v>
      </c>
      <c r="L9" s="16" t="s">
        <v>159</v>
      </c>
      <c r="M9" s="16" t="s">
        <v>6</v>
      </c>
    </row>
    <row r="10" spans="1:14" x14ac:dyDescent="0.2">
      <c r="A10" s="18" t="s">
        <v>4</v>
      </c>
      <c r="B10" s="1">
        <v>40235</v>
      </c>
      <c r="C10">
        <v>40</v>
      </c>
      <c r="D10">
        <v>14</v>
      </c>
      <c r="E10">
        <v>46</v>
      </c>
      <c r="G10">
        <f>C10-E10</f>
        <v>-6</v>
      </c>
      <c r="H10" s="23">
        <f>(C10/(C10+E10))*100</f>
        <v>46.511627906976742</v>
      </c>
      <c r="I10" t="s">
        <v>55</v>
      </c>
    </row>
    <row r="11" spans="1:14" x14ac:dyDescent="0.2">
      <c r="A11" s="10" t="s">
        <v>4</v>
      </c>
      <c r="B11" s="1">
        <v>40326</v>
      </c>
      <c r="C11">
        <v>41</v>
      </c>
      <c r="D11">
        <v>16</v>
      </c>
      <c r="E11">
        <v>47</v>
      </c>
      <c r="F11">
        <v>1300</v>
      </c>
      <c r="G11">
        <f t="shared" ref="G11:G14" si="2">C11-E11</f>
        <v>-6</v>
      </c>
      <c r="H11" s="23">
        <f t="shared" ref="H11:H14" si="3">(C11/(C11+E11))*100</f>
        <v>46.590909090909086</v>
      </c>
      <c r="I11" t="s">
        <v>46</v>
      </c>
    </row>
    <row r="12" spans="1:14" x14ac:dyDescent="0.2">
      <c r="A12" s="10" t="s">
        <v>4</v>
      </c>
      <c r="B12" s="1">
        <v>40594</v>
      </c>
      <c r="C12">
        <v>43</v>
      </c>
      <c r="D12">
        <v>8</v>
      </c>
      <c r="E12">
        <v>49</v>
      </c>
      <c r="G12">
        <f t="shared" si="2"/>
        <v>-6</v>
      </c>
      <c r="H12" s="23">
        <f t="shared" si="3"/>
        <v>46.739130434782609</v>
      </c>
      <c r="I12" t="s">
        <v>23</v>
      </c>
    </row>
    <row r="13" spans="1:14" x14ac:dyDescent="0.2">
      <c r="A13" s="10" t="s">
        <v>4</v>
      </c>
      <c r="B13" s="1">
        <v>41002</v>
      </c>
      <c r="C13">
        <v>46.2</v>
      </c>
      <c r="D13">
        <v>0.1</v>
      </c>
      <c r="E13">
        <v>44.7</v>
      </c>
      <c r="F13">
        <v>1900</v>
      </c>
      <c r="G13">
        <f t="shared" si="2"/>
        <v>1.5</v>
      </c>
      <c r="H13" s="23">
        <f t="shared" si="3"/>
        <v>50.82508250825083</v>
      </c>
    </row>
    <row r="14" spans="1:14" x14ac:dyDescent="0.2">
      <c r="A14" s="10" t="s">
        <v>4</v>
      </c>
      <c r="B14" s="1">
        <v>41348</v>
      </c>
      <c r="C14">
        <v>50</v>
      </c>
      <c r="D14">
        <v>9</v>
      </c>
      <c r="E14">
        <v>41</v>
      </c>
      <c r="G14">
        <f t="shared" si="2"/>
        <v>9</v>
      </c>
      <c r="H14" s="24">
        <f t="shared" si="3"/>
        <v>54.945054945054949</v>
      </c>
      <c r="I14" t="s">
        <v>264</v>
      </c>
    </row>
    <row r="15" spans="1:14" x14ac:dyDescent="0.2">
      <c r="A15" s="10" t="s">
        <v>4</v>
      </c>
      <c r="B15" s="1">
        <v>41409</v>
      </c>
      <c r="C15">
        <v>42.4</v>
      </c>
      <c r="D15">
        <v>8.8000000000000007</v>
      </c>
      <c r="E15">
        <v>47.4</v>
      </c>
      <c r="I15" t="s">
        <v>264</v>
      </c>
    </row>
    <row r="16" spans="1:14" x14ac:dyDescent="0.2">
      <c r="A16" s="10" t="s">
        <v>4</v>
      </c>
      <c r="B16" s="1">
        <v>41461</v>
      </c>
      <c r="C16">
        <v>40.6</v>
      </c>
      <c r="D16">
        <v>9</v>
      </c>
      <c r="E16">
        <v>49.3</v>
      </c>
      <c r="F16">
        <v>2000</v>
      </c>
      <c r="G16">
        <f>C16-E16</f>
        <v>-8.6999999999999957</v>
      </c>
      <c r="H16" s="24">
        <f>(C16/(C16+E16))*100</f>
        <v>45.161290322580641</v>
      </c>
      <c r="I16" t="s">
        <v>264</v>
      </c>
    </row>
  </sheetData>
  <phoneticPr fontId="15" type="noConversion"/>
  <pageMargins left="0.7" right="0.7" top="0.75" bottom="0.75" header="0.3" footer="0.3"/>
  <pageSetup paperSize="0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8"/>
  <sheetViews>
    <sheetView topLeftCell="A13" workbookViewId="0">
      <selection activeCell="E20" sqref="E20"/>
    </sheetView>
  </sheetViews>
  <sheetFormatPr defaultColWidth="8.7109375" defaultRowHeight="12.75" x14ac:dyDescent="0.2"/>
  <cols>
    <col min="1" max="1" width="20" customWidth="1"/>
    <col min="2" max="2" width="10.140625" bestFit="1" customWidth="1"/>
  </cols>
  <sheetData>
    <row r="1" spans="1:10" x14ac:dyDescent="0.2">
      <c r="A1" s="10" t="s">
        <v>200</v>
      </c>
      <c r="B1" s="10" t="s">
        <v>201</v>
      </c>
      <c r="C1" s="10" t="s">
        <v>202</v>
      </c>
      <c r="D1" s="10" t="s">
        <v>118</v>
      </c>
      <c r="E1" s="10" t="s">
        <v>208</v>
      </c>
      <c r="G1" s="16" t="s">
        <v>147</v>
      </c>
    </row>
    <row r="2" spans="1:10" x14ac:dyDescent="0.2">
      <c r="A2" s="10" t="s">
        <v>207</v>
      </c>
      <c r="B2" s="11">
        <v>36875</v>
      </c>
      <c r="C2" s="10">
        <v>41</v>
      </c>
      <c r="D2" s="10">
        <v>400</v>
      </c>
      <c r="G2" s="10" t="s">
        <v>148</v>
      </c>
    </row>
    <row r="3" spans="1:10" x14ac:dyDescent="0.2">
      <c r="A3" s="10" t="s">
        <v>207</v>
      </c>
      <c r="B3" s="11">
        <v>37057</v>
      </c>
      <c r="C3" s="10">
        <v>38</v>
      </c>
      <c r="D3" s="10">
        <v>400</v>
      </c>
      <c r="G3" s="10" t="s">
        <v>148</v>
      </c>
    </row>
    <row r="4" spans="1:10" x14ac:dyDescent="0.2">
      <c r="A4" s="10" t="s">
        <v>207</v>
      </c>
      <c r="B4" s="13">
        <v>37879</v>
      </c>
      <c r="C4" s="12">
        <v>10</v>
      </c>
      <c r="D4" s="12">
        <v>300</v>
      </c>
      <c r="G4" s="12" t="s">
        <v>150</v>
      </c>
    </row>
    <row r="5" spans="1:10" x14ac:dyDescent="0.2">
      <c r="A5" s="10" t="s">
        <v>207</v>
      </c>
      <c r="B5" s="11">
        <v>38122</v>
      </c>
      <c r="C5" s="10">
        <v>25</v>
      </c>
      <c r="D5" s="10">
        <v>500</v>
      </c>
      <c r="G5" s="10" t="s">
        <v>148</v>
      </c>
    </row>
    <row r="6" spans="1:10" x14ac:dyDescent="0.2">
      <c r="A6" s="10" t="s">
        <v>207</v>
      </c>
      <c r="B6" s="11">
        <v>38487</v>
      </c>
      <c r="C6" s="10">
        <v>65</v>
      </c>
      <c r="D6" s="10">
        <v>500</v>
      </c>
      <c r="G6" s="10" t="s">
        <v>148</v>
      </c>
    </row>
    <row r="7" spans="1:10" x14ac:dyDescent="0.2">
      <c r="A7" s="10" t="s">
        <v>207</v>
      </c>
      <c r="B7" s="11">
        <v>38791</v>
      </c>
      <c r="C7" s="10">
        <v>67</v>
      </c>
      <c r="D7" s="10">
        <v>510</v>
      </c>
      <c r="G7" s="10" t="s">
        <v>148</v>
      </c>
    </row>
    <row r="8" spans="1:10" x14ac:dyDescent="0.2">
      <c r="A8" s="10" t="s">
        <v>207</v>
      </c>
      <c r="B8" s="1">
        <v>39248</v>
      </c>
      <c r="C8" s="10">
        <v>59</v>
      </c>
      <c r="D8" s="10">
        <v>1000</v>
      </c>
      <c r="G8" s="10" t="s">
        <v>148</v>
      </c>
    </row>
    <row r="9" spans="1:10" x14ac:dyDescent="0.2">
      <c r="A9" s="10" t="s">
        <v>207</v>
      </c>
      <c r="B9" s="1">
        <v>39614</v>
      </c>
      <c r="C9" s="10">
        <v>54</v>
      </c>
      <c r="D9">
        <v>820</v>
      </c>
      <c r="G9" s="10" t="s">
        <v>148</v>
      </c>
    </row>
    <row r="10" spans="1:10" x14ac:dyDescent="0.2">
      <c r="A10" s="10" t="s">
        <v>207</v>
      </c>
      <c r="B10" s="1">
        <v>39918</v>
      </c>
      <c r="C10" s="10">
        <v>61</v>
      </c>
      <c r="D10" s="12">
        <v>800</v>
      </c>
      <c r="G10" s="10" t="s">
        <v>148</v>
      </c>
    </row>
    <row r="11" spans="1:10" x14ac:dyDescent="0.2">
      <c r="A11" s="10" t="s">
        <v>207</v>
      </c>
      <c r="B11" s="1">
        <v>40313</v>
      </c>
      <c r="C11" s="10">
        <v>57</v>
      </c>
      <c r="D11" s="12">
        <v>800</v>
      </c>
      <c r="G11" s="10" t="s">
        <v>148</v>
      </c>
    </row>
    <row r="12" spans="1:10" x14ac:dyDescent="0.2">
      <c r="A12" s="10" t="s">
        <v>207</v>
      </c>
      <c r="B12" s="1">
        <v>40648</v>
      </c>
      <c r="C12" s="10">
        <v>42</v>
      </c>
      <c r="D12" s="10">
        <v>500</v>
      </c>
      <c r="G12" s="10" t="s">
        <v>150</v>
      </c>
    </row>
    <row r="14" spans="1:10" x14ac:dyDescent="0.2">
      <c r="F14" s="16" t="s">
        <v>63</v>
      </c>
    </row>
    <row r="15" spans="1:10" x14ac:dyDescent="0.2">
      <c r="A15" s="10" t="s">
        <v>200</v>
      </c>
      <c r="B15" s="10" t="s">
        <v>201</v>
      </c>
      <c r="C15" s="10" t="s">
        <v>202</v>
      </c>
      <c r="D15" s="10" t="s">
        <v>118</v>
      </c>
      <c r="F15" s="16" t="s">
        <v>149</v>
      </c>
    </row>
    <row r="16" spans="1:10" x14ac:dyDescent="0.2">
      <c r="A16" s="10" t="s">
        <v>206</v>
      </c>
      <c r="B16" s="1">
        <v>37390</v>
      </c>
      <c r="C16">
        <v>5</v>
      </c>
      <c r="D16">
        <v>100</v>
      </c>
      <c r="J16" s="10" t="s">
        <v>148</v>
      </c>
    </row>
    <row r="17" spans="1:10" x14ac:dyDescent="0.2">
      <c r="A17" s="10" t="s">
        <v>206</v>
      </c>
      <c r="B17" s="13">
        <v>37635</v>
      </c>
      <c r="C17" s="12">
        <v>21</v>
      </c>
      <c r="D17" s="12">
        <v>301</v>
      </c>
      <c r="J17" s="12" t="s">
        <v>150</v>
      </c>
    </row>
    <row r="18" spans="1:10" x14ac:dyDescent="0.2">
      <c r="A18" s="10" t="s">
        <v>206</v>
      </c>
      <c r="B18" s="13">
        <v>37848</v>
      </c>
      <c r="C18" s="12">
        <v>10</v>
      </c>
      <c r="D18" s="12">
        <v>300</v>
      </c>
      <c r="E18" s="10" t="s">
        <v>151</v>
      </c>
      <c r="J18" s="12" t="s">
        <v>150</v>
      </c>
    </row>
    <row r="19" spans="1:10" x14ac:dyDescent="0.2">
      <c r="A19" s="10" t="s">
        <v>206</v>
      </c>
      <c r="B19" s="11">
        <v>38122</v>
      </c>
      <c r="C19">
        <v>24</v>
      </c>
      <c r="D19">
        <v>300</v>
      </c>
      <c r="J19" s="10" t="s">
        <v>148</v>
      </c>
    </row>
    <row r="20" spans="1:10" x14ac:dyDescent="0.2">
      <c r="A20" s="10" t="s">
        <v>206</v>
      </c>
      <c r="B20" s="1">
        <v>38457</v>
      </c>
      <c r="C20" s="10">
        <v>57</v>
      </c>
      <c r="D20">
        <v>500</v>
      </c>
      <c r="J20" s="10" t="s">
        <v>148</v>
      </c>
    </row>
    <row r="21" spans="1:10" x14ac:dyDescent="0.2">
      <c r="A21" s="10" t="s">
        <v>206</v>
      </c>
      <c r="B21" s="11">
        <v>38791</v>
      </c>
      <c r="C21" s="10">
        <v>57</v>
      </c>
      <c r="D21" s="10">
        <v>510</v>
      </c>
      <c r="J21" s="10" t="s">
        <v>148</v>
      </c>
    </row>
    <row r="22" spans="1:10" x14ac:dyDescent="0.2">
      <c r="A22" s="10" t="s">
        <v>206</v>
      </c>
      <c r="B22" s="1">
        <v>39248</v>
      </c>
      <c r="C22" s="10">
        <v>54</v>
      </c>
      <c r="D22" s="10">
        <v>1000</v>
      </c>
      <c r="J22" s="10" t="s">
        <v>148</v>
      </c>
    </row>
    <row r="23" spans="1:10" x14ac:dyDescent="0.2">
      <c r="A23" s="10" t="s">
        <v>206</v>
      </c>
      <c r="B23" s="11">
        <v>39614</v>
      </c>
      <c r="C23" s="10">
        <v>47</v>
      </c>
      <c r="D23" s="10">
        <v>820</v>
      </c>
      <c r="J23" s="10" t="s">
        <v>148</v>
      </c>
    </row>
    <row r="24" spans="1:10" x14ac:dyDescent="0.2">
      <c r="A24" s="10" t="s">
        <v>206</v>
      </c>
      <c r="B24" s="11">
        <v>39887</v>
      </c>
      <c r="C24" s="10">
        <v>48</v>
      </c>
      <c r="D24" s="10">
        <v>891</v>
      </c>
      <c r="E24" t="s">
        <v>48</v>
      </c>
      <c r="J24" s="10" t="s">
        <v>148</v>
      </c>
    </row>
    <row r="25" spans="1:10" x14ac:dyDescent="0.2">
      <c r="A25" s="10" t="s">
        <v>206</v>
      </c>
      <c r="B25" s="11">
        <v>40252</v>
      </c>
      <c r="C25" s="10">
        <v>52</v>
      </c>
      <c r="D25" s="10">
        <v>959</v>
      </c>
      <c r="E25" t="s">
        <v>49</v>
      </c>
      <c r="J25" s="10" t="s">
        <v>148</v>
      </c>
    </row>
    <row r="26" spans="1:10" x14ac:dyDescent="0.2">
      <c r="A26" s="10" t="s">
        <v>206</v>
      </c>
      <c r="B26" s="1">
        <v>40648</v>
      </c>
      <c r="C26" s="10">
        <v>38</v>
      </c>
      <c r="D26" s="10">
        <v>500</v>
      </c>
      <c r="E26" t="s">
        <v>62</v>
      </c>
      <c r="J26" s="10" t="s">
        <v>150</v>
      </c>
    </row>
    <row r="27" spans="1:10" x14ac:dyDescent="0.2">
      <c r="B27" s="1"/>
    </row>
    <row r="28" spans="1:10" x14ac:dyDescent="0.2">
      <c r="B28" s="1"/>
    </row>
  </sheetData>
  <phoneticPr fontId="0" type="noConversion"/>
  <pageMargins left="0.75" right="0.75" top="1" bottom="1" header="0.5" footer="0.5"/>
  <pageSetup paperSize="0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"/>
  <sheetViews>
    <sheetView workbookViewId="0">
      <selection activeCell="F2" sqref="F2"/>
    </sheetView>
  </sheetViews>
  <sheetFormatPr defaultColWidth="8.7109375" defaultRowHeight="12.75" x14ac:dyDescent="0.2"/>
  <cols>
    <col min="1" max="1" width="15.140625" customWidth="1"/>
  </cols>
  <sheetData>
    <row r="1" spans="1:19" x14ac:dyDescent="0.2">
      <c r="A1" s="10" t="s">
        <v>200</v>
      </c>
      <c r="B1" s="10" t="s">
        <v>201</v>
      </c>
      <c r="C1" s="10" t="s">
        <v>202</v>
      </c>
      <c r="D1" s="10" t="s">
        <v>143</v>
      </c>
      <c r="E1" s="10" t="s">
        <v>203</v>
      </c>
      <c r="F1" s="10" t="s">
        <v>283</v>
      </c>
      <c r="G1" s="10" t="s">
        <v>118</v>
      </c>
      <c r="H1" s="10" t="s">
        <v>130</v>
      </c>
      <c r="I1" s="10" t="s">
        <v>131</v>
      </c>
      <c r="J1" s="16" t="s">
        <v>9</v>
      </c>
      <c r="K1" s="16"/>
      <c r="L1" s="16"/>
      <c r="M1" s="16"/>
      <c r="N1" s="16"/>
      <c r="O1" s="16"/>
      <c r="P1" s="16"/>
      <c r="Q1" s="16" t="s">
        <v>10</v>
      </c>
      <c r="R1" s="16" t="s">
        <v>159</v>
      </c>
      <c r="S1" s="16" t="s">
        <v>11</v>
      </c>
    </row>
    <row r="2" spans="1:19" x14ac:dyDescent="0.2">
      <c r="A2" s="10" t="s">
        <v>8</v>
      </c>
      <c r="B2" s="1">
        <v>39706</v>
      </c>
      <c r="C2">
        <v>32</v>
      </c>
      <c r="D2">
        <v>37</v>
      </c>
      <c r="E2">
        <v>32</v>
      </c>
      <c r="F2">
        <v>0</v>
      </c>
      <c r="H2">
        <f>C2-E2</f>
        <v>0</v>
      </c>
      <c r="I2" s="24">
        <f>(C2/(C2+E2))*100</f>
        <v>50</v>
      </c>
      <c r="J2" t="s">
        <v>13</v>
      </c>
    </row>
    <row r="3" spans="1:19" x14ac:dyDescent="0.2">
      <c r="A3" s="10" t="s">
        <v>8</v>
      </c>
      <c r="B3" s="1">
        <v>39850</v>
      </c>
      <c r="C3">
        <v>32</v>
      </c>
      <c r="D3">
        <v>18</v>
      </c>
      <c r="E3">
        <v>48</v>
      </c>
      <c r="F3">
        <v>2</v>
      </c>
      <c r="G3">
        <v>1197</v>
      </c>
      <c r="H3">
        <f>C3-E3</f>
        <v>-16</v>
      </c>
      <c r="I3" s="24">
        <f>(C3/(C3+E3))*100</f>
        <v>40</v>
      </c>
      <c r="J3" t="s">
        <v>13</v>
      </c>
    </row>
  </sheetData>
  <phoneticPr fontId="15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2"/>
  <sheetViews>
    <sheetView workbookViewId="0">
      <selection activeCell="C2" sqref="C2"/>
    </sheetView>
  </sheetViews>
  <sheetFormatPr defaultColWidth="8.7109375" defaultRowHeight="12.75" x14ac:dyDescent="0.2"/>
  <sheetData>
    <row r="1" spans="1:5" x14ac:dyDescent="0.2">
      <c r="A1" s="10" t="s">
        <v>200</v>
      </c>
      <c r="B1" s="10" t="s">
        <v>201</v>
      </c>
      <c r="C1" t="s">
        <v>202</v>
      </c>
      <c r="D1" s="10" t="s">
        <v>118</v>
      </c>
      <c r="E1" s="10" t="s">
        <v>208</v>
      </c>
    </row>
    <row r="2" spans="1:5" x14ac:dyDescent="0.2">
      <c r="A2" t="s">
        <v>75</v>
      </c>
      <c r="B2" s="1">
        <v>38001</v>
      </c>
      <c r="C2">
        <v>54</v>
      </c>
      <c r="E2" t="s">
        <v>74</v>
      </c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Q3"/>
  <sheetViews>
    <sheetView workbookViewId="0">
      <selection activeCell="F1" sqref="F1"/>
    </sheetView>
  </sheetViews>
  <sheetFormatPr defaultColWidth="8.7109375" defaultRowHeight="12.75" x14ac:dyDescent="0.2"/>
  <cols>
    <col min="2" max="2" width="10.140625" bestFit="1" customWidth="1"/>
  </cols>
  <sheetData>
    <row r="1" spans="1:17" x14ac:dyDescent="0.2">
      <c r="A1" s="10" t="s">
        <v>200</v>
      </c>
      <c r="B1" s="10" t="s">
        <v>201</v>
      </c>
      <c r="C1" s="10" t="s">
        <v>202</v>
      </c>
      <c r="D1" s="10" t="s">
        <v>203</v>
      </c>
      <c r="E1" t="s">
        <v>118</v>
      </c>
      <c r="F1" t="s">
        <v>121</v>
      </c>
      <c r="G1" t="s">
        <v>126</v>
      </c>
      <c r="H1" s="16" t="s">
        <v>91</v>
      </c>
      <c r="I1" s="16"/>
      <c r="J1" s="16"/>
      <c r="K1" s="16"/>
      <c r="L1" s="16"/>
      <c r="M1" s="16"/>
      <c r="N1" s="16"/>
      <c r="O1" s="16"/>
      <c r="P1" s="16" t="s">
        <v>73</v>
      </c>
      <c r="Q1" s="16" t="s">
        <v>88</v>
      </c>
    </row>
    <row r="2" spans="1:17" x14ac:dyDescent="0.2">
      <c r="A2" t="s">
        <v>120</v>
      </c>
      <c r="B2" s="1">
        <v>37909</v>
      </c>
      <c r="C2">
        <v>44</v>
      </c>
      <c r="D2">
        <v>51</v>
      </c>
      <c r="E2">
        <v>1000</v>
      </c>
      <c r="F2">
        <f>(C2-D2)</f>
        <v>-7</v>
      </c>
      <c r="G2" s="22">
        <f>(C2/(C2+D2))*100</f>
        <v>46.315789473684212</v>
      </c>
      <c r="H2" s="8" t="s">
        <v>90</v>
      </c>
    </row>
    <row r="3" spans="1:17" x14ac:dyDescent="0.2">
      <c r="A3" t="s">
        <v>120</v>
      </c>
      <c r="B3" s="1">
        <v>38068</v>
      </c>
      <c r="C3">
        <v>36</v>
      </c>
      <c r="D3">
        <v>60</v>
      </c>
      <c r="E3">
        <v>1000</v>
      </c>
      <c r="F3">
        <f>(C3-D3)</f>
        <v>-24</v>
      </c>
      <c r="G3" s="22">
        <f>(C3/(C3+D3))*100</f>
        <v>37.5</v>
      </c>
    </row>
  </sheetData>
  <phoneticPr fontId="1" type="noConversion"/>
  <pageMargins left="0.75" right="0.7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Q4"/>
  <sheetViews>
    <sheetView workbookViewId="0">
      <selection activeCell="E2" sqref="E2"/>
    </sheetView>
  </sheetViews>
  <sheetFormatPr defaultColWidth="8.7109375" defaultRowHeight="12.75" x14ac:dyDescent="0.2"/>
  <cols>
    <col min="1" max="1" width="11.42578125" customWidth="1"/>
  </cols>
  <sheetData>
    <row r="1" spans="1:17" x14ac:dyDescent="0.2">
      <c r="A1" s="10" t="s">
        <v>200</v>
      </c>
      <c r="B1" s="10" t="s">
        <v>201</v>
      </c>
      <c r="C1" s="10" t="s">
        <v>202</v>
      </c>
      <c r="D1" s="10" t="s">
        <v>143</v>
      </c>
      <c r="E1" s="10" t="s">
        <v>203</v>
      </c>
      <c r="F1" s="10" t="s">
        <v>118</v>
      </c>
      <c r="G1" s="10" t="s">
        <v>123</v>
      </c>
      <c r="H1" s="10" t="s">
        <v>124</v>
      </c>
      <c r="J1" s="8" t="s">
        <v>92</v>
      </c>
    </row>
    <row r="2" spans="1:17" x14ac:dyDescent="0.2">
      <c r="A2" t="s">
        <v>94</v>
      </c>
      <c r="B2" s="1">
        <v>38190</v>
      </c>
      <c r="C2">
        <v>45</v>
      </c>
      <c r="D2">
        <v>17</v>
      </c>
      <c r="E2">
        <v>38</v>
      </c>
      <c r="F2">
        <v>2000</v>
      </c>
      <c r="G2">
        <f>C2-E2</f>
        <v>7</v>
      </c>
      <c r="H2" s="20">
        <f>(C2/(C2+E2))*100</f>
        <v>54.216867469879517</v>
      </c>
      <c r="J2" s="16" t="s">
        <v>93</v>
      </c>
      <c r="K2" s="16"/>
      <c r="L2" s="16"/>
      <c r="M2" s="16"/>
      <c r="N2" s="16"/>
      <c r="O2" s="16"/>
      <c r="P2" s="16"/>
      <c r="Q2" s="27" t="s">
        <v>95</v>
      </c>
    </row>
    <row r="3" spans="1:17" x14ac:dyDescent="0.2">
      <c r="A3" t="s">
        <v>94</v>
      </c>
      <c r="B3" s="1">
        <v>39024</v>
      </c>
      <c r="C3">
        <v>53</v>
      </c>
      <c r="D3">
        <v>12</v>
      </c>
      <c r="E3">
        <v>37</v>
      </c>
      <c r="F3">
        <v>2000</v>
      </c>
      <c r="G3">
        <f>C3-E3</f>
        <v>16</v>
      </c>
      <c r="H3" s="20">
        <f>(C3/(C3+E3))*100</f>
        <v>58.888888888888893</v>
      </c>
      <c r="J3" s="16" t="s">
        <v>27</v>
      </c>
      <c r="K3" s="16"/>
      <c r="L3" s="16"/>
      <c r="M3" s="16"/>
      <c r="N3" s="16"/>
      <c r="O3" s="16"/>
      <c r="P3" s="16"/>
      <c r="Q3" s="16"/>
    </row>
    <row r="4" spans="1:17" x14ac:dyDescent="0.2">
      <c r="J4" s="10" t="s">
        <v>26</v>
      </c>
      <c r="K4" s="10" t="s">
        <v>24</v>
      </c>
      <c r="L4" s="10" t="s">
        <v>25</v>
      </c>
    </row>
  </sheetData>
  <phoneticPr fontId="1" type="noConversion"/>
  <pageMargins left="0.75" right="0.75" top="1" bottom="1" header="0.5" footer="0.5"/>
  <pageSetup paperSize="0"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3"/>
  <sheetViews>
    <sheetView workbookViewId="0">
      <selection activeCell="E3" sqref="E3"/>
    </sheetView>
  </sheetViews>
  <sheetFormatPr defaultColWidth="8.7109375" defaultRowHeight="12.75" x14ac:dyDescent="0.2"/>
  <cols>
    <col min="2" max="2" width="10.140625" bestFit="1" customWidth="1"/>
  </cols>
  <sheetData>
    <row r="1" spans="1:6" x14ac:dyDescent="0.2">
      <c r="A1" s="10" t="s">
        <v>200</v>
      </c>
      <c r="B1" s="10" t="s">
        <v>201</v>
      </c>
      <c r="C1" s="10" t="s">
        <v>202</v>
      </c>
      <c r="D1" s="10" t="s">
        <v>118</v>
      </c>
      <c r="E1" s="10" t="s">
        <v>208</v>
      </c>
      <c r="F1" s="16" t="s">
        <v>73</v>
      </c>
    </row>
    <row r="2" spans="1:6" x14ac:dyDescent="0.2">
      <c r="A2" t="s">
        <v>83</v>
      </c>
      <c r="B2" s="1">
        <v>38153</v>
      </c>
      <c r="C2">
        <v>43</v>
      </c>
      <c r="E2" t="s">
        <v>152</v>
      </c>
    </row>
    <row r="3" spans="1:6" x14ac:dyDescent="0.2">
      <c r="A3" t="s">
        <v>83</v>
      </c>
      <c r="B3" s="1">
        <v>39431</v>
      </c>
      <c r="C3">
        <v>61</v>
      </c>
      <c r="E3" t="s">
        <v>74</v>
      </c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2"/>
  <sheetViews>
    <sheetView workbookViewId="0">
      <selection activeCell="B2" sqref="B2"/>
    </sheetView>
  </sheetViews>
  <sheetFormatPr defaultColWidth="8.7109375" defaultRowHeight="12.75" x14ac:dyDescent="0.2"/>
  <sheetData>
    <row r="1" spans="1:5" x14ac:dyDescent="0.2">
      <c r="A1" s="10" t="s">
        <v>200</v>
      </c>
      <c r="B1" s="10" t="s">
        <v>201</v>
      </c>
      <c r="C1" s="10" t="s">
        <v>202</v>
      </c>
      <c r="D1" s="10" t="s">
        <v>118</v>
      </c>
      <c r="E1" s="16" t="s">
        <v>77</v>
      </c>
    </row>
    <row r="2" spans="1:5" x14ac:dyDescent="0.2">
      <c r="A2" t="s">
        <v>76</v>
      </c>
      <c r="B2" s="1">
        <v>38061</v>
      </c>
      <c r="C2">
        <v>25</v>
      </c>
      <c r="E2" t="s">
        <v>78</v>
      </c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Q2"/>
  <sheetViews>
    <sheetView workbookViewId="0">
      <selection activeCell="G31" sqref="G31"/>
    </sheetView>
  </sheetViews>
  <sheetFormatPr defaultColWidth="7.7109375" defaultRowHeight="12.75" x14ac:dyDescent="0.2"/>
  <cols>
    <col min="1" max="1" width="13.7109375" customWidth="1"/>
    <col min="2" max="2" width="10.28515625" customWidth="1"/>
  </cols>
  <sheetData>
    <row r="1" spans="1:17" x14ac:dyDescent="0.2">
      <c r="A1" s="10" t="s">
        <v>200</v>
      </c>
      <c r="B1" s="10" t="s">
        <v>201</v>
      </c>
      <c r="C1" s="10" t="s">
        <v>202</v>
      </c>
      <c r="D1" s="10" t="s">
        <v>203</v>
      </c>
      <c r="E1" t="s">
        <v>118</v>
      </c>
      <c r="F1" t="s">
        <v>127</v>
      </c>
      <c r="G1" t="s">
        <v>122</v>
      </c>
      <c r="H1" s="16" t="s">
        <v>119</v>
      </c>
      <c r="I1" s="16"/>
      <c r="J1" s="16"/>
      <c r="K1" s="16"/>
      <c r="L1" s="16"/>
      <c r="M1" s="16"/>
      <c r="N1" s="16"/>
      <c r="O1" s="16"/>
      <c r="P1" s="16" t="s">
        <v>116</v>
      </c>
      <c r="Q1" s="16" t="s">
        <v>117</v>
      </c>
    </row>
    <row r="2" spans="1:17" x14ac:dyDescent="0.2">
      <c r="A2" t="s">
        <v>115</v>
      </c>
      <c r="B2" s="1">
        <v>37892</v>
      </c>
      <c r="C2">
        <v>39</v>
      </c>
      <c r="D2">
        <v>59</v>
      </c>
      <c r="E2">
        <v>1010</v>
      </c>
      <c r="F2">
        <f>C2-D2</f>
        <v>-20</v>
      </c>
      <c r="G2" s="22">
        <f>(C2/(C2+D2))*100</f>
        <v>39.795918367346935</v>
      </c>
    </row>
  </sheetData>
  <phoneticPr fontId="1" type="noConversion"/>
  <pageMargins left="0.75" right="0.7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7"/>
  <sheetViews>
    <sheetView workbookViewId="0">
      <selection activeCell="A2" sqref="A2"/>
    </sheetView>
  </sheetViews>
  <sheetFormatPr defaultColWidth="11.5703125" defaultRowHeight="12.75" x14ac:dyDescent="0.2"/>
  <sheetData>
    <row r="1" spans="1:9" x14ac:dyDescent="0.2">
      <c r="A1" s="10" t="s">
        <v>200</v>
      </c>
      <c r="B1" s="10" t="s">
        <v>201</v>
      </c>
      <c r="C1" s="10" t="s">
        <v>202</v>
      </c>
      <c r="D1" s="10" t="s">
        <v>203</v>
      </c>
      <c r="E1" t="s">
        <v>118</v>
      </c>
      <c r="F1" t="s">
        <v>121</v>
      </c>
      <c r="G1" t="s">
        <v>122</v>
      </c>
      <c r="H1" s="10" t="s">
        <v>208</v>
      </c>
      <c r="I1" s="30" t="s">
        <v>229</v>
      </c>
    </row>
    <row r="2" spans="1:9" x14ac:dyDescent="0.2">
      <c r="A2" t="s">
        <v>227</v>
      </c>
      <c r="B2" s="11">
        <v>41685</v>
      </c>
      <c r="C2" s="10">
        <v>35</v>
      </c>
      <c r="D2" s="10">
        <v>60</v>
      </c>
      <c r="F2">
        <f t="shared" ref="F2:F7" si="0">(C2-D2)</f>
        <v>-25</v>
      </c>
      <c r="G2" s="24">
        <f t="shared" ref="G2:G7" si="1">(C2/(C2+D2))*100</f>
        <v>36.84210526315789</v>
      </c>
      <c r="H2" s="18" t="s">
        <v>230</v>
      </c>
    </row>
    <row r="3" spans="1:9" x14ac:dyDescent="0.2">
      <c r="A3" t="s">
        <v>227</v>
      </c>
      <c r="B3" s="11">
        <v>41744</v>
      </c>
      <c r="C3" s="10">
        <v>33</v>
      </c>
      <c r="D3" s="10">
        <v>66</v>
      </c>
      <c r="F3">
        <f t="shared" si="0"/>
        <v>-33</v>
      </c>
      <c r="G3" s="24">
        <f t="shared" si="1"/>
        <v>33.333333333333329</v>
      </c>
      <c r="H3" t="s">
        <v>228</v>
      </c>
    </row>
    <row r="4" spans="1:9" x14ac:dyDescent="0.2">
      <c r="A4" t="s">
        <v>227</v>
      </c>
      <c r="B4" s="11">
        <v>41883</v>
      </c>
      <c r="C4" s="10">
        <v>31</v>
      </c>
      <c r="D4" s="10">
        <v>68</v>
      </c>
      <c r="E4" s="10">
        <v>1304</v>
      </c>
      <c r="F4">
        <f t="shared" si="0"/>
        <v>-37</v>
      </c>
      <c r="G4" s="24">
        <f t="shared" si="1"/>
        <v>31.313131313131315</v>
      </c>
      <c r="H4" s="14" t="s">
        <v>237</v>
      </c>
    </row>
    <row r="5" spans="1:9" x14ac:dyDescent="0.2">
      <c r="A5" t="s">
        <v>227</v>
      </c>
      <c r="B5" s="11">
        <v>42050</v>
      </c>
      <c r="C5" s="18">
        <v>24</v>
      </c>
      <c r="D5" s="18">
        <v>74</v>
      </c>
      <c r="F5">
        <f t="shared" si="0"/>
        <v>-50</v>
      </c>
      <c r="G5" s="24">
        <f t="shared" si="1"/>
        <v>24.489795918367346</v>
      </c>
      <c r="H5" s="18" t="s">
        <v>230</v>
      </c>
    </row>
    <row r="6" spans="1:9" x14ac:dyDescent="0.2">
      <c r="A6" t="s">
        <v>227</v>
      </c>
      <c r="B6" s="1">
        <v>42139</v>
      </c>
      <c r="C6">
        <v>22</v>
      </c>
      <c r="D6">
        <v>76</v>
      </c>
      <c r="E6">
        <v>1200</v>
      </c>
      <c r="F6">
        <f t="shared" si="0"/>
        <v>-54</v>
      </c>
      <c r="G6" s="24">
        <f t="shared" si="1"/>
        <v>22.448979591836736</v>
      </c>
      <c r="H6" s="18" t="s">
        <v>230</v>
      </c>
    </row>
    <row r="7" spans="1:9" x14ac:dyDescent="0.2">
      <c r="A7" t="s">
        <v>227</v>
      </c>
      <c r="B7" s="1">
        <v>42211</v>
      </c>
      <c r="C7">
        <v>21</v>
      </c>
      <c r="D7">
        <v>77</v>
      </c>
      <c r="E7">
        <v>1200</v>
      </c>
      <c r="F7">
        <f t="shared" si="0"/>
        <v>-56</v>
      </c>
      <c r="G7" s="24">
        <f t="shared" si="1"/>
        <v>21.428571428571427</v>
      </c>
      <c r="H7" s="18" t="s">
        <v>230</v>
      </c>
    </row>
  </sheetData>
  <hyperlinks>
    <hyperlink ref="H4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19"/>
  <sheetViews>
    <sheetView topLeftCell="A25" workbookViewId="0">
      <selection activeCell="D34" sqref="D34"/>
    </sheetView>
  </sheetViews>
  <sheetFormatPr defaultRowHeight="12.75" x14ac:dyDescent="0.2"/>
  <cols>
    <col min="2" max="2" width="10.140625" style="1" bestFit="1" customWidth="1"/>
    <col min="8" max="8" width="8.85546875" style="24"/>
  </cols>
  <sheetData>
    <row r="1" spans="1:11" x14ac:dyDescent="0.2">
      <c r="A1" s="10" t="s">
        <v>200</v>
      </c>
      <c r="B1" s="11" t="s">
        <v>201</v>
      </c>
      <c r="C1" t="s">
        <v>202</v>
      </c>
      <c r="D1" t="s">
        <v>203</v>
      </c>
      <c r="E1" s="10" t="s">
        <v>283</v>
      </c>
      <c r="F1" t="s">
        <v>118</v>
      </c>
      <c r="G1" t="s">
        <v>121</v>
      </c>
      <c r="H1" s="24" t="s">
        <v>122</v>
      </c>
      <c r="I1" s="10" t="s">
        <v>208</v>
      </c>
      <c r="J1" s="16" t="s">
        <v>246</v>
      </c>
    </row>
    <row r="2" spans="1:11" x14ac:dyDescent="0.2">
      <c r="A2" t="s">
        <v>238</v>
      </c>
      <c r="B2" s="1">
        <v>41379</v>
      </c>
      <c r="C2">
        <v>37.9</v>
      </c>
      <c r="D2">
        <v>58.5</v>
      </c>
      <c r="G2">
        <f>C2-D2</f>
        <v>-20.6</v>
      </c>
      <c r="H2" s="24">
        <f>(C2/(C2+D2))*100</f>
        <v>39.315352697095427</v>
      </c>
      <c r="I2" t="s">
        <v>248</v>
      </c>
    </row>
    <row r="3" spans="1:11" x14ac:dyDescent="0.2">
      <c r="A3" t="s">
        <v>238</v>
      </c>
      <c r="B3" s="1">
        <v>41405</v>
      </c>
      <c r="C3">
        <v>44.5</v>
      </c>
      <c r="D3">
        <v>49.6</v>
      </c>
      <c r="F3">
        <v>1300</v>
      </c>
      <c r="G3">
        <f t="shared" ref="G3" si="0">C3-D3</f>
        <v>-5.1000000000000014</v>
      </c>
      <c r="H3" s="24">
        <f t="shared" ref="H3" si="1">(C3/(C3+D3))*100</f>
        <v>47.290116896918178</v>
      </c>
      <c r="I3" t="s">
        <v>257</v>
      </c>
    </row>
    <row r="4" spans="1:11" x14ac:dyDescent="0.2">
      <c r="A4" t="s">
        <v>238</v>
      </c>
      <c r="B4" s="1">
        <v>41440</v>
      </c>
      <c r="C4">
        <v>43.9</v>
      </c>
      <c r="D4">
        <v>49.6</v>
      </c>
      <c r="G4">
        <f t="shared" ref="G4" si="2">C4-D4</f>
        <v>-5.7000000000000028</v>
      </c>
      <c r="H4" s="24">
        <f t="shared" ref="H4" si="3">(C4/(C4+D4))*100</f>
        <v>46.951871657754005</v>
      </c>
      <c r="I4" s="24" t="s">
        <v>263</v>
      </c>
    </row>
    <row r="5" spans="1:11" x14ac:dyDescent="0.2">
      <c r="A5" t="s">
        <v>238</v>
      </c>
      <c r="B5" s="1">
        <v>41480</v>
      </c>
      <c r="C5">
        <v>35.5</v>
      </c>
      <c r="D5">
        <v>60.9</v>
      </c>
      <c r="F5">
        <v>1200</v>
      </c>
      <c r="G5">
        <f t="shared" ref="G5:G19" si="4">C5-D5</f>
        <v>-25.4</v>
      </c>
      <c r="H5" s="24">
        <f t="shared" ref="H5:H19" si="5">(C5/(C5+D5))*100</f>
        <v>36.825726141078832</v>
      </c>
      <c r="I5" t="s">
        <v>248</v>
      </c>
    </row>
    <row r="6" spans="1:11" x14ac:dyDescent="0.2">
      <c r="A6" t="s">
        <v>238</v>
      </c>
      <c r="B6" s="1">
        <v>41537</v>
      </c>
      <c r="C6">
        <v>31</v>
      </c>
      <c r="D6">
        <v>65</v>
      </c>
      <c r="F6">
        <v>1200</v>
      </c>
      <c r="G6">
        <f t="shared" ref="G6" si="6">C6-D6</f>
        <v>-34</v>
      </c>
      <c r="H6" s="24">
        <f t="shared" ref="H6" si="7">(C6/(C6+D6))*100</f>
        <v>32.291666666666671</v>
      </c>
      <c r="I6" t="s">
        <v>263</v>
      </c>
    </row>
    <row r="7" spans="1:11" x14ac:dyDescent="0.2">
      <c r="A7" t="s">
        <v>238</v>
      </c>
      <c r="B7" s="1">
        <v>41576</v>
      </c>
      <c r="C7">
        <v>31.3</v>
      </c>
      <c r="D7">
        <v>61.7</v>
      </c>
      <c r="F7">
        <v>1000</v>
      </c>
      <c r="G7">
        <f t="shared" si="4"/>
        <v>-30.400000000000002</v>
      </c>
      <c r="H7" s="24">
        <f t="shared" si="5"/>
        <v>33.655913978494624</v>
      </c>
      <c r="I7" t="s">
        <v>248</v>
      </c>
      <c r="K7" t="s">
        <v>261</v>
      </c>
    </row>
    <row r="8" spans="1:11" x14ac:dyDescent="0.2">
      <c r="A8" t="s">
        <v>238</v>
      </c>
      <c r="B8" s="1">
        <v>41623</v>
      </c>
      <c r="C8">
        <v>37</v>
      </c>
      <c r="D8">
        <v>60</v>
      </c>
      <c r="G8">
        <f t="shared" si="4"/>
        <v>-23</v>
      </c>
      <c r="H8" s="24">
        <f t="shared" si="5"/>
        <v>38.144329896907216</v>
      </c>
      <c r="I8" t="s">
        <v>248</v>
      </c>
    </row>
    <row r="9" spans="1:11" x14ac:dyDescent="0.2">
      <c r="A9" t="s">
        <v>238</v>
      </c>
      <c r="B9" s="1">
        <v>41654</v>
      </c>
      <c r="C9">
        <v>36.6</v>
      </c>
      <c r="D9">
        <v>61.2</v>
      </c>
      <c r="G9">
        <f t="shared" si="4"/>
        <v>-24.6</v>
      </c>
      <c r="H9" s="24">
        <f t="shared" si="5"/>
        <v>37.423312883435578</v>
      </c>
      <c r="I9" t="s">
        <v>248</v>
      </c>
    </row>
    <row r="10" spans="1:11" x14ac:dyDescent="0.2">
      <c r="A10" t="s">
        <v>238</v>
      </c>
      <c r="B10" s="1">
        <v>41725</v>
      </c>
      <c r="C10">
        <v>29.8</v>
      </c>
      <c r="D10">
        <v>67.5</v>
      </c>
      <c r="F10">
        <v>1200</v>
      </c>
      <c r="G10">
        <f t="shared" si="4"/>
        <v>-37.700000000000003</v>
      </c>
      <c r="H10" s="24">
        <f t="shared" si="5"/>
        <v>30.62692702980473</v>
      </c>
      <c r="I10" t="s">
        <v>248</v>
      </c>
    </row>
    <row r="11" spans="1:11" x14ac:dyDescent="0.2">
      <c r="A11" t="s">
        <v>238</v>
      </c>
      <c r="B11" s="1">
        <v>41802</v>
      </c>
      <c r="C11">
        <v>26.5</v>
      </c>
      <c r="D11">
        <v>71.099999999999994</v>
      </c>
      <c r="F11">
        <v>1200</v>
      </c>
      <c r="G11">
        <f t="shared" si="4"/>
        <v>-44.599999999999994</v>
      </c>
      <c r="H11" s="24">
        <f t="shared" si="5"/>
        <v>27.151639344262296</v>
      </c>
      <c r="I11" t="s">
        <v>248</v>
      </c>
      <c r="K11" t="s">
        <v>251</v>
      </c>
    </row>
    <row r="12" spans="1:11" x14ac:dyDescent="0.2">
      <c r="A12" t="s">
        <v>238</v>
      </c>
      <c r="B12" s="1">
        <v>41858</v>
      </c>
      <c r="C12">
        <v>25.4</v>
      </c>
      <c r="D12">
        <v>72.400000000000006</v>
      </c>
      <c r="G12">
        <f t="shared" si="4"/>
        <v>-47.000000000000007</v>
      </c>
      <c r="H12" s="24">
        <f t="shared" si="5"/>
        <v>25.971370143149279</v>
      </c>
      <c r="I12" t="s">
        <v>248</v>
      </c>
      <c r="K12" t="s">
        <v>262</v>
      </c>
    </row>
    <row r="13" spans="1:11" x14ac:dyDescent="0.2">
      <c r="A13" t="s">
        <v>238</v>
      </c>
      <c r="B13" s="1">
        <v>41968</v>
      </c>
      <c r="C13">
        <v>22.1</v>
      </c>
      <c r="D13">
        <v>75.599999999999994</v>
      </c>
      <c r="G13">
        <f t="shared" si="4"/>
        <v>-53.499999999999993</v>
      </c>
      <c r="H13" s="24">
        <f t="shared" si="5"/>
        <v>22.620266120777895</v>
      </c>
      <c r="I13" t="s">
        <v>248</v>
      </c>
      <c r="K13" t="s">
        <v>252</v>
      </c>
    </row>
    <row r="14" spans="1:11" x14ac:dyDescent="0.2">
      <c r="A14" t="s">
        <v>238</v>
      </c>
      <c r="B14" s="1">
        <v>42019</v>
      </c>
      <c r="C14">
        <v>20.9</v>
      </c>
      <c r="D14">
        <v>77.099999999999994</v>
      </c>
      <c r="G14">
        <f t="shared" si="4"/>
        <v>-56.199999999999996</v>
      </c>
      <c r="H14" s="24">
        <f t="shared" si="5"/>
        <v>21.326530612244895</v>
      </c>
      <c r="I14" t="s">
        <v>248</v>
      </c>
    </row>
    <row r="15" spans="1:11" x14ac:dyDescent="0.2">
      <c r="A15" t="s">
        <v>238</v>
      </c>
      <c r="B15" s="1">
        <v>42078</v>
      </c>
      <c r="C15">
        <v>24.1</v>
      </c>
      <c r="D15">
        <v>74.099999999999994</v>
      </c>
      <c r="G15">
        <f t="shared" si="4"/>
        <v>-49.999999999999993</v>
      </c>
      <c r="H15" s="24">
        <f t="shared" si="5"/>
        <v>24.541751527494913</v>
      </c>
      <c r="I15" t="s">
        <v>248</v>
      </c>
    </row>
    <row r="16" spans="1:11" x14ac:dyDescent="0.2">
      <c r="A16" t="s">
        <v>238</v>
      </c>
      <c r="B16" s="1">
        <v>42182</v>
      </c>
      <c r="C16">
        <v>18</v>
      </c>
      <c r="D16">
        <v>80.5</v>
      </c>
      <c r="G16">
        <f t="shared" si="4"/>
        <v>-62.5</v>
      </c>
      <c r="H16" s="24">
        <f t="shared" si="5"/>
        <v>18.274111675126903</v>
      </c>
      <c r="I16" t="s">
        <v>248</v>
      </c>
    </row>
    <row r="17" spans="1:9" x14ac:dyDescent="0.2">
      <c r="A17" t="s">
        <v>238</v>
      </c>
      <c r="B17" s="1">
        <v>42267</v>
      </c>
      <c r="C17">
        <v>16.7</v>
      </c>
      <c r="D17">
        <v>82.7</v>
      </c>
      <c r="F17">
        <v>1200</v>
      </c>
      <c r="G17">
        <f t="shared" si="4"/>
        <v>-66</v>
      </c>
      <c r="H17" s="24">
        <f t="shared" si="5"/>
        <v>16.800804828973842</v>
      </c>
      <c r="I17" t="s">
        <v>248</v>
      </c>
    </row>
    <row r="18" spans="1:9" x14ac:dyDescent="0.2">
      <c r="A18" t="s">
        <v>238</v>
      </c>
      <c r="B18" s="1">
        <v>42333</v>
      </c>
      <c r="C18">
        <v>14</v>
      </c>
      <c r="D18">
        <v>84.2</v>
      </c>
      <c r="G18">
        <f t="shared" si="4"/>
        <v>-70.2</v>
      </c>
      <c r="H18" s="24">
        <f t="shared" si="5"/>
        <v>14.256619144602849</v>
      </c>
      <c r="I18" t="s">
        <v>247</v>
      </c>
    </row>
    <row r="19" spans="1:9" x14ac:dyDescent="0.2">
      <c r="A19" t="s">
        <v>238</v>
      </c>
      <c r="B19" s="1">
        <v>42410</v>
      </c>
      <c r="C19">
        <v>14</v>
      </c>
      <c r="D19">
        <v>84.4</v>
      </c>
      <c r="F19">
        <v>1600</v>
      </c>
      <c r="G19">
        <f t="shared" si="4"/>
        <v>-70.400000000000006</v>
      </c>
      <c r="H19" s="24">
        <f t="shared" si="5"/>
        <v>14.227642276422763</v>
      </c>
      <c r="I19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Final</vt:lpstr>
      <vt:lpstr>Combined</vt:lpstr>
      <vt:lpstr>Net</vt:lpstr>
      <vt:lpstr>AppApp+Dis</vt:lpstr>
      <vt:lpstr>Prn</vt:lpstr>
      <vt:lpstr>C21</vt:lpstr>
      <vt:lpstr>DATOS</vt:lpstr>
      <vt:lpstr>LAPOP</vt:lpstr>
      <vt:lpstr>LB</vt:lpstr>
      <vt:lpstr>IVAD</vt:lpstr>
      <vt:lpstr>Datanalisis</vt:lpstr>
      <vt:lpstr>ICS</vt:lpstr>
      <vt:lpstr>POLINOMICS</vt:lpstr>
      <vt:lpstr>ZOGBY</vt:lpstr>
      <vt:lpstr>Keller</vt:lpstr>
      <vt:lpstr>Hinterlaces</vt:lpstr>
      <vt:lpstr>GISXXI</vt:lpstr>
      <vt:lpstr>Varianzas</vt:lpstr>
      <vt:lpstr>CIMA</vt:lpstr>
      <vt:lpstr>Econanaltica</vt:lpstr>
      <vt:lpstr>AP</vt:lpstr>
      <vt:lpstr>GQRR</vt:lpstr>
      <vt:lpstr>EVANSMCD</vt:lpstr>
      <vt:lpstr>DOXA</vt:lpstr>
      <vt:lpstr>CECAS</vt:lpstr>
      <vt:lpstr>Mercanalisis</vt:lpstr>
      <vt:lpstr>DatinCorp</vt:lpstr>
      <vt:lpstr>Hercon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Carlin</dc:creator>
  <cp:lastModifiedBy>Jack Le</cp:lastModifiedBy>
  <dcterms:created xsi:type="dcterms:W3CDTF">2008-05-21T01:46:33Z</dcterms:created>
  <dcterms:modified xsi:type="dcterms:W3CDTF">2016-11-02T00:40:16Z</dcterms:modified>
</cp:coreProperties>
</file>